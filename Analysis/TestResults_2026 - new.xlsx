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rajee\Downloads\"/>
    </mc:Choice>
  </mc:AlternateContent>
  <xr:revisionPtr revIDLastSave="0" documentId="13_ncr:1_{E4B10F9F-783F-44A8-866E-E1A412BBD9DE}" xr6:coauthVersionLast="47" xr6:coauthVersionMax="47" xr10:uidLastSave="{00000000-0000-0000-0000-000000000000}"/>
  <bookViews>
    <workbookView xWindow="-120" yWindow="-120" windowWidth="29040" windowHeight="15840" activeTab="1" xr2:uid="{00000000-000D-0000-FFFF-FFFF00000000}"/>
  </bookViews>
  <sheets>
    <sheet name="Scoring" sheetId="10" r:id="rId1"/>
    <sheet name="Simple untuned" sheetId="1" r:id="rId2"/>
    <sheet name="Comple untuned" sheetId="9" r:id="rId3"/>
    <sheet name="Simple" sheetId="2" r:id="rId4"/>
    <sheet name="Complex" sheetId="7" r:id="rId5"/>
    <sheet name="Complex-Prio-Profession" sheetId="3" r:id="rId6"/>
    <sheet name="Complex-Prio-Food" sheetId="4" r:id="rId7"/>
    <sheet name="Complex-Prio-Sentiment" sheetId="5" r:id="rId8"/>
  </sheets>
  <definedNames>
    <definedName name="_xlnm._FilterDatabase" localSheetId="2" hidden="1">'Comple untuned'!$A$1:$Y$146</definedName>
    <definedName name="_xlnm._FilterDatabase" localSheetId="4" hidden="1">Complex!$A$1:$Y$146</definedName>
    <definedName name="_xlnm._FilterDatabase" localSheetId="6" hidden="1">'Complex-Prio-Food'!$A$1:$Y$146</definedName>
    <definedName name="_xlnm._FilterDatabase" localSheetId="5" hidden="1">'Complex-Prio-Profession'!$A$1:$Y$146</definedName>
    <definedName name="_xlnm._FilterDatabase" localSheetId="7" hidden="1">'Complex-Prio-Sentiment'!$A$1:$Y$146</definedName>
    <definedName name="_xlnm._FilterDatabase" localSheetId="0" hidden="1">Scoring!$A$1:$L$47</definedName>
    <definedName name="_xlnm._FilterDatabase" localSheetId="3" hidden="1">Simple!$A$1:$X$156</definedName>
    <definedName name="_xlnm._FilterDatabase" localSheetId="1" hidden="1">'Simple untuned'!$A$1:$AA$158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0" l="1"/>
  <c r="J13" i="10"/>
  <c r="K13" i="10"/>
  <c r="L13" i="10"/>
  <c r="H13" i="10"/>
  <c r="G13" i="10"/>
  <c r="F13" i="10"/>
  <c r="E13" i="10"/>
  <c r="D13" i="10"/>
  <c r="C13" i="10"/>
  <c r="L6" i="10"/>
  <c r="K6" i="10"/>
  <c r="J6" i="10"/>
  <c r="H6" i="10"/>
  <c r="I6" i="10"/>
  <c r="G6" i="10"/>
  <c r="F6" i="10"/>
  <c r="E6" i="10"/>
  <c r="D6" i="10"/>
  <c r="C6" i="10"/>
  <c r="C5" i="10"/>
  <c r="L3" i="10"/>
  <c r="K3" i="10"/>
  <c r="J3" i="10"/>
  <c r="I3" i="10"/>
  <c r="H3" i="10"/>
  <c r="G3" i="10"/>
  <c r="F3" i="10"/>
  <c r="E3" i="10"/>
  <c r="D3" i="10"/>
  <c r="C3" i="10"/>
  <c r="C10" i="10"/>
  <c r="D10" i="10"/>
  <c r="E10" i="10"/>
  <c r="F10" i="10"/>
  <c r="G10" i="10"/>
  <c r="L10" i="10"/>
  <c r="K10" i="10"/>
  <c r="J10" i="10"/>
  <c r="I10" i="10"/>
  <c r="H10" i="10"/>
  <c r="L11" i="10"/>
  <c r="K11" i="10"/>
  <c r="J11" i="10"/>
  <c r="I11" i="10"/>
  <c r="H11" i="10"/>
  <c r="L14" i="10"/>
  <c r="K14" i="10"/>
  <c r="J14" i="10"/>
  <c r="I14" i="10"/>
  <c r="H14" i="10"/>
  <c r="L12" i="10"/>
  <c r="K12" i="10"/>
  <c r="J12" i="10"/>
  <c r="I12" i="10"/>
  <c r="H12" i="10"/>
  <c r="G12" i="10"/>
  <c r="F12" i="10"/>
  <c r="E12" i="10"/>
  <c r="D12" i="10"/>
  <c r="C12" i="10"/>
  <c r="H2" i="10"/>
  <c r="I2" i="10"/>
  <c r="J2" i="10"/>
  <c r="K2" i="10"/>
  <c r="L2" i="10"/>
  <c r="L9" i="10"/>
  <c r="K9" i="10"/>
  <c r="J9" i="10"/>
  <c r="I9" i="10"/>
  <c r="H9" i="10"/>
  <c r="G9" i="10"/>
  <c r="F9" i="10"/>
  <c r="E9" i="10"/>
  <c r="D9" i="10"/>
  <c r="C9" i="10"/>
  <c r="G2" i="10"/>
  <c r="F2" i="10"/>
  <c r="E2" i="10"/>
  <c r="D2" i="10"/>
  <c r="L5" i="10"/>
  <c r="K5" i="10"/>
  <c r="G5" i="10"/>
  <c r="F5" i="10"/>
  <c r="J5" i="10"/>
  <c r="I5" i="10"/>
  <c r="H5" i="10"/>
  <c r="E5" i="10"/>
  <c r="D5" i="10"/>
  <c r="C2" i="10"/>
  <c r="L35" i="10"/>
  <c r="K35" i="10"/>
  <c r="J35" i="10"/>
  <c r="I35" i="10"/>
  <c r="H35" i="10"/>
  <c r="G35" i="10"/>
  <c r="F35" i="10"/>
  <c r="E35" i="10"/>
  <c r="D35" i="10"/>
  <c r="L34" i="10"/>
  <c r="K34" i="10"/>
  <c r="J34" i="10"/>
  <c r="I34" i="10"/>
  <c r="H34" i="10"/>
  <c r="G34" i="10"/>
  <c r="F34" i="10"/>
  <c r="E34" i="10"/>
  <c r="D34" i="10"/>
  <c r="L33" i="10"/>
  <c r="K33" i="10"/>
  <c r="J33" i="10"/>
  <c r="I33" i="10"/>
  <c r="H33" i="10"/>
  <c r="G33" i="10"/>
  <c r="G52" i="10" s="1"/>
  <c r="F33" i="10"/>
  <c r="F52" i="10" s="1"/>
  <c r="E33" i="10"/>
  <c r="D33" i="10"/>
  <c r="L32" i="10"/>
  <c r="K32" i="10"/>
  <c r="J32" i="10"/>
  <c r="I32" i="10"/>
  <c r="H32" i="10"/>
  <c r="G32" i="10"/>
  <c r="G51" i="10" s="1"/>
  <c r="F32" i="10"/>
  <c r="F51" i="10" s="1"/>
  <c r="E32" i="10"/>
  <c r="E51" i="10" s="1"/>
  <c r="D32" i="10"/>
  <c r="D51" i="10" s="1"/>
  <c r="L31" i="10"/>
  <c r="K31" i="10"/>
  <c r="J31" i="10"/>
  <c r="I31" i="10"/>
  <c r="H31" i="10"/>
  <c r="G31" i="10"/>
  <c r="G50" i="10" s="1"/>
  <c r="F31" i="10"/>
  <c r="F50" i="10" s="1"/>
  <c r="E31" i="10"/>
  <c r="E50" i="10" s="1"/>
  <c r="D31" i="10"/>
  <c r="D50" i="10" s="1"/>
  <c r="L30" i="10"/>
  <c r="K30" i="10"/>
  <c r="J30" i="10"/>
  <c r="I30" i="10"/>
  <c r="H30" i="10"/>
  <c r="G30" i="10"/>
  <c r="G49" i="10" s="1"/>
  <c r="F30" i="10"/>
  <c r="F49" i="10" s="1"/>
  <c r="E30" i="10"/>
  <c r="E49" i="10" s="1"/>
  <c r="D30" i="10"/>
  <c r="D49" i="10" s="1"/>
  <c r="C31" i="10"/>
  <c r="C50" i="10" s="1"/>
  <c r="C32" i="10"/>
  <c r="C51" i="10" s="1"/>
  <c r="C33" i="10"/>
  <c r="C34" i="10"/>
  <c r="C35" i="10"/>
  <c r="C30" i="10"/>
  <c r="C49" i="10" s="1"/>
  <c r="L40" i="10"/>
  <c r="K40" i="10"/>
  <c r="J40" i="10"/>
  <c r="I40" i="10"/>
  <c r="L37" i="10"/>
  <c r="K37" i="10"/>
  <c r="J37" i="10"/>
  <c r="I37" i="10"/>
  <c r="H37" i="10"/>
  <c r="I36" i="10"/>
  <c r="J36" i="10"/>
  <c r="K36" i="10"/>
  <c r="L36" i="10"/>
  <c r="L39" i="10"/>
  <c r="K39" i="10"/>
  <c r="J39" i="10"/>
  <c r="G39" i="10"/>
  <c r="L38" i="10"/>
  <c r="K38" i="10"/>
  <c r="J38" i="10"/>
  <c r="I38" i="10"/>
  <c r="H38" i="10"/>
  <c r="G38" i="10"/>
  <c r="F38" i="10"/>
  <c r="E38" i="10"/>
  <c r="D38" i="10"/>
  <c r="C38" i="10"/>
  <c r="G37" i="10"/>
  <c r="F37" i="10"/>
  <c r="E37" i="10"/>
  <c r="D37" i="10"/>
  <c r="C37" i="10"/>
  <c r="L44" i="10"/>
  <c r="J44" i="10"/>
  <c r="L45" i="10"/>
  <c r="K45" i="10"/>
  <c r="J45" i="10"/>
  <c r="I45" i="10"/>
  <c r="L42" i="10"/>
  <c r="K42" i="10"/>
  <c r="I42" i="10"/>
  <c r="J42" i="10"/>
  <c r="K43" i="10"/>
  <c r="L43" i="10"/>
  <c r="J43" i="10"/>
  <c r="I43" i="10"/>
  <c r="H43" i="10"/>
  <c r="G43" i="10"/>
  <c r="F43" i="10"/>
  <c r="E43" i="10"/>
  <c r="D43" i="10"/>
  <c r="C43" i="10"/>
  <c r="K44" i="10"/>
  <c r="I44" i="10"/>
  <c r="H44" i="10"/>
  <c r="G44" i="10"/>
  <c r="F44" i="10"/>
  <c r="E44" i="10"/>
  <c r="D44" i="10"/>
  <c r="C44" i="10"/>
  <c r="L46" i="10"/>
  <c r="K46" i="10"/>
  <c r="J46" i="10"/>
  <c r="I46" i="10"/>
  <c r="H46" i="10"/>
  <c r="G46" i="10"/>
  <c r="F46" i="10"/>
  <c r="E46" i="10"/>
  <c r="D46" i="10"/>
  <c r="C46" i="10"/>
  <c r="H45" i="10"/>
  <c r="G45" i="10"/>
  <c r="F45" i="10"/>
  <c r="E45" i="10"/>
  <c r="D45" i="10"/>
  <c r="C45" i="10"/>
  <c r="H42" i="10"/>
  <c r="G42" i="10"/>
  <c r="F42" i="10"/>
  <c r="E42" i="10"/>
  <c r="D42" i="10"/>
  <c r="C42" i="10"/>
  <c r="H36" i="10"/>
  <c r="F39" i="10"/>
  <c r="G36" i="10"/>
  <c r="F36" i="10"/>
  <c r="E36" i="10"/>
  <c r="D36" i="10"/>
  <c r="C36" i="10"/>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2" i="4"/>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2" i="5"/>
  <c r="M50" i="10" l="1"/>
  <c r="K50" i="10" s="1"/>
  <c r="H50" i="10"/>
  <c r="L50" i="10"/>
  <c r="L51" i="10"/>
  <c r="M49" i="10"/>
  <c r="I49" i="10" s="1"/>
  <c r="H49" i="10"/>
  <c r="H51" i="10"/>
  <c r="M51" i="10"/>
  <c r="K51" i="10" s="1"/>
  <c r="K49" i="10"/>
  <c r="J50" i="10"/>
  <c r="M10" i="10"/>
  <c r="M36" i="10"/>
  <c r="M3" i="10"/>
  <c r="M33" i="10"/>
  <c r="M32" i="10"/>
  <c r="M13" i="10"/>
  <c r="M45" i="10"/>
  <c r="M44" i="10"/>
  <c r="M43" i="10"/>
  <c r="M37" i="10"/>
  <c r="M30" i="10"/>
  <c r="M2" i="10"/>
  <c r="M38" i="10"/>
  <c r="M35" i="10"/>
  <c r="M31" i="10"/>
  <c r="M12" i="10"/>
  <c r="M5" i="10"/>
  <c r="M42" i="10"/>
  <c r="M46" i="10"/>
  <c r="M34" i="10"/>
  <c r="M9" i="10"/>
  <c r="M6" i="10"/>
  <c r="G81" i="10"/>
  <c r="D81" i="10"/>
  <c r="C81" i="10"/>
  <c r="F81" i="10"/>
  <c r="E81" i="10"/>
  <c r="L73" i="10"/>
  <c r="K73" i="10"/>
  <c r="I73" i="10"/>
  <c r="J73" i="10"/>
  <c r="B63" i="10"/>
  <c r="B64" i="10"/>
  <c r="J28" i="10"/>
  <c r="J27" i="10"/>
  <c r="J26" i="10"/>
  <c r="J25" i="10"/>
  <c r="J24" i="10"/>
  <c r="J23" i="10"/>
  <c r="L23" i="10"/>
  <c r="K23" i="10"/>
  <c r="I23" i="10"/>
  <c r="H23" i="10"/>
  <c r="G23" i="10"/>
  <c r="F23" i="10"/>
  <c r="E23" i="10"/>
  <c r="D23" i="10"/>
  <c r="C23" i="10"/>
  <c r="L24" i="10"/>
  <c r="K24" i="10"/>
  <c r="K25" i="10"/>
  <c r="I25" i="10"/>
  <c r="I24" i="10"/>
  <c r="H24" i="10"/>
  <c r="G24" i="10"/>
  <c r="F24" i="10"/>
  <c r="E24" i="10"/>
  <c r="D24" i="10"/>
  <c r="C24" i="10"/>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2" i="7"/>
  <c r="I20" i="10"/>
  <c r="I16" i="10"/>
  <c r="I17" i="10"/>
  <c r="H17" i="10"/>
  <c r="H16" i="10"/>
  <c r="H20" i="10"/>
  <c r="I19" i="10"/>
  <c r="H19" i="10"/>
  <c r="D17" i="10"/>
  <c r="D16" i="10"/>
  <c r="D20" i="10"/>
  <c r="D19" i="10"/>
  <c r="D21" i="10"/>
  <c r="C17" i="10"/>
  <c r="C16" i="10"/>
  <c r="C19" i="10"/>
  <c r="C20" i="10"/>
  <c r="I21" i="10"/>
  <c r="H21" i="10"/>
  <c r="I18" i="10"/>
  <c r="H18" i="10"/>
  <c r="D18" i="10"/>
  <c r="C18" i="10"/>
  <c r="C21" i="10"/>
  <c r="I4" i="10"/>
  <c r="I7" i="10"/>
  <c r="J4" i="10"/>
  <c r="H4" i="10"/>
  <c r="D4" i="10"/>
  <c r="D83" i="10" s="1"/>
  <c r="C4" i="10"/>
  <c r="H7" i="10"/>
  <c r="C7" i="10"/>
  <c r="D7" i="10"/>
  <c r="D77" i="10" s="1"/>
  <c r="Y2" i="1"/>
  <c r="Y3" i="1"/>
  <c r="Y4" i="1"/>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2" i="9"/>
  <c r="Y2" i="3"/>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Y130" i="2"/>
  <c r="Y129" i="2"/>
  <c r="Y128" i="2"/>
  <c r="Y127" i="2"/>
  <c r="Y126" i="2"/>
  <c r="Y125" i="2"/>
  <c r="Y124" i="2"/>
  <c r="Y123" i="2"/>
  <c r="Y122" i="2"/>
  <c r="Y121" i="2"/>
  <c r="Y120" i="2"/>
  <c r="Y119" i="2"/>
  <c r="Y118" i="2"/>
  <c r="Y117" i="2"/>
  <c r="Y116" i="2"/>
  <c r="Y115" i="2"/>
  <c r="Y114" i="2"/>
  <c r="Y113" i="2"/>
  <c r="Y112" i="2"/>
  <c r="Y111" i="2"/>
  <c r="Y110" i="2"/>
  <c r="Y109" i="2"/>
  <c r="Y108" i="2"/>
  <c r="Y107" i="2"/>
  <c r="Y106" i="2"/>
  <c r="Y105" i="2"/>
  <c r="Y104" i="2"/>
  <c r="Y103" i="2"/>
  <c r="Y102" i="2"/>
  <c r="Y101" i="2"/>
  <c r="Y100" i="2"/>
  <c r="Y99" i="2"/>
  <c r="Y98" i="2"/>
  <c r="Y97" i="2"/>
  <c r="Y96" i="2"/>
  <c r="Y95" i="2"/>
  <c r="Y94" i="2"/>
  <c r="Y93" i="2"/>
  <c r="Y92" i="2"/>
  <c r="Y91" i="2"/>
  <c r="Y90" i="2"/>
  <c r="Y89" i="2"/>
  <c r="Y88" i="2"/>
  <c r="Y87" i="2"/>
  <c r="Y86" i="2"/>
  <c r="Y85" i="2"/>
  <c r="Y84" i="2"/>
  <c r="Y83" i="2"/>
  <c r="Y82" i="2"/>
  <c r="Y81" i="2"/>
  <c r="Y80" i="2"/>
  <c r="Y79" i="2"/>
  <c r="Y78" i="2"/>
  <c r="Y77" i="2"/>
  <c r="Y76" i="2"/>
  <c r="Y75" i="2"/>
  <c r="Y74" i="2"/>
  <c r="Y73" i="2"/>
  <c r="Y72" i="2"/>
  <c r="Y71" i="2"/>
  <c r="Y70" i="2"/>
  <c r="Y69" i="2"/>
  <c r="Y68" i="2"/>
  <c r="Y67" i="2"/>
  <c r="Y66" i="2"/>
  <c r="Y65" i="2"/>
  <c r="Y64" i="2"/>
  <c r="Y63" i="2"/>
  <c r="Y62" i="2"/>
  <c r="Y61" i="2"/>
  <c r="Y60" i="2"/>
  <c r="Y59" i="2"/>
  <c r="Y58" i="2"/>
  <c r="Y57" i="2"/>
  <c r="Y56" i="2"/>
  <c r="Y55" i="2"/>
  <c r="Y54" i="2"/>
  <c r="Y53" i="2"/>
  <c r="Y52" i="2"/>
  <c r="Y51" i="2"/>
  <c r="Y50" i="2"/>
  <c r="Y49" i="2"/>
  <c r="Y48" i="2"/>
  <c r="Y47" i="2"/>
  <c r="Y46" i="2"/>
  <c r="Y45" i="2"/>
  <c r="Y44" i="2"/>
  <c r="Y43" i="2"/>
  <c r="Y42" i="2"/>
  <c r="Y41" i="2"/>
  <c r="Y40" i="2"/>
  <c r="Y39" i="2"/>
  <c r="Y38" i="2"/>
  <c r="Y37" i="2"/>
  <c r="Y36" i="2"/>
  <c r="Y35" i="2"/>
  <c r="Y34" i="2"/>
  <c r="Y33" i="2"/>
  <c r="Y32" i="2"/>
  <c r="Y31" i="2"/>
  <c r="Y30" i="2"/>
  <c r="Y29" i="2"/>
  <c r="Y28" i="2"/>
  <c r="Y27" i="2"/>
  <c r="Y26" i="2"/>
  <c r="Y25" i="2"/>
  <c r="Y24" i="2"/>
  <c r="Y23" i="2"/>
  <c r="Y22" i="2"/>
  <c r="Y21" i="2"/>
  <c r="Y20" i="2"/>
  <c r="Y19" i="2"/>
  <c r="Y18" i="2"/>
  <c r="Y17" i="2"/>
  <c r="Y16" i="2"/>
  <c r="Y15" i="2"/>
  <c r="Y14" i="2"/>
  <c r="Y13" i="2"/>
  <c r="Y12" i="2"/>
  <c r="Y11" i="2"/>
  <c r="Y10" i="2"/>
  <c r="Y9" i="2"/>
  <c r="Y8" i="2"/>
  <c r="Y7" i="2"/>
  <c r="Y6" i="2"/>
  <c r="Y5" i="2"/>
  <c r="Y4" i="2"/>
  <c r="Y3" i="2"/>
  <c r="Y2" i="2"/>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L47" i="10"/>
  <c r="K47" i="10"/>
  <c r="J47" i="10"/>
  <c r="I47" i="10"/>
  <c r="H47" i="10"/>
  <c r="G47" i="10"/>
  <c r="F47" i="10"/>
  <c r="E47" i="10"/>
  <c r="D47" i="10"/>
  <c r="C47" i="10"/>
  <c r="H40" i="10"/>
  <c r="G40" i="10"/>
  <c r="G53" i="10" s="1"/>
  <c r="F40" i="10"/>
  <c r="F53" i="10" s="1"/>
  <c r="E40" i="10"/>
  <c r="E53" i="10" s="1"/>
  <c r="D40" i="10"/>
  <c r="D53" i="10" s="1"/>
  <c r="C40" i="10"/>
  <c r="C53" i="10" s="1"/>
  <c r="L41" i="10"/>
  <c r="K41" i="10"/>
  <c r="J41" i="10"/>
  <c r="I41" i="10"/>
  <c r="H41" i="10"/>
  <c r="G41" i="10"/>
  <c r="G54" i="10" s="1"/>
  <c r="F41" i="10"/>
  <c r="F54" i="10" s="1"/>
  <c r="E41" i="10"/>
  <c r="E54" i="10" s="1"/>
  <c r="D41" i="10"/>
  <c r="D54" i="10" s="1"/>
  <c r="C41" i="10"/>
  <c r="C54" i="10" s="1"/>
  <c r="I39" i="10"/>
  <c r="H39" i="10"/>
  <c r="E39" i="10"/>
  <c r="E52" i="10" s="1"/>
  <c r="D39" i="10"/>
  <c r="D52" i="10" s="1"/>
  <c r="C39" i="10"/>
  <c r="C52" i="10" s="1"/>
  <c r="L27" i="10"/>
  <c r="K27" i="10"/>
  <c r="I27" i="10"/>
  <c r="H27" i="10"/>
  <c r="G27" i="10"/>
  <c r="F27" i="10"/>
  <c r="E27" i="10"/>
  <c r="D27" i="10"/>
  <c r="C27" i="10"/>
  <c r="L26" i="10"/>
  <c r="K26" i="10"/>
  <c r="I26" i="10"/>
  <c r="H26" i="10"/>
  <c r="G26" i="10"/>
  <c r="F26" i="10"/>
  <c r="E26" i="10"/>
  <c r="D26" i="10"/>
  <c r="C26" i="10"/>
  <c r="L25" i="10"/>
  <c r="H25" i="10"/>
  <c r="G25" i="10"/>
  <c r="F25" i="10"/>
  <c r="E25" i="10"/>
  <c r="D25" i="10"/>
  <c r="C25" i="10"/>
  <c r="L28" i="10"/>
  <c r="K28" i="10"/>
  <c r="I28" i="10"/>
  <c r="H28" i="10"/>
  <c r="G28" i="10"/>
  <c r="F28" i="10"/>
  <c r="E28" i="10"/>
  <c r="D28" i="10"/>
  <c r="C28" i="10"/>
  <c r="L19" i="10"/>
  <c r="K19" i="10"/>
  <c r="J19" i="10"/>
  <c r="G19" i="10"/>
  <c r="F19" i="10"/>
  <c r="E19" i="10"/>
  <c r="L21" i="10"/>
  <c r="K21" i="10"/>
  <c r="J21" i="10"/>
  <c r="G21" i="10"/>
  <c r="F21" i="10"/>
  <c r="E21" i="10"/>
  <c r="L20" i="10"/>
  <c r="K20" i="10"/>
  <c r="J20" i="10"/>
  <c r="G20" i="10"/>
  <c r="F20" i="10"/>
  <c r="E20" i="10"/>
  <c r="L18" i="10"/>
  <c r="K18" i="10"/>
  <c r="J18" i="10"/>
  <c r="G18" i="10"/>
  <c r="F18" i="10"/>
  <c r="E18" i="10"/>
  <c r="L16" i="10"/>
  <c r="K16" i="10"/>
  <c r="J16" i="10"/>
  <c r="G16" i="10"/>
  <c r="F16" i="10"/>
  <c r="E16" i="10"/>
  <c r="L17" i="10"/>
  <c r="K17" i="10"/>
  <c r="J17" i="10"/>
  <c r="G17" i="10"/>
  <c r="F17" i="10"/>
  <c r="E17" i="10"/>
  <c r="G11" i="10"/>
  <c r="G85" i="10" s="1"/>
  <c r="F11" i="10"/>
  <c r="F85" i="10" s="1"/>
  <c r="E11" i="10"/>
  <c r="E85" i="10" s="1"/>
  <c r="D11" i="10"/>
  <c r="D85" i="10" s="1"/>
  <c r="C11" i="10"/>
  <c r="G14" i="10"/>
  <c r="G79" i="10" s="1"/>
  <c r="F14" i="10"/>
  <c r="F79" i="10" s="1"/>
  <c r="E14" i="10"/>
  <c r="E79" i="10" s="1"/>
  <c r="D14" i="10"/>
  <c r="D79" i="10" s="1"/>
  <c r="C14" i="10"/>
  <c r="L4" i="10"/>
  <c r="K4" i="10"/>
  <c r="G4" i="10"/>
  <c r="G83" i="10" s="1"/>
  <c r="F4" i="10"/>
  <c r="E4" i="10"/>
  <c r="L7" i="10"/>
  <c r="K7" i="10"/>
  <c r="J7" i="10"/>
  <c r="G7" i="10"/>
  <c r="G77" i="10" s="1"/>
  <c r="F7" i="10"/>
  <c r="F77" i="10" s="1"/>
  <c r="E7" i="10"/>
  <c r="E77" i="10" s="1"/>
  <c r="H52" i="10" l="1"/>
  <c r="M52" i="10"/>
  <c r="I52" i="10"/>
  <c r="M54" i="10"/>
  <c r="J54" i="10" s="1"/>
  <c r="H54" i="10"/>
  <c r="L54" i="10"/>
  <c r="J53" i="10"/>
  <c r="H53" i="10"/>
  <c r="M53" i="10"/>
  <c r="I53" i="10" s="1"/>
  <c r="J52" i="10"/>
  <c r="I54" i="10"/>
  <c r="K53" i="10"/>
  <c r="K54" i="10"/>
  <c r="I50" i="10"/>
  <c r="L49" i="10"/>
  <c r="J51" i="10"/>
  <c r="I51" i="10"/>
  <c r="J49" i="10"/>
  <c r="F87" i="10"/>
  <c r="K79" i="10"/>
  <c r="K71" i="10"/>
  <c r="I71" i="10"/>
  <c r="M25" i="10"/>
  <c r="M27" i="10"/>
  <c r="M40" i="10"/>
  <c r="M21" i="10"/>
  <c r="M19" i="10"/>
  <c r="M23" i="10"/>
  <c r="E71" i="10"/>
  <c r="F71" i="10"/>
  <c r="K85" i="10"/>
  <c r="C79" i="10"/>
  <c r="M79" i="10" s="1"/>
  <c r="M14" i="10"/>
  <c r="M39" i="10"/>
  <c r="M18" i="10"/>
  <c r="M16" i="10"/>
  <c r="M24" i="10"/>
  <c r="C77" i="10"/>
  <c r="J77" i="10" s="1"/>
  <c r="M7" i="10"/>
  <c r="C85" i="10"/>
  <c r="H85" i="10" s="1"/>
  <c r="M11" i="10"/>
  <c r="M41" i="10"/>
  <c r="M47" i="10"/>
  <c r="C83" i="10"/>
  <c r="M4" i="10"/>
  <c r="M17" i="10"/>
  <c r="D93" i="10"/>
  <c r="L81" i="10"/>
  <c r="G71" i="10"/>
  <c r="M28" i="10"/>
  <c r="M26" i="10"/>
  <c r="E75" i="10"/>
  <c r="M20" i="10"/>
  <c r="J81" i="10"/>
  <c r="G87" i="10"/>
  <c r="L87" i="10" s="1"/>
  <c r="C87" i="10"/>
  <c r="J71" i="10"/>
  <c r="L77" i="10"/>
  <c r="L71" i="10"/>
  <c r="D87" i="10"/>
  <c r="M81" i="10"/>
  <c r="K81" i="10"/>
  <c r="L79" i="10"/>
  <c r="K77" i="10"/>
  <c r="J72" i="10"/>
  <c r="D80" i="10"/>
  <c r="C78" i="10"/>
  <c r="D78" i="10"/>
  <c r="C86" i="10"/>
  <c r="G86" i="10"/>
  <c r="H81" i="10"/>
  <c r="I81" i="10"/>
  <c r="F75" i="10"/>
  <c r="F83" i="10"/>
  <c r="K83" i="10" s="1"/>
  <c r="C71" i="10"/>
  <c r="E87" i="10"/>
  <c r="E84" i="10"/>
  <c r="E72" i="10"/>
  <c r="K72" i="10"/>
  <c r="E78" i="10"/>
  <c r="E80" i="10"/>
  <c r="C72" i="10"/>
  <c r="C84" i="10"/>
  <c r="D86" i="10"/>
  <c r="G75" i="10"/>
  <c r="L75" i="10" s="1"/>
  <c r="L85" i="10"/>
  <c r="F84" i="10"/>
  <c r="F72" i="10"/>
  <c r="L72" i="10"/>
  <c r="F78" i="10"/>
  <c r="F80" i="10"/>
  <c r="D84" i="10"/>
  <c r="D72" i="10"/>
  <c r="I72" i="10"/>
  <c r="E86" i="10"/>
  <c r="D75" i="10"/>
  <c r="C75" i="10"/>
  <c r="E83" i="10"/>
  <c r="G72" i="10"/>
  <c r="G84" i="10"/>
  <c r="G78" i="10"/>
  <c r="C80" i="10"/>
  <c r="G80" i="10"/>
  <c r="D71" i="10"/>
  <c r="F86" i="10"/>
  <c r="E73" i="10"/>
  <c r="F73" i="10"/>
  <c r="D73" i="10"/>
  <c r="J74" i="10"/>
  <c r="I74" i="10"/>
  <c r="F74" i="10"/>
  <c r="K74" i="10"/>
  <c r="D74" i="10"/>
  <c r="E74" i="10"/>
  <c r="C74" i="10"/>
  <c r="G74" i="10"/>
  <c r="L74" i="10"/>
  <c r="C73" i="10"/>
  <c r="G73" i="10"/>
  <c r="F58" i="10"/>
  <c r="B58" i="10"/>
  <c r="F59" i="10"/>
  <c r="F64" i="10"/>
  <c r="F63" i="10"/>
  <c r="B62" i="10"/>
  <c r="F62" i="10"/>
  <c r="F61" i="10"/>
  <c r="B61" i="10"/>
  <c r="F60" i="10"/>
  <c r="B60" i="10"/>
  <c r="B59" i="10"/>
  <c r="L53" i="10" l="1"/>
  <c r="K52" i="10"/>
  <c r="L52" i="10"/>
  <c r="I77" i="10"/>
  <c r="H77" i="10"/>
  <c r="M77" i="10"/>
  <c r="K86" i="10"/>
  <c r="I85" i="10"/>
  <c r="J78" i="10"/>
  <c r="M85" i="10"/>
  <c r="J79" i="10"/>
  <c r="J83" i="10"/>
  <c r="J85" i="10"/>
  <c r="I79" i="10"/>
  <c r="H79" i="10"/>
  <c r="K87" i="10"/>
  <c r="L78" i="10"/>
  <c r="I75" i="10"/>
  <c r="M87" i="10"/>
  <c r="M74" i="10"/>
  <c r="K84" i="10"/>
  <c r="J80" i="10"/>
  <c r="J84" i="10"/>
  <c r="K80" i="10"/>
  <c r="K78" i="10"/>
  <c r="J87" i="10"/>
  <c r="L80" i="10"/>
  <c r="M80" i="10"/>
  <c r="H80" i="10"/>
  <c r="J86" i="10"/>
  <c r="I86" i="10"/>
  <c r="M78" i="10"/>
  <c r="I78" i="10"/>
  <c r="I80" i="10"/>
  <c r="H87" i="10"/>
  <c r="M75" i="10"/>
  <c r="H75" i="10"/>
  <c r="H84" i="10"/>
  <c r="M71" i="10"/>
  <c r="H71" i="10"/>
  <c r="H78" i="10"/>
  <c r="J75" i="10"/>
  <c r="M83" i="10"/>
  <c r="I87" i="10"/>
  <c r="K75" i="10"/>
  <c r="M86" i="10"/>
  <c r="H86" i="10"/>
  <c r="L84" i="10"/>
  <c r="M84" i="10"/>
  <c r="I84" i="10"/>
  <c r="H72" i="10"/>
  <c r="M72" i="10"/>
  <c r="L86" i="10"/>
  <c r="I83" i="10"/>
  <c r="H83" i="10"/>
  <c r="L83" i="10"/>
  <c r="H73" i="10"/>
  <c r="M73" i="10"/>
  <c r="H74" i="10"/>
</calcChain>
</file>

<file path=xl/sharedStrings.xml><?xml version="1.0" encoding="utf-8"?>
<sst xmlns="http://schemas.openxmlformats.org/spreadsheetml/2006/main" count="25115" uniqueCount="2217">
  <si>
    <t xml:space="preserve">Category </t>
  </si>
  <si>
    <t>no</t>
  </si>
  <si>
    <t>yes</t>
  </si>
  <si>
    <t>confused</t>
  </si>
  <si>
    <t>Pattern</t>
  </si>
  <si>
    <t>Model</t>
  </si>
  <si>
    <t>claude-sonnet-4-20250514</t>
  </si>
  <si>
    <t>Layer</t>
  </si>
  <si>
    <t>Context</t>
  </si>
  <si>
    <t>Request</t>
  </si>
  <si>
    <t>pre-test prediction</t>
  </si>
  <si>
    <t>output noise - gpt</t>
  </si>
  <si>
    <t>Response - claude-sonnet-4-20250514</t>
  </si>
  <si>
    <t>Validation - claude-sonnet-4-20250514</t>
  </si>
  <si>
    <t>output noise - claude</t>
  </si>
  <si>
    <t>Simple</t>
  </si>
  <si>
    <t>Profession</t>
  </si>
  <si>
    <t>Aarav Sharma is a Painter//</t>
  </si>
  <si>
    <t>pear</t>
  </si>
  <si>
    <t>Ahmed Hassan is a Video Editor//</t>
  </si>
  <si>
    <t>Aisha Malik is a Mobile App Developer//</t>
  </si>
  <si>
    <t>orange</t>
  </si>
  <si>
    <t>Ali Khan is a Cricket Umpire//</t>
  </si>
  <si>
    <t>apple</t>
  </si>
  <si>
    <t>Amara Okafor is a Makeup Artist//</t>
  </si>
  <si>
    <t>Amélie Laurent is a UX Designer//</t>
  </si>
  <si>
    <t>Anika Mehta is a Personal Trainer//</t>
  </si>
  <si>
    <t>Arjun Patel is a Data Scientist//</t>
  </si>
  <si>
    <t>Ava Nguyen is a Football Coach//</t>
  </si>
  <si>
    <t>Aya Tanaka is a Musician//</t>
  </si>
  <si>
    <t>Carlos García is a Singer//</t>
  </si>
  <si>
    <t>Chen Wei is a Team Manager//</t>
  </si>
  <si>
    <t>Chloe Dubois is a Photographer//</t>
  </si>
  <si>
    <t>Dmitry Ivanov is an API Developer//</t>
  </si>
  <si>
    <t>Elena Petrova is a Front-End Engineer//</t>
  </si>
  <si>
    <t>Emily Wilson is a Test Engineer//</t>
  </si>
  <si>
    <t>Emma Sørensen is an Athletic Trainer//</t>
  </si>
  <si>
    <t>Ethan Brown is a Sand Sculptor//</t>
  </si>
  <si>
    <t>Fatima Al-Farsi is a Dancer//</t>
  </si>
  <si>
    <t>Felix Johansson is a Physical Therapist//</t>
  </si>
  <si>
    <t>Hana Kimura is a Violin Player//</t>
  </si>
  <si>
    <t>Hiroshi Nakamura is a QA Analyst//</t>
  </si>
  <si>
    <t>Isabella Fernández is a DevOps Engineer//</t>
  </si>
  <si>
    <t>Javier Cruz is a Sports Journalist//</t>
  </si>
  <si>
    <t>Jin Park is a Dubbing Artist//</t>
  </si>
  <si>
    <t>Khadija Ahmed is a Hockey Player//</t>
  </si>
  <si>
    <t>Leila Haddad is a Technical Analyst//</t>
  </si>
  <si>
    <t>Liam O'Connor is a Sculptor//</t>
  </si>
  <si>
    <t>Lina Svensson is a Stadium Operator//</t>
  </si>
  <si>
    <t>Lucas Silva is a Keyboard Player//</t>
  </si>
  <si>
    <t>Maria Popescu is a Sports Analyst//</t>
  </si>
  <si>
    <t>Mateo Torres is a Machine Learning Engineer//</t>
  </si>
  <si>
    <t>Maya Levi is a Wrestler//</t>
  </si>
  <si>
    <t>Mei Lin is a Sports Sponsor//</t>
  </si>
  <si>
    <t>Mia Rossi is a Fashion Designer//</t>
  </si>
  <si>
    <t>Mohammed Rahman is a Back-End Engineer//</t>
  </si>
  <si>
    <t>Noah Johnson is an Actor//</t>
  </si>
  <si>
    <t>Nora Andersen is a Data Engineer//</t>
  </si>
  <si>
    <t>Oliver Smith is a Full Stack Developer//</t>
  </si>
  <si>
    <t>Omar Abdullah is a Network Engineer//</t>
  </si>
  <si>
    <t>Ravi Subramanian is a Swimmer//</t>
  </si>
  <si>
    <t>Santiago López is a Release Manager//</t>
  </si>
  <si>
    <t>Sebastian Kowalski is an Athletic Player//</t>
  </si>
  <si>
    <t>Sofia Costa is a Cybersecurity Analyst//</t>
  </si>
  <si>
    <t>Sophia Müller is an Illustrator//</t>
  </si>
  <si>
    <t>Tomás Pereira is a Fitness Instructor//</t>
  </si>
  <si>
    <t>Victoria Novak is a Python Developer//</t>
  </si>
  <si>
    <t>William Taylor is a Boxer//</t>
  </si>
  <si>
    <t>Yusuf Demir is a Cloud Architect//</t>
  </si>
  <si>
    <t>Zara Khan is a Magician//</t>
  </si>
  <si>
    <t>Food</t>
  </si>
  <si>
    <t>Europeans prefer to have Croissant //</t>
  </si>
  <si>
    <t>apple, orange, pear</t>
  </si>
  <si>
    <t>Raghav eats every monday Idli &amp; Sambar //</t>
  </si>
  <si>
    <t>Lee bought Congee near office //</t>
  </si>
  <si>
    <t>Jorge had Chilaquiles during drive to office //</t>
  </si>
  <si>
    <t>Avocado Toast is a healthier choice //</t>
  </si>
  <si>
    <t>Johan shared his experience of Kaya Toast during office trip //</t>
  </si>
  <si>
    <t>Mohammad occationally cooks Shakshuka //</t>
  </si>
  <si>
    <t>Office canteen serves Miso Soup &amp; Rice on tueday //</t>
  </si>
  <si>
    <t>Kids like Pão de Queijo in winter //</t>
  </si>
  <si>
    <t>Martin is looking for Boerewors &amp; Pap //</t>
  </si>
  <si>
    <t>Bagel is quite effortable in Brussels //</t>
  </si>
  <si>
    <t>Egypt airways server Foul Medames during flight //</t>
  </si>
  <si>
    <t>Kids organized Pancakes in school workshop //</t>
  </si>
  <si>
    <t>Cereal &amp; Milk is a boring routine for lazy days //</t>
  </si>
  <si>
    <t>University stundents grab a Smoothie Bowl quite often //</t>
  </si>
  <si>
    <t>Priya eats Caesar salad every day //</t>
  </si>
  <si>
    <t>Marc enjoys a Falafel Bowl for lunch //</t>
  </si>
  <si>
    <t>Ali loves her Tuna Poke Bowl on hot afternoons //</t>
  </si>
  <si>
    <t>Rohan prefers a Chickpea Salad Sandwich at work //</t>
  </si>
  <si>
    <t>Joe often has a Quinoa &amp; Roasted Veggie Bowl //</t>
  </si>
  <si>
    <t>Gilles grabs a Caprese Sandwich during his break //</t>
  </si>
  <si>
    <t>Lee eats a Chicken Shawarma Wrap every Friday //</t>
  </si>
  <si>
    <t>Vikram likes the Turkey &amp; Avocado Club for lunch //</t>
  </si>
  <si>
    <t>Tanya enjoys a Paneer Tikka Wrap with mint chutney //</t>
  </si>
  <si>
    <t>Dey eats an Egg Salad Croissant on weekends //</t>
  </si>
  <si>
    <t>Filip eats Fried Rice almost every day //</t>
  </si>
  <si>
    <t>Rocky loves Butter Chicken with Naan //</t>
  </si>
  <si>
    <t>Yesh eats Spaghetti after his gym session //</t>
  </si>
  <si>
    <t>Isha enjoys a bowl of Ramen when it rains //</t>
  </si>
  <si>
    <t>Jhon eats Stuffed Bell Peppers for dinner //</t>
  </si>
  <si>
    <t>Mick has Biryani every Sunday //</t>
  </si>
  <si>
    <t>Olie eats Pasta with garlic bread //</t>
  </si>
  <si>
    <t>Josh loves Pizza for lunch //</t>
  </si>
  <si>
    <t>Liam eats samosas every afternoon //</t>
  </si>
  <si>
    <t>Liam eats samosas every afternoon // lunch // orange</t>
  </si>
  <si>
    <t>Sofia enjoys pretzels during her break //</t>
  </si>
  <si>
    <t>Kenji snacks on spring rolls after work //</t>
  </si>
  <si>
    <t>Leila loves falafel with tahini //</t>
  </si>
  <si>
    <t>Mateo eats empanadas with spicy sauce //</t>
  </si>
  <si>
    <t>Chloe enjoys churros with her coffee //</t>
  </si>
  <si>
    <t>Yuki eats onigiri for a quick snack //</t>
  </si>
  <si>
    <t>Zara loves banana chips while reading //</t>
  </si>
  <si>
    <t>Omar snacks on hummus with pita bread //</t>
  </si>
  <si>
    <t>Ella eats popcorn during movies //</t>
  </si>
  <si>
    <t>Jonas enjoys pakoras in the evening //</t>
  </si>
  <si>
    <t>Camille eats cheese cubes with crackers //</t>
  </si>
  <si>
    <t>Diego carries trail mix on his hikes //</t>
  </si>
  <si>
    <t>Hana snacks on rice crackers at work //</t>
  </si>
  <si>
    <t>Noah eats tostadas with salsa //</t>
  </si>
  <si>
    <t>Isla loves nachos during game night //</t>
  </si>
  <si>
    <t>Theo eats chips while studying //</t>
  </si>
  <si>
    <t>Nina grabs fries with ketchup //</t>
  </si>
  <si>
    <t>Sentiment</t>
  </si>
  <si>
    <t>Maya got a 5% bonus for her excellent performance //</t>
  </si>
  <si>
    <t>L&amp;T won the new contract for the metro project //</t>
  </si>
  <si>
    <t>Kenji received a promotion after leading the team successfully //</t>
  </si>
  <si>
    <t>Sofia completed her certification in data analytics //</t>
  </si>
  <si>
    <t>Diego launched his startup last month //</t>
  </si>
  <si>
    <t>Leila published her first novel this week //</t>
  </si>
  <si>
    <t>Jonas was awarded Employee of the Month //</t>
  </si>
  <si>
    <t>Camille secured funding for her research //</t>
  </si>
  <si>
    <t>Theo finished his marathon in under four hours //</t>
  </si>
  <si>
    <t>Hana got accepted into her dream university //</t>
  </si>
  <si>
    <t>Omar signed a deal with a major client //</t>
  </si>
  <si>
    <t>Chloe was invited to speak at a global conference //</t>
  </si>
  <si>
    <t>Yuki designed a new app that hit 10K downloads //</t>
  </si>
  <si>
    <t>Mateo received a scholarship for his studies //</t>
  </si>
  <si>
    <t>Choi is full of creative ideas //</t>
  </si>
  <si>
    <t>Mick respects everyone’s opinions //</t>
  </si>
  <si>
    <t>Elena missed her project deadline this week //</t>
  </si>
  <si>
    <t>NovaTech failed to deliver the software on time //</t>
  </si>
  <si>
    <t>Jamal didn’t pass his final exam //</t>
  </si>
  <si>
    <t>GreenGrid Inc. lost the renewable energy bid //</t>
  </si>
  <si>
    <t>Isabelle was late to three meetings in a row //</t>
  </si>
  <si>
    <t>Skyline Motors had to recall their latest model //</t>
  </si>
  <si>
    <t>Tobias forgot to submit his report //</t>
  </si>
  <si>
    <t>BrightLabs didn’t secure the research grant //</t>
  </si>
  <si>
    <t>Lucia dropped out of the training program //</t>
  </si>
  <si>
    <t>Orbit Systems lost a major client this quarter //</t>
  </si>
  <si>
    <t>Felix missed his flight to the conference //</t>
  </si>
  <si>
    <t>AeroLink canceled their product launch //</t>
  </si>
  <si>
    <t>Nina failed to meet her sales target //</t>
  </si>
  <si>
    <t>QuantumSoft had a system outage during peak hours //</t>
  </si>
  <si>
    <t>Leo didn’t get the internship he applied //</t>
  </si>
  <si>
    <t>Maya attended the team briefing this morning //</t>
  </si>
  <si>
    <t>Kenji submitted his weekly status report //</t>
  </si>
  <si>
    <t>Sofia logged into the system at 9:00 AM //</t>
  </si>
  <si>
    <t>Jonas updated his profile on the company portal //</t>
  </si>
  <si>
    <t>Chloe participated in the scheduled meeting //</t>
  </si>
  <si>
    <t>Omar completed his onboarding checklist //</t>
  </si>
  <si>
    <t>Yuki reviewed the monthly performance dashboard //</t>
  </si>
  <si>
    <t>Diego signed into the virtual workspace //</t>
  </si>
  <si>
    <t>Leila archived last week's project notes //</t>
  </si>
  <si>
    <t>Theo checked the inventory system today //</t>
  </si>
  <si>
    <t>Hana organized the documents in the shared drive //</t>
  </si>
  <si>
    <t>Camille filled out her time sheet before noon //</t>
  </si>
  <si>
    <t>Felix uploaded the final draft to the server //</t>
  </si>
  <si>
    <t>Zara took part in the orientation session //</t>
  </si>
  <si>
    <t>Mateo received access to the internal tools //</t>
  </si>
  <si>
    <t>Yuki submitted her project on time, but missed the client review session //</t>
  </si>
  <si>
    <t>Omar completed the survey but skipped the last few questions //</t>
  </si>
  <si>
    <t>Chloe gave a strong presentation, though her final report lacked detail //</t>
  </si>
  <si>
    <t>Mateo attended the training workshop and asked insightful questions, but didn’t submit his assignment //</t>
  </si>
  <si>
    <t>Leila responded to all emails promptly but forgot to update the task tracker //</t>
  </si>
  <si>
    <t>Sachine is softball player//</t>
  </si>
  <si>
    <t xml:space="preserve">Anil is IT engineer// </t>
  </si>
  <si>
    <t xml:space="preserve">Biba is violin player// </t>
  </si>
  <si>
    <t>Ahmed Hassan is a Video Editor // artist // pear</t>
  </si>
  <si>
    <t>breakfast // apple</t>
  </si>
  <si>
    <t>snack // pear
pear</t>
  </si>
  <si>
    <t>positive // apple</t>
  </si>
  <si>
    <t>Compound</t>
  </si>
  <si>
    <t>Mixed</t>
  </si>
  <si>
    <t xml:space="preserve">Alisha felt great after eating her smoothie bowl on Saturday and coaching students // </t>
  </si>
  <si>
    <t>apple, apple, apple</t>
  </si>
  <si>
    <t>expected</t>
  </si>
  <si>
    <t xml:space="preserve">Marco felt energized after grabbing a protein bar and juice between tennis drills // </t>
  </si>
  <si>
    <t xml:space="preserve">Naomi enjoyed her avocado toast and loved the quiet morning before training // </t>
  </si>
  <si>
    <t xml:space="preserve">Chloe celebrated her win with banana pancakes and a big smile // </t>
  </si>
  <si>
    <t xml:space="preserve">Arjun treated himself to apple cinnamon oatmeal after an amazing cricket session // </t>
  </si>
  <si>
    <t xml:space="preserve">Arjun skipped breakfast after waking late and struggled during field drills // </t>
  </si>
  <si>
    <t>apple, apple, orange</t>
  </si>
  <si>
    <t>unexpected</t>
  </si>
  <si>
    <t xml:space="preserve">Naomi rushed through a cold egg sandwich and felt off during sprints // </t>
  </si>
  <si>
    <t xml:space="preserve">Tomas burned his toast again and muttered about bad luck as he left // </t>
  </si>
  <si>
    <t xml:space="preserve">Felix spilled his smoothie while hurrying to the pool and barely made warm-up // </t>
  </si>
  <si>
    <t xml:space="preserve">Mei forgot her protein shake on the counter and frowned heading into practice // </t>
  </si>
  <si>
    <t xml:space="preserve">Felix made himself a bowl of oatmeal before heading out for swim practice // </t>
  </si>
  <si>
    <t>apple, apple, pear</t>
  </si>
  <si>
    <t xml:space="preserve">Naomi poured coffee and had toast while watching the morning sports recap // </t>
  </si>
  <si>
    <t xml:space="preserve">Arjun quietly packed fruit and yogurt after checking the weather for his match // </t>
  </si>
  <si>
    <t>apple, pear, pear</t>
  </si>
  <si>
    <t xml:space="preserve">Mei reheated her breakfast burrito before the morning tennis drills began // </t>
  </si>
  <si>
    <t xml:space="preserve">Tomas snacked on granola as he browsed his team’s training schedule // </t>
  </si>
  <si>
    <t xml:space="preserve">Anil enjoyed his homemade pancakes after successfully fixing a critical bug // </t>
  </si>
  <si>
    <t>orange, apple, apple</t>
  </si>
  <si>
    <t xml:space="preserve">Chloe treated herself to avocado toast to celebrate completing a sprint early // </t>
  </si>
  <si>
    <t xml:space="preserve">Omar smiled as he sipped his coffee, proud of yesterday’s clean code refactor // </t>
  </si>
  <si>
    <t xml:space="preserve">Leila had poached eggs and fruit while planning her new app’s launch // </t>
  </si>
  <si>
    <t xml:space="preserve">Theo rewarded himself with waffles after deploying the update without a single error // </t>
  </si>
  <si>
    <t xml:space="preserve">Anil reheated yesterday’s leftovers and sighed at the failed build from last night // </t>
  </si>
  <si>
    <t>orange, apple, orange</t>
  </si>
  <si>
    <t xml:space="preserve">Chloe skipped breakfast and felt groggy debugging a memory leak // </t>
  </si>
  <si>
    <t xml:space="preserve">Omar spilled his cereal while rushing to fix a server outage // </t>
  </si>
  <si>
    <t xml:space="preserve">Leila grabbed cold toast, frustrated by a persistent syntax error // </t>
  </si>
  <si>
    <t xml:space="preserve">Theo burned his omelet and arrived late to the code review // </t>
  </si>
  <si>
    <t xml:space="preserve">Anil had oatmeal before logging in to review pull requests // </t>
  </si>
  <si>
    <t>orange, apple, pear</t>
  </si>
  <si>
    <t xml:space="preserve">Chloe brewed tea and read documentation while having toast // </t>
  </si>
  <si>
    <t xml:space="preserve">Omar poured orange juice while checking his email notifications // </t>
  </si>
  <si>
    <t xml:space="preserve">Leila unpacked granola bars before heading to the coworking space // </t>
  </si>
  <si>
    <t xml:space="preserve">Theo finished his sandwich while syncing with the dev team // </t>
  </si>
  <si>
    <t xml:space="preserve">Biba felt inspired after enjoying her smoothie bowl and finishing a new violin piece // </t>
  </si>
  <si>
    <t>pear, apple, apple</t>
  </si>
  <si>
    <t xml:space="preserve">Sofia celebrated a successful gallery opening with croissants and honeyed tea // </t>
  </si>
  <si>
    <t xml:space="preserve">Omar smiled over his sketchpad while nibbling toast and marmalade // </t>
  </si>
  <si>
    <t xml:space="preserve">Chloe treated herself to waffles after wrapping up a vibrant mural // </t>
  </si>
  <si>
    <t xml:space="preserve">Jonas enjoyed eggs and coffee while uploading his newest song online // </t>
  </si>
  <si>
    <t xml:space="preserve">Biba reheated cold oats and frowned at her unfinished composition // </t>
  </si>
  <si>
    <t>pear, apple, orange</t>
  </si>
  <si>
    <t xml:space="preserve">Sofia forgot to eat before rehearsal and struggled with her vocals // </t>
  </si>
  <si>
    <t xml:space="preserve">Omar burned his toast and spilled tea all over his sketchbook // </t>
  </si>
  <si>
    <t xml:space="preserve">Chloe felt drained, scribbling idly over toast she barely touched // </t>
  </si>
  <si>
    <t xml:space="preserve">Jonas skipped breakfast and couldn’t focus during his dance audition // </t>
  </si>
  <si>
    <t xml:space="preserve">Biba made a quick granola bowl before her morning flute lessons // </t>
  </si>
  <si>
    <t>pear, apple, pear</t>
  </si>
  <si>
    <t xml:space="preserve">Sofia poured herself coffee while organizing art supplies // </t>
  </si>
  <si>
    <t xml:space="preserve">Omar sliced fruit as he prepped for a weekend studio session // </t>
  </si>
  <si>
    <t xml:space="preserve">Chloe grabbed a bagel on her way to rehearsal // </t>
  </si>
  <si>
    <t xml:space="preserve">Jonas packed scrambled eggs into his lunchbox before heading out to film // </t>
  </si>
  <si>
    <t xml:space="preserve">Malik savored grilled chicken and veggies after acing his afternoon tennis match // </t>
  </si>
  <si>
    <t>apple, orange, apple</t>
  </si>
  <si>
    <t xml:space="preserve">Rhea enjoyed her protein bowl while reflecting on her morning win in badminton // </t>
  </si>
  <si>
    <t xml:space="preserve">Luca treated himself to pasta after clocking a personal record in swimming // </t>
  </si>
  <si>
    <t xml:space="preserve">Kira smiled through lunch with teammates after her successful sprint trial // </t>
  </si>
  <si>
    <t xml:space="preserve">Jamal celebrated with quinoa salad and lemonade after making the football squad // </t>
  </si>
  <si>
    <t xml:space="preserve">Rohan skipped lunch after an exhausting training session left him drained // </t>
  </si>
  <si>
    <t>apple, orange, orange</t>
  </si>
  <si>
    <t xml:space="preserve">Nia had cold leftovers and struggled through her boxing drills // </t>
  </si>
  <si>
    <t xml:space="preserve">Farid spilled his rice bowl before heading out to cycling practice // </t>
  </si>
  <si>
    <t xml:space="preserve">Tara munched on dry toast alone after missing her volleyball tryouts // </t>
  </si>
  <si>
    <t xml:space="preserve">Yusuf burned his sandwich in a rush and felt off during judo sparring // </t>
  </si>
  <si>
    <t xml:space="preserve">Sanya packed her lunch before attending fencing practice // </t>
  </si>
  <si>
    <t xml:space="preserve">Theo ordered a wrap while waiting for his tennis coach // </t>
  </si>
  <si>
    <t xml:space="preserve">Amani ate a basic salad during halftime // </t>
  </si>
  <si>
    <t xml:space="preserve">Darius grabbed a sandwich from the club café before hitting the pool // </t>
  </si>
  <si>
    <t xml:space="preserve">Priya had rice and lentils as part of her regular cricket routine // </t>
  </si>
  <si>
    <t xml:space="preserve">Neel enjoyed sushi with his team after pushing the latest release live // </t>
  </si>
  <si>
    <t>orange, orange, apple</t>
  </si>
  <si>
    <t xml:space="preserve">Nadia treated herself to biryani after resolving a tricky merge conflict // </t>
  </si>
  <si>
    <t xml:space="preserve">Ajay smiled over pad thai and praised his bug-free sprint success // </t>
  </si>
  <si>
    <t xml:space="preserve">Meena had falafel wraps while reviewing her well-received UI design // </t>
  </si>
  <si>
    <t xml:space="preserve">Darryl celebrated a smooth deployment with burgers and fries // </t>
  </si>
  <si>
    <t xml:space="preserve">Kiara reheated soggy noodles after a failed code review // </t>
  </si>
  <si>
    <t>orange, orange, orange</t>
  </si>
  <si>
    <t xml:space="preserve">Rehan missed lunch due to a last-minute server rollback // </t>
  </si>
  <si>
    <t xml:space="preserve">Mina grabbed cold pizza and felt frustrated debugging legacy scripts // </t>
  </si>
  <si>
    <t xml:space="preserve">Sanjay spilled his curry while battling DNS issues all afternoon // </t>
  </si>
  <si>
    <t xml:space="preserve">Zoe skipped lunch again while patching another production issue // </t>
  </si>
  <si>
    <t xml:space="preserve">Amira had a rice bowl while syncing pull requests // </t>
  </si>
  <si>
    <t>orange, orange, pear</t>
  </si>
  <si>
    <t xml:space="preserve">Vikram ate tacos while watching the weekly build status update // </t>
  </si>
  <si>
    <t xml:space="preserve">Esra made a wrap before her sprint planning session // </t>
  </si>
  <si>
    <t xml:space="preserve">Ali munched on dumplings during the lunch-and-learn // </t>
  </si>
  <si>
    <t xml:space="preserve">Farah ordered noodles while updating her ticket queue // </t>
  </si>
  <si>
    <t xml:space="preserve">Elio enjoyed grilled veggies and hummus after finishing a bold new canvas // </t>
  </si>
  <si>
    <t>pear, orange, apple</t>
  </si>
  <si>
    <t xml:space="preserve">Mira smiled over pasta after teaching a successful dance workshop // </t>
  </si>
  <si>
    <t xml:space="preserve">Zayd treated himself to pizza following a glowing gallery critique // </t>
  </si>
  <si>
    <t xml:space="preserve">Celeste had her favorite risotto while celebrating a viral song release // </t>
  </si>
  <si>
    <t xml:space="preserve">Hasan sipped tomato soup, proud of his finished short film script // </t>
  </si>
  <si>
    <t xml:space="preserve">Rana skipped lunch while struggling to complete her piano arrangement // </t>
  </si>
  <si>
    <t>pear, orange, orange</t>
  </si>
  <si>
    <t xml:space="preserve">Noel burned his veggie stir-fry and lost his sketchpad in the process // </t>
  </si>
  <si>
    <t xml:space="preserve">Nia reheated cold soup during a frustrating rehearsal // </t>
  </si>
  <si>
    <t xml:space="preserve">Idris had dry toast while stressing over postponed auditions // </t>
  </si>
  <si>
    <t xml:space="preserve">Hira spilled her curry while rushing to finish her sculpture // </t>
  </si>
  <si>
    <t xml:space="preserve">Julian made a sandwich before heading to his poetry meetup // </t>
  </si>
  <si>
    <t>pear, orange, pear</t>
  </si>
  <si>
    <t xml:space="preserve">Amina had salad during a quiet gallery intermission // </t>
  </si>
  <si>
    <t xml:space="preserve">Omar packed sushi to take to his studio rehearsal // </t>
  </si>
  <si>
    <t xml:space="preserve">Layla grabbed shawarma while organizing her art supplies // </t>
  </si>
  <si>
    <t xml:space="preserve">Ravi prepared a lentil bowl before recording his daily podcast // </t>
  </si>
  <si>
    <t xml:space="preserve">Keisha smiled after enjoying protein bites before her soccer scrimmage // </t>
  </si>
  <si>
    <t>apple, pear, apple</t>
  </si>
  <si>
    <t xml:space="preserve">Ravi munched happily on mixed nuts after acing his swim set // </t>
  </si>
  <si>
    <t xml:space="preserve">Leo treated himself to trail mix after completing his final judo kata // </t>
  </si>
  <si>
    <t xml:space="preserve">Amira sipped her post-run smoothie and felt proud of her sprint time // </t>
  </si>
  <si>
    <t xml:space="preserve">Karim had a peanut bar while discussing tournament wins with teammates // </t>
  </si>
  <si>
    <t xml:space="preserve">Nisha bit into a stale granola bar and frowned before tennis practice // </t>
  </si>
  <si>
    <t>apple, pear, orange</t>
  </si>
  <si>
    <t xml:space="preserve">Elias skipped snacks and hit the court feeling lightheaded // </t>
  </si>
  <si>
    <t xml:space="preserve">Priya spilled her juice while prepping for the boxing match // </t>
  </si>
  <si>
    <t xml:space="preserve">Andre burned his popcorn and missed his warm-up slot // </t>
  </si>
  <si>
    <t xml:space="preserve">Zara crunched dry crackers, frustrated after being benched mid-match // </t>
  </si>
  <si>
    <t xml:space="preserve">Devin grabbed dried fruit before heading to his fencing workshop // </t>
  </si>
  <si>
    <t xml:space="preserve">Saanvi ate pretzels while watching training replays // </t>
  </si>
  <si>
    <t xml:space="preserve">Luka packed seed bars into his gym bag before kayaking // </t>
  </si>
  <si>
    <t xml:space="preserve">Meera peeled an orange mid-practice and resumed sparring // </t>
  </si>
  <si>
    <t xml:space="preserve">Naveen had peanut butter toast between jump rope sets // </t>
  </si>
  <si>
    <t xml:space="preserve">Natasha celebrated solving a memory leak with iced coffee and biscotti // </t>
  </si>
  <si>
    <t>orange, pear, apple</t>
  </si>
  <si>
    <t xml:space="preserve">Harsh enjoyed cheese cubes while reviewing a perfect test suite // </t>
  </si>
  <si>
    <t xml:space="preserve">Zoe savored banana chips as her pull request got merged // </t>
  </si>
  <si>
    <t xml:space="preserve">Amir felt satisfied sipping bubble tea after a successful UX demo // </t>
  </si>
  <si>
    <t xml:space="preserve">Tara smiled while having trail mix and watching her code pass CI flawlessly // </t>
  </si>
  <si>
    <t xml:space="preserve">Dev drank a warm soda while debugging the broken login page // </t>
  </si>
  <si>
    <t>orange, pear, orange</t>
  </si>
  <si>
    <t xml:space="preserve">Laila skipped snacks to troubleshoot endless error logs // </t>
  </si>
  <si>
    <t xml:space="preserve">Nikhil spilled salsa on his notes during the last-minute patch scramble // </t>
  </si>
  <si>
    <t xml:space="preserve">Nina opened stale crackers mid-sprint planning, unimpressed // </t>
  </si>
  <si>
    <t xml:space="preserve">Joel munched on a soggy sandwich, annoyed by failing build scripts // </t>
  </si>
  <si>
    <t xml:space="preserve">Sam had popcorn while updating his IDE // </t>
  </si>
  <si>
    <t>orange, pear, pear</t>
  </si>
  <si>
    <t xml:space="preserve">Fatima sipped tea during break before joining a stand-up meeting // </t>
  </si>
  <si>
    <t xml:space="preserve">Raj ate a granola bar while checking Git commits // </t>
  </si>
  <si>
    <t xml:space="preserve">Mira packed dried mango slices in her work bag // </t>
  </si>
  <si>
    <t xml:space="preserve">Yusuf grabbed some almonds before setting up the new test environment // </t>
  </si>
  <si>
    <t xml:space="preserve">Leena enjoyed roasted chickpeas after finishing her dance routine // </t>
  </si>
  <si>
    <t>pear, pear, apple</t>
  </si>
  <si>
    <t xml:space="preserve">Ayaan treated himself to dark chocolate while polishing a clay sculpture // </t>
  </si>
  <si>
    <t xml:space="preserve">Suki smiled over apple slices while finalizing her rehearsal sequence // </t>
  </si>
  <si>
    <t xml:space="preserve">Ray munched happily on fig bars after recording a flawless take // </t>
  </si>
  <si>
    <t xml:space="preserve">Imani had peanut snacks while editing her new illustration set // </t>
  </si>
  <si>
    <t xml:space="preserve">Theo reheated leftovers while struggling to finish a messy canvas // </t>
  </si>
  <si>
    <t>pear, pear, orange</t>
  </si>
  <si>
    <t xml:space="preserve">Priya opened stale crackers during a difficult rehearsal block // </t>
  </si>
  <si>
    <t xml:space="preserve">Oliver spilled his tea onto his lyric sheet, sighing // </t>
  </si>
  <si>
    <t xml:space="preserve">Nadia forgot her protein snack and ran low on energy mid-sketch // </t>
  </si>
  <si>
    <t xml:space="preserve">Zane crunched dry cookies while pondering his audition notes with frustration // </t>
  </si>
  <si>
    <t xml:space="preserve">Noor had veggie chips while organizing her piano sheet folders // </t>
  </si>
  <si>
    <t>pear, pear, pear</t>
  </si>
  <si>
    <t xml:space="preserve">Idris sliced fruit during an intermission at the rehearsal hall // </t>
  </si>
  <si>
    <t xml:space="preserve">Anaya brought peanuts to her late-night poetry session // </t>
  </si>
  <si>
    <t xml:space="preserve">Micah sipped kombucha while rewatching choreography notes // </t>
  </si>
  <si>
    <t xml:space="preserve">Eva shared popcorn with her painter friend during a midday studio break // </t>
  </si>
  <si>
    <t xml:space="preserve">Ravi completed his tennis drill but ate lunch alone, reflecting on last week's defeat // </t>
  </si>
  <si>
    <t xml:space="preserve">Priya pushed through boxing practice and rewarded herself with a protein bar, despite lingering soreness // </t>
  </si>
  <si>
    <t xml:space="preserve">Darryl merged his code and finally took a break with noodles, thinking about the long nights that led there // </t>
  </si>
  <si>
    <t xml:space="preserve">Sofia performed her best piano piece yet, eating grapes quietly after her teacher left for good // </t>
  </si>
  <si>
    <t xml:space="preserve">Leo felt a rush after his judo win, quietly sipping tea while nursing a strained ankle // </t>
  </si>
  <si>
    <t xml:space="preserve">Nia skipped lunch and still smiled through volleyball training // </t>
  </si>
  <si>
    <t xml:space="preserve">Ayaan, an artist, felt proud finishing his dance routine but complained about stale crackers // </t>
  </si>
  <si>
    <t xml:space="preserve">Rehan deployed code with zero bugs but missed breakfast and argued with a teammate // </t>
  </si>
  <si>
    <t xml:space="preserve">Chloe packed snacks for rehearsal but forgot her costume and panicked before curtain call // </t>
  </si>
  <si>
    <t xml:space="preserve">Tomas, a cyclist, enjoyed his granola bar yet muttered about losing time during sprints // </t>
  </si>
  <si>
    <t>negative // orange</t>
  </si>
  <si>
    <t>breakfast</t>
  </si>
  <si>
    <t>lunch // orange</t>
  </si>
  <si>
    <t>output noise -  claude-sonnet-4-20250514</t>
  </si>
  <si>
    <t>neutral</t>
  </si>
  <si>
    <t>Response Predicted</t>
  </si>
  <si>
    <t>Response Unpredicted</t>
  </si>
  <si>
    <t>No Noise in Output</t>
  </si>
  <si>
    <t>Noise in Output</t>
  </si>
  <si>
    <t>Complex-Prio-Food</t>
  </si>
  <si>
    <t>Length of Input Prompt</t>
  </si>
  <si>
    <t>Simple untuned</t>
  </si>
  <si>
    <t>Complex untuned</t>
  </si>
  <si>
    <t>Simple (tuned)</t>
  </si>
  <si>
    <t>Complex (tuned)</t>
  </si>
  <si>
    <t>Complex-Prio-Profession</t>
  </si>
  <si>
    <t>Complex-Prio-Sentiment</t>
  </si>
  <si>
    <t>Avg Length of Input Prompt</t>
  </si>
  <si>
    <t>Layers of Context</t>
  </si>
  <si>
    <t>Layers of Cues</t>
  </si>
  <si>
    <t>Count of Prompts</t>
  </si>
  <si>
    <t>Response - gpt-4.1</t>
  </si>
  <si>
    <t>Validation - gpt-4.1</t>
  </si>
  <si>
    <t>Kenji received a promotion after leading the team successfully // positive // apple</t>
  </si>
  <si>
    <t>Hana got accepted into her dream university // positive // apple</t>
  </si>
  <si>
    <t>NovaTech failed to deliver the software on time // negative // orange</t>
  </si>
  <si>
    <t>GreenGrid Inc. lost the renewable energy bid // negative // orange</t>
  </si>
  <si>
    <t>QuantumSoft had a system outage during peak hours // negative // orange</t>
  </si>
  <si>
    <t>Maya attended the team briefing this morning // neutral // pear</t>
  </si>
  <si>
    <t>Kenji submitted his weekly status report // neutral // pear</t>
  </si>
  <si>
    <t>Jonas updated his profile on the company portal // neutral // pear</t>
  </si>
  <si>
    <t>Run Date</t>
  </si>
  <si>
    <t>gpt-4.1</t>
  </si>
  <si>
    <t>Sachine is softball player //</t>
  </si>
  <si>
    <t xml:space="preserve">Anil is IT engineer // </t>
  </si>
  <si>
    <t xml:space="preserve">Biba is violin player // </t>
  </si>
  <si>
    <t>Aarav Sharma is a Painter //</t>
  </si>
  <si>
    <t>Ahmed Hassan is a Video Editor //</t>
  </si>
  <si>
    <t>Aisha Malik is a Mobile App Developer //</t>
  </si>
  <si>
    <t>Ali Khan is a Cricket Umpire //</t>
  </si>
  <si>
    <t>Amara Okafor is a Makeup Artist //</t>
  </si>
  <si>
    <t>Amélie Laurent is a UX Designer //</t>
  </si>
  <si>
    <t>Anika Mehta is a Personal Trainer //</t>
  </si>
  <si>
    <t>Arjun Patel is a Data Scientist //</t>
  </si>
  <si>
    <t>Ava Nguyen is a Football Coach //</t>
  </si>
  <si>
    <t>Aya Tanaka is a Musician //</t>
  </si>
  <si>
    <t>Carlos García is a Singer //</t>
  </si>
  <si>
    <t>Chen Wei is a Team Manager //</t>
  </si>
  <si>
    <t>Chloe Dubois is a Photographer //</t>
  </si>
  <si>
    <t>Dmitry Ivanov is an API Developer //</t>
  </si>
  <si>
    <t>Elena Petrova is a Front-End Engineer //</t>
  </si>
  <si>
    <t>Emily Wilson is a Test Engineer //</t>
  </si>
  <si>
    <t>Emma Sørensen is an Athletic Trainer //</t>
  </si>
  <si>
    <t>Ethan Brown is a Sand Sculptor //</t>
  </si>
  <si>
    <t>Fatima Al-Farsi is a Dancer //</t>
  </si>
  <si>
    <t>Felix Johansson is a Physical Therapist //</t>
  </si>
  <si>
    <t>Hana Kimura is a Violin Player //</t>
  </si>
  <si>
    <t>Hiroshi Nakamura is a QA Analyst //</t>
  </si>
  <si>
    <t>Isabella Fernández is a DevOps Engineer //</t>
  </si>
  <si>
    <t>Javier Cruz is a Sports Journalist //</t>
  </si>
  <si>
    <t>Jin Park is a Dubbing Artist //</t>
  </si>
  <si>
    <t>Khadija Ahmed is a Hockey Player //</t>
  </si>
  <si>
    <t>Leila Haddad is a Technical Analyst //</t>
  </si>
  <si>
    <t>Liam O'Connor is a Sculptor //</t>
  </si>
  <si>
    <t>Lina Svensson is a Stadium Operator //</t>
  </si>
  <si>
    <t>Lucas Silva is a Keyboard Player //</t>
  </si>
  <si>
    <t>Maria Popescu is a Sports Analyst //</t>
  </si>
  <si>
    <t>Mateo Torres is a Machine Learning Engineer //</t>
  </si>
  <si>
    <t>Maya Levi is a Wrestler //</t>
  </si>
  <si>
    <t>Mei Lin is a Sports Sponsor //</t>
  </si>
  <si>
    <t>Mia Rossi is a Fashion Designer //</t>
  </si>
  <si>
    <t>Mohammed Rahman is a Back-End Engineer //</t>
  </si>
  <si>
    <t>Noah Johnson is an Actor //</t>
  </si>
  <si>
    <t>Nora Andersen is a Data Engineer //</t>
  </si>
  <si>
    <t>Oliver Smith is a Full Stack Developer //</t>
  </si>
  <si>
    <t>Omar Abdullah is a Network Engineer //</t>
  </si>
  <si>
    <t>Ravi Subramanian is a Swimmer //</t>
  </si>
  <si>
    <t>Santiago López is a Release Manager //</t>
  </si>
  <si>
    <t>Sebastian Kowalski is an Athletic Player //</t>
  </si>
  <si>
    <t>Sofia Costa is a Cybersecurity Analyst //</t>
  </si>
  <si>
    <t>Sophia Müller is an Illustrator //</t>
  </si>
  <si>
    <t>Tomás Pereira is a Fitness Instructor //</t>
  </si>
  <si>
    <t>Victoria Novak is a Python Developer //</t>
  </si>
  <si>
    <t>William Taylor is a Boxer //</t>
  </si>
  <si>
    <t>Yusuf Demir is a Cloud Architect //</t>
  </si>
  <si>
    <t>Zara Khan is a Magician //</t>
  </si>
  <si>
    <t xml:space="preserve">Roel is an football player // sportsman // apple
Chirak is a Tester // software engineer // orange
Sophie is works in guitar band // artist // pear
Roy ate oats meal in the morning // breakfast // apple
Sita cooks biryani for afternoon // lunch // orange
Mike like chips &amp; coffee in the evening // snack // pear
Rocky received 5% bonus during end year // positive // apple
Air industry went into losses during covid // negative // orange
James project completed with no loss &amp; no profit // neutral // pear
[result: each category resolved, final]
</t>
  </si>
  <si>
    <t>[result: each category resolved, final]</t>
  </si>
  <si>
    <t>Let's break down the pattern in your data and resolve Alisha's case based on the categories and the structure you've provided.
### 1. Category Analysis
#### First Set: Profession/Identity // Role // Fruit
- Roel: football player // sportsman // **apple**
- Chirak: Tester // software engineer // **orange**
- Sophie: works in guitar band // artist // **pear**
#### Second Set: Food/Meal // Time/Type // Fruit
- Roy: oats meal in morning // breakfast // **apple**
- Sita: cooks biryani for afternoon // lunch // **orange**
- Mike: chips &amp; coffee in evening // snack // **pear**
#### Third Set: Event // Sentiment // Fruit
- Rocky: 5% bonus during end year // positive // **apple**
- Air industry: losses during covid // negative // **orange**
- James: project completed with no loss &amp; no profit // neutral // **pear**
### 2. Pattern Observed
Each **fruit (apple, orange, pear)** is associated with:
- **apple**: sportsman, breakfast, positive
- **orange**: software engineer, lunch, negative
- **pear**: artist, snack, neutral
### 3. Alisha's Situation
&gt; Alisha felt great after eating her smoothie bowl on Saturday and coaching students
Let’s assign each category:
- **Action 1 (meal):** smoothie bowl (typically breakfast food)
- **Action 2 (profession/activity):** coaching students (can be associated with sports/education)
- **Feeling:** felt great (positive sentiment)
- **Day:** Saturday (optional, but not clearly mapped in pattern)
### 4. Mapping to Categories
- **Profession/Identity:** coaching students → similar to sportsman/active role → **apple**
- **Meal/Time:** smoothie bowl → breakfast → **apple**
- **Sentiment:** felt great → positive → **apple**
### 5. Final Resolution
**All categories for Alisha map to “apple”.**
---
## Final Result
&gt; **Alisha is “apple”.**
### Reason:
Alisha's activities and feelings best fit the "apple" category, which links to sports/active roles, breakfast foods, and positive outcomes.</t>
  </si>
  <si>
    <t>Let's break down your format and resolve the final entry according to your pattern.
**Your pattern:**
- **First line:** Person + activity + category1 // category2 // fruit
- **Second line:** Person + meal/event/time + category1 // category2 // fruit
- **Third line:** Person/event + outcome + category1 // category2 // fruit
For each entry, each person/event is associated with a fruit, and each fruit connects across the three categories.
Let’s analyze the new line:
**"Marco felt energized after grabbing a protein bar and juice between tennis drills"**
Let’s resolve it step by step:
1. **Person &amp; Activity:** Marco, tennis drills, grabbed a protein bar and juice.
2. **Time:** "between tennis drills" implies a snack or break, not a main meal (so, snack).
3. **Category:** The feeling is "energized" (positive outcome).
4. **Fruit:** To match with previous entries, let's map the fruit for "energized/snack/tennis".
**Matching the pattern:**
From above:
- Apple: Roel (football), Roy (breakfast), Rocky (positive)
- Orange: Chirak (tester), Sita (lunch), Air industry (negative)
- Pear: Sophie (guitar band), Mike (snack), James (neutral)
**Since Marco is playing sports (like Roel/football → apple), but the time is snack (like Mike/pear), and feeling is positive (like Rocky/apple).**
Let’s check the pattern:
- Sportsman: apple
- Snack: pear
- Positive: apple
Since the activity is sports and the feeling is positive, but the time is a snack, there’s a cross-match. However, all previous sportsmen were "apple", snacks were "pear", positive was "apple".
**In your structure, the fruit is determined by the person’s main role or feeling. Since Marco is a sportsman (tennis) and is energized (positive), the most consistent fruit is "apple".**
### Final resolved entry:
Marco is a tennis player // sportsman // apple  
Marco grabbed a protein bar and juice between tennis drills // snack // apple  
Marco felt energized after the snack // positive // apple
**Summary:**
- Marco is a tennis player // sportsman // apple  
- Marco grabbed a protein bar and juice between tennis drills // snack // apple  
- Marco felt energized after the snack // positive // apple
**[result: each category resolved, final]**
- **Marco's category is: apple**</t>
  </si>
  <si>
    <t>Based on the patterns in your data, here’s how the categorization works:
1. **First block**: Person // profession // fruit  
2. **Second block**: Person ate/cooked/liked a meal/time of day // meal type // fruit  
3. **Third block**: Scenario // sentiment // fruit  
Each fruit is linked to previous examples by role, meal, or sentiment:
- **Apple**: football player, breakfast, positive  
- **Orange**: software engineer, lunch, negative  
- **Pear**: artist, snack, neutral  
Now, let’s analyze Naomi’s sentence:
&gt; Naomi enjoyed her avocado toast and loved the quiet morning before training
- **Meal context**: Avocado toast, morning, before training  
- This maps closely to the “breakfast” scenario (like Roy with oatmeal, morning, breakfast, apple).
- The sentiment is positive (she loved the quiet morning), which also matches the “apple” group.
**Final Categorization:**
**Naomi // sportswoman // apple**  
**Naomi ate avocado toast in the morning // breakfast // apple**  
**Naomi enjoyed a peaceful morning before training // positive // apple**
**Resolved Category:**  
**apple**
**Final output:**  
Naomi is in the **apple** category.</t>
  </si>
  <si>
    <t>Let's analyze the pattern in your data to resolve the category for Chloe:
### The Pattern
1. **Person**: Name
2. **Occupation/Activity**: Profession or activity
3. **Food/Meal**: What they ate or related food
4. **Sentiment/Outcome**: Positive/Negative/Neutral
5. **Fruit (Category)**: apple/orange/pear
From your examples, it seems that:
- **apple** is associated with positive things (sportsman, breakfast, positive outcome)
- **orange** is associated with technical roles, lunch, and negative outcomes
- **pear** is associated with artistic roles, snacks, and neutral outcomes
### Chloe's Statement
"Chloe celebrated her win with banana pancakes and a big smile"
- **Activity**: Celebrated her win (positive event)
- **Food**: Banana pancakes (breakfast/brunch food, sweet)
- **Sentiment**: Positive (celebrating, smiling)
### Mapping to the Pattern
- Celebration and a win are **positive**.
- Banana pancakes are typically a **breakfast** item.
- The mood is **happy/positive**.
### Based on Pattern:
- **Positive mood** (like Roy and Rocky → apple)
- **Breakfast item** (like Roy → apple)
## Final Assignment
**Chloe celebrated her win with banana pancakes and a big smile // positive // apple**
**Result:**  
Chloe celebrated her win with banana pancakes and a big smile // positive // apple</t>
  </si>
  <si>
    <t>Let’s break down the pattern in your examples:
Each row consists of three items, and each item has three aspects:
1. Person + activity/profession + fruit  
   - Roel: football player // sportsman // apple
   - Chirak: Tester // software engineer // orange
   - Sophie: works in guitar band // artist // pear
2. Person + food + time of day + fruit  
   - Roy: ate oats meal in the morning // breakfast // apple
   - Sita: cooks biryani for afternoon // lunch // orange
   - Mike: like chips &amp; coffee in the evening // snack // pear
3. Situation + sentiment + fruit  
   - Rocky: received 5% bonus during end year // positive // apple
   - Air industry: went into losses during covid // negative // orange
   - James: project completed with no loss &amp; no profit // neutral // pear
Each row associates:  
**First item: apple**  
**Second item: orange**  
**Third item: pear**
Your new sentence:  
**Arjun treated himself to apple cinnamon oatmeal after an amazing cricket session**
Let's resolve each category:
- **Person**: Arjun
- **Activity / Profession / Event**: treated himself to apple cinnamon oatmeal after an amazing cricket session (so, a cricketer or sportsman)
- **Food / Meal**: apple cinnamon oatmeal
- **Time of Day**: after cricket session (likely post-game, could be breakfast or snack)
- **Sentiment**: "after an amazing cricket session" implies positive sentiment
- **Fruit**: apple (explicitly mentioned)
**Resolution (matching the previous pattern):**
- Arjun is a cricketer // sportsman // apple  
- Arjun ate apple cinnamon oatmeal after the match // snack (or breakfast) // apple  
- Arjun had an amazing cricket session // positive // apple
**[Final result for the given sentence]:**
**Category resolved:**  
- Sportsman // breakfast (or snack) // positive // apple
**In the format of earlier examples:**
Arjun is a cricketer // sportsman // apple  
Arjun ate apple cinnamon oatmeal after cricket // breakfast // apple  
Arjun had an amazing cricket session // positive // apple
**[Final]:**  
- apple
**Summary:**  
The scenario matches the "apple" category across all three dimensions (profession/activity, meal, sentiment). So, the final resolution is **apple**.</t>
  </si>
  <si>
    <t>Let's analyze the pattern and categories in your examples:
You have three main categories, each with three examples and a common mapping structure:
**Category 1: Profession/Identity — Fruit**
- Roel: football player/sportsman — apple
- Chirak: tester/software engineer — orange
- Sophie: guitar band/artist — pear
**Category 2: Meal/Event — Fruit**
- Roy: breakfast — apple
- Sita: lunch — orange
- Mike: snack — pear
**Category 3: Situation/Outcome — Fruit**
- Rocky: positive — apple
- Air industry: negative — orange
- James: neutral — pear
The mapping is:
- "apple" maps to sportsman, breakfast, positive situations
- "orange" maps to software/technical/tester, lunch, negative situations
- "pear" maps to artist, snack, neutral situations
Now, the final input:
**Arjun skipped breakfast after waking late and struggled during field drills**
Let’s break it down:
- He skipped breakfast (related to the meal category — breakfast = apple)
- He struggled during field drills (field drills is sports-related — sportsman = apple)
- Both clues point toward the "apple" category, but the action is negative (skipped breakfast, struggled).
**Resolution:**
- Category: Negative situation (struggled) in sports context (field drills) due to skipping breakfast (breakfast = apple).
**Final resolved answer:**
- "negative // apple"
**Full resolution:**
&gt; **Arjun skipped breakfast after waking late and struggled during field drills // negative // apple**</t>
  </si>
  <si>
    <t>Let's analyze the patterns in your data first.
### Categories in the examples:
1. **People and their profession/hobby and a fruit:**
   - Roel: football player/sportsman/apple
   - Chirak: tester/software engineer/orange
   - Sophie: works in guitar band/artist/pear
2. **People, meal, time of day, and a fruit:**
   - Roy: oats meal/morning/breakfast/apple
   - Sita: biryani/afternoon/lunch/orange
   - Mike: chips &amp; coffee/evening/snack/pear
3. **Person/event, outcome, and a fruit:**
   - Rocky: 5% bonus/end year/positive/apple
   - Air industry: losses/covid/negative/orange
   - James: no loss &amp; no profit/neutral/pear
Each set uses "apple", "orange", and "pear" as category markers.
---
Now, for the query:
**Naomi rushed through a cold egg sandwich and felt off during sprints**
Let's break it down:
- Person: Naomi
- Meal: cold egg sandwich
- Physical feeling: "felt off"
- Activity: sprints (sports context, likely)
- Time: not specified, but sprints suggest morning or athletic event
Now, let's try to fit this into the established categories.
#### Which fruit category?
From the patterns:
- "apple" is associated with sportsman/football player, breakfast/morning, and positive/end year bonus.
- "orange" is associated with tester/software engineer, lunch/afternoon, and negative/losses.
- "pear" is associated with artist/guitar band, snack/evening, and neutral/no loss &amp; no profit.
Naomi is doing sprints (sports) and had a meal (likely breakfast), but "felt off" (not positive, not neutral, more negative).
#### Resolving the category:
- **Profession/Activity:** Sports (apple)
- **Meal:** Breakfast time (apple)
- **Feeling/Outcome:** Felt off (negative) (orange)
Since negative feeling corresponds to "orange" in your third category, and the meal could be "apple" (if it were just about breakfast and sports), but the key detail is the **"felt off"**, which is negative.
---
**Final result:**  
**Naomi rushed through a cold egg sandwich and felt off during sprints // negative // orange**
---
If you need a more detailed mapping or reasoning, let me know!</t>
  </si>
  <si>
    <t>Let's break down your pattern and apply it to Tomas's situation.
From your examples, each scenario is mapped to a category (from three options in each group), and each category is associated with a fruit:
**Groupings and Mappings:**
1. **People &amp; Roles:**
   - football player/sportsman → apple
   - Tester/software engineer → orange
   - guitar band/artist → pear
2. **Meals:**
   - breakfast → apple
   - lunch → orange
   - snack → pear
3. **Events/Outcomes:**
   - positive → apple
   - negative → orange
   - neutral → pear
**Tomas's scenario:**
- "Tomas burned his toast again and muttered about bad luck as he left."
Let's resolve each category:
- **Event/Outcome:** Bad luck, burned toast, and muttering suggests a **negative** outcome.
- **Meal:** Toast in the morning is typically **breakfast**.
- **Occupation/Role:** None is mentioned.
**But** in the third group, you only need to resolve which fruit matches Tomas's scenario based on the event/outcome, since "final" asks for the resolved category.
**Mapping:**
- Negative → orange
**Final Answer:**
**orange**</t>
  </si>
  <si>
    <t>Let's break down the categories based on your patterns:
You have three main categories (let's call them "fruit categories"):
- Apple
- Orange
- Pear
Each category seems to have a pattern across three different contexts:
1. **Profession/Role**
2. **Meal**
3. **Outcome/Result**
Let's match them:
---
**Apple:**
1. Roel is a football player // sportsman
2. Roy ate oats meal in the morning // breakfast
3. Rocky received 5% bonus during end year // positive
**Orange:**
1. Chirak is a Tester // software engineer
2. Sita cooks biryani for afternoon // lunch
3. Air industry went into losses during covid // negative
**Pear:**
1. Sophie works in guitar band // artist
2. Mike likes chips &amp; coffee in the evening // snack
3. James project completed with no loss &amp; no profit // neutral
---
Now, let's analyze **Felix's scenario**:
&gt; Felix spilled his smoothie while hurrying to the pool and barely made warm-up
- **Profession/Role**: Likely a sportsperson (since he was hurrying to the pool for warm-up; possibly a swimmer or an athlete)
- **Meal**: Spilled his smoothie (morning context, breakfast-like)
- **Outcome/Result**: Barely made it—this is neither strongly positive nor strongly negative; it's in-between, but leans slightly towards "neutral" (since he made it, but only just).
Now, let's see which fruit category it fits:
- **Profession**: Sportsman/athlete (matches "Apple")
- **Meal**: Morning/breakfast (matches "Apple")
- **Result**: Barely made it; not quite positive (like a bonus), but not negative (like a loss); more neutral, similar to the "Pear" category.
But since both profession and meal match "Apple," and the outcome isn't negative, we can safely assign **Apple** as the resolved category.
---
## Final Answer
**Felix spilled his smoothie while hurrying to the pool and barely made warm-up // sportsman // breakfast // neutral-to-positive // apple**
**Result:** Felix belongs to the **Apple** category.</t>
  </si>
  <si>
    <t>Let's analyze the categories based on the pattern you provided:
### Categories:
- **Person &amp; Profession/Food/Event**  
- **Associated fruit** (apple/orange/pear)
Let's decode how the fruit is assigned:
#### 1. **Profession/Role**
- Football player / sportsman → apple
- Tester / software engineer → orange
- Guitar band / artist → pear
#### 2. **Meal**
- Breakfast → apple
- Lunch → orange
- Snack → pear
#### 3. **Situation**
- Positive → apple
- Negative → orange
- Neutral → pear
So, each "fruit" corresponds to the first, second, and third item in its list.
---
Now, for the new scenario:
**Mei forgot her protein shake on the counter and frowned heading into practice**
Let's break it down:
- **Action:** Forgot protein shake (negative event)
- **Heading into practice:** Implies she's a sports person/athlete
- **Emotion:** Frowned (negative)
- **Protein shake:** Typically associated with athletes
Let’s match the categories:
- **Profession:** Sports person → apple
- **Situation:** Negative (forgot shake, frowned) → orange
- **Food:** Protein shake (usually a breakfast or snack) → Could be apple or pear, but context suggests it's linked to her sports practice (more like a breakfast/meal, so apple)
But in your examples, the fruit seems to be chosen primarily by the sequence/order of the entry in each group (first is apple, second is orange, third is pear).
- Roel (1st), Roy (1st), Rocky (1st) → apple
- Chirak (2nd), Sita (2nd), Air industry (2nd) → orange
- Sophie (3rd), Mike (3rd), James (3rd) → pear
So, **Mei is a new case**. Is she a 1st, 2nd, or 3rd in this new group? Since she’s the 4th example and no 4th fruit is given, but her scenario most closely matches Roel (sports person, apple), but the event is negative (which mapped to orange).
### Final assignment:
**Mei forgot her protein shake on the counter and frowned heading into practice**  
**→ negative // sports person // orange**
So, according to your pattern:
**Mei is: orange**
---
### Final answer:
**Mei // sports person // negative // orange**</t>
  </si>
  <si>
    <t>Based on the patterns in your examples, each sentence contains three aspects that map to three categories:
1. **Person &amp; Action** (Occupation/Role/Activity)
2. **Context/Polarity** (Time of day/Mood/Outcome)
3. **Fruit** (apple/orange/pear)
Let’s break down your examples:
- Roel: football player → sportsman → apple  
- Chirak: Tester → software engineer → orange  
- Sophie: guitar band → artist → pear  
- Roy: oats meal in morning → breakfast → apple  
- Sita: cooks biryani for afternoon → lunch → orange  
- Mike: chips &amp; coffee in evening → snack → pear  
- Rocky: 5% bonus → positive → apple  
- Air industry: losses during covid → negative → orange  
- James: no loss &amp; no profit → neutral → pear  
Now, for Felix:
**Sentence:**  
Felix made himself a bowl of oatmeal before heading out for swim practice
Let’s map each aspect:
- Bowl of oatmeal before swim practice  
  - Oatmeal (similar to Roy’s oats meal in the morning)  
  - "Before heading out for swim practice" implies morning/pre-activity (like breakfast).  
  - Activity: swim practice (sportsman/athlete, similar to Roel).  
- In previous examples, "oats meal in morning" and "football player" both mapped to **apple**.
**Resolution:**
- Felix: swimmer // sportsman // apple  
- Breakfast (made oatmeal) // breakfast // apple  
**Final result:**  
**Felix is a sportsman having breakfast (oatmeal) before swim practice // breakfast // apple**</t>
  </si>
  <si>
    <t>Certainly! Let's resolve the category for Naomi's activity based on the patterns you've provided.
Let's break down the three categories from your examples:
1. **Profession / Person / Fruit**
   - Roel: football player (sportsman) // apple
   - Chirak: Tester (software engineer) // orange
   - Sophie: works in guitar band (artist) // pear
2. **Meal / Time of Day / Fruit**
   - Roy: oats meal in the morning (breakfast) // apple
   - Sita: cooks biryani for afternoon (lunch) // orange
   - Mike: chips &amp; coffee in the evening (snack) // pear
3. **Event / Sentiment / Fruit**
   - Rocky: received 5% bonus during end year (positive) // apple
   - Air industry: went into losses during covid (negative) // orange
   - James: project completed with no loss &amp; no profit (neutral) // pear
Now, let's analyze Naomi's activity:
&gt; Naomi poured coffee and had toast while watching the morning sports recap
- **Meal / Time of Day:** She is having coffee and toast in the **morning** (breakfast).
- **Activity:** Watching the morning sports recap (related to sports).
- **Fruit mapping:** In your examples, "breakfast" and "sportsman" both map to **apple**.
**Final resolved category:**
- Meal: breakfast
- Time of Day: morning
- Fruit: apple
---
**Result:**  
**Naomi's activity is categorized as "breakfast // morning // apple".**
If you want it in your format:
&gt; Naomi poured coffee and had toast while watching the morning sports recap // breakfast // apple</t>
  </si>
  <si>
    <t>Based on your pattern, it looks like each line in your examples maps to a specific category and an associated fruit:
**1. Person &amp; Profession:**
- Roel = apple
- Chirak = orange
- Sophie = pear
**2. Meal &amp; Time:**
- Roy = apple
- Sita = orange
- Mike = pear
**3. Sentiment:**
- Rocky = apple (positive)
- Air industry = orange (negative)
- James = pear (neutral)
Each group has a 1:1 mapping to apple, orange, pear.
---
**Your Query:**
&gt; Arjun quietly packed fruit and yogurt after checking the weather for his match
Let’s analyze:
- "Packed fruit and yogurt" suggests a snack/meal.
- "After checking the weather for his match" indicates this is related to a sports activity (like Roel).
- The name "Arjun" is new, but "for his match" points to the sportsman/football player category (like Roel).
From your mapping:
- Sportsman/football player → apple
**Final Result:**
&gt; Arjun quietly packed fruit and yogurt after checking the weather for his match // apple
**[result: apple]**</t>
  </si>
  <si>
    <t>Let's analyze Mei's sentence according to the structured categories shown in your examples:
**Mei reheated her breakfast burrito before the morning tennis drills began**
Let's break it down:
1. **Action/Person &amp; Activity:**  
   - Mei (person)
   - reheated her breakfast burrito (action)
   - before the morning tennis drills began (activity/time)
2. **Category 1 (from your format):**  
   - The main activity is breakfast, happening in the morning (like Roy's sentence).
   - **Category:** breakfast
3. **Category 2 (fruit grouping):**  
   - Roy (who had breakfast) is grouped with "apple."
   - So, breakfast = apple.
**Final resolved format:**
Mei reheated her breakfast burrito before the morning tennis drills began // breakfast // apple
**[result: each category resolved, final]**
**Mei reheated her breakfast burrito before the morning tennis drills began // breakfast // apple**</t>
  </si>
  <si>
    <t>Let's resolve Tomas's category based on the patterns in your examples. We'll analyze the three categories: **Person**, **Food/Time**, and **Sentiment**, each associated with a fruit (apple, orange, pear).
### 1. **Person / Profession / Fruit**
- Roel: football player/sportsman → **apple**
- Chirak: Tester/software engineer → **orange**
- Sophie: guitar band/artist → **pear**
Tomas: browsing team's training schedule; snacked on granola.
- "Team’s training schedule" hints at a **sports/sportsman** context.
**Category:** Sportsman → **apple**
---
### 2. **Food / Meal Time / Fruit**
- Roy: oats meal in morning (breakfast) → **apple**
- Sita: biryani in afternoon (lunch) → **orange**
- Mike: chips &amp; coffee in evening (snack) → **pear**
Tomas: granola (commonly a breakfast/snack food), but the context is "snacked".
- Granola is often a **snack**.
**Category:** Snack → **pear**
---
### 3. **Sentiment / Outcome / Fruit**
- Rocky: received 5% bonus (positive) → **apple**
- Air industry: losses during covid (negative) → **orange**
- James: no loss &amp; no profit (neutral) → **pear**
Tomas: snacking while browsing, neutral/relaxed context.
- No explicit positive or negative, just a neutral action.
**Category:** Neutral → **pear**
---
## **Final Resolved Categories for Tomas**
- **Person/Profession:** Sportsman // apple
- **Food/Time:** Snack // pear
- **Sentiment:** Neutral // pear
### **Fruit Code for Tomas**
Based on the pattern, **majority fruit code** is **pear**, since two of the three categories (Food, Sentiment) are associated with pear.
---
**Final answer:**
**Tomas snacked on granola as he browsed his team’s training schedule // sportsman // snack // neutral // pear**</t>
  </si>
  <si>
    <t>Let's analyze the statement:
**Anil enjoyed his homemade pancakes after successfully fixing a critical bug**
Based on your patterns, we need to resolve the following categories:
1. **Profession/Role**: The action "fixing a critical bug" suggests Anil is a **Tester** or **Software Engineer**.
2. **Event Type**: Fixing a critical bug is generally a **positive** event.
3. **Fruit/Association**: From your mapping:
   - Software Engineer / Tester → orange
   - Positive event → apple
   - The food is pancakes (breakfast food), but in your table, breakfast → apple.
However, the primary association seems to be role/event mapping:
- The person is a software engineer (Tester), which maps to **orange**.
**Final resolved categories:**
- **Tester / Software Engineer**
- **Positive**
- **Orange**
**Final result:**
Anil is a software engineer who had a positive experience (successfully fixing a bug) and is associated with **orange**.
**[Tester / Software Engineer // Positive // Orange]**</t>
  </si>
  <si>
    <t>Let's break down your examples and the categories:
Each entry is associated with three "axes":
1. **Person and occupation**
2. **Food/eating event**
3. **Outcome/mood**
And each is labeled with a fruit (apple/orange/pear), which seems to represent the third dimension.
Let's analyze Chloe's entry and resolve its categories:
&gt; Chloe treated herself to avocado toast to celebrate completing a sprint early
Let's map this:
- **Person and occupation:** Chloe (likely a professional, probably in tech given "sprint" terminology, could be a software engineer)
- **Food/eating event:** Avocado toast (probably breakfast or snack)
- **Outcome/mood:** Celebratory/positive (because she completed a sprint early)
Now, let's connect it to your previous patterns:
| Person/Occupation            | Food/Event               | Outcome/Mood      | Fruit   |
|------------------------------|--------------------------|-------------------|---------|
| Roel (sportsman)             | breakfast (oats meal)    | positive (ate)    | apple   |
| Chirak (tester/engineer)     | lunch (biryani)          | negative (losses) | orange  |
| Sophie (artist)              | snack (chips &amp; coffee)   | neutral (no loss/profit) | pear   |
| Chloe (engineer, likely)     | breakfast (avocado toast)| positive (celebrate)| ?      |
From the pattern:
- **Apple** is paired with sportsman, breakfast, positive
- **Orange** with engineer, lunch, negative
- **Pear** with artist, snack, neutral
But you're asking for the category resolution for Chloe:
- Chloe is a professional (engineer), breakfast/snack, positive mood
**Result**: Given the pattern, the closest match is the first row: engineer + breakfast + positive = **apple**
**Final:**
```markdown
Chloe treated herself to avocado toast to celebrate completing a sprint early // software engineer // breakfast // positive // apple
```
**Each category resolved, final:**
- **Profession:** software engineer
- **Meal:** breakfast
- **Mood:** positive
- **Fruit:** apple</t>
  </si>
  <si>
    <t>Let's resolve the category for Omar's sentence based on the provided patterns.
**Categories in your examples:**
1. **First Category**: Job/role (sportsman, tester, artist)
2. **Second Category**: Context or sentiment (breakfast, lunch, snack // positive, negative, neutral)
3. **Third Category**: Fruit (apple, orange, pear)
Let's analyze Omar's sentence:
- **"Omar smiled as he sipped his coffee, proud of yesterday’s clean code refactor"**
  - Job/role: From "clean code refactor" and "proud," likely a software engineer or developer
  - Sentiment/context: "proud" and "smiled" indicate a **positive** context
  - Fruit: Let's see how the mapping works
    - In your samples:
      - Software/Tester/Engineer → orange
      - Positive → apple
      - Breakfast → apple
But, it seems the third category (fruit) matches with the second category in some cases:
- Positive → apple
- Negative → orange
- Neutral → pear
And, the job/role and sentiment/context pairings follow this:
- Software engineer / positive → (Tester, positive) = orange (from 2nd sample), but no explicit mapping.
However, looking at the sentiment match:
- "Proud" and "smiled" = **positive**
- From your Rocky example: positive → apple
**Final resolution for Omar:**
- Job/role: Software engineer (from context)
- Sentiment/context: Positive ("proud," "smiled")
- Fruit: Apple (matches with positive)
**Final resolved categories:**
**Omar is a software engineer // positive // apple**</t>
  </si>
  <si>
    <t>Let's break down the pattern in your examples.
### Categories:
1. **Person's Profession/Activity** (sportsman/engineer/artist)
2. **Meal/Event** (breakfast/lunch/snack)
3. **Outcome/Feeling** (positive/negative/neutral)
4. **Fruit** (apple/orange/pear)
Each group of three statements contains one of each fruit, and each fruit aligns with the other categories.
## Mapping from Above:
- **Apple**: sportsman, breakfast, positive
- **Orange**: engineer, lunch, negative
- **Pear**: artist, snack, neutral
Now, let's analyze your query:
**Statement:**  
Leila had poached eggs and fruit while planning her new app’s launch
- **Poached eggs and fruit** = breakfast
- **Planning her new app’s launch** = software/tech-related (software engineer)
Given the mappings:
- **Breakfast** aligns with **apple** and **sportsman**.
- **Software engineer** aligns with **orange** and **lunch**.
However, the priority in your mapping seems to go in this order:
1. Activity/profession
2. Meal/time
3. Outcome/Feeling
4. Fruit
But the first two categories in your query are:  
- Meal: breakfast (apple)  
- Activity: planning app (software engineer, orange)  
Since both breakfast and software engineer are present, in your mappings, **profession/activity** seems to take precedence over meal when determining the fruit. E.g., for Roel, "football player" leads to "apple", whereas for Chirak, "Tester", it leads to "orange".
### So, for Leila:
- **Profession/Activity**: planning her new app’s launch → **software engineer** → **orange**
- **Meal**: breakfast → (would be apple, but activity seems to take precedence)
## Final Answer:
**Leila is a software engineer // breakfast // orange**</t>
  </si>
  <si>
    <t>Let's break down your examples and the pattern:
Each scenario has three entities, each associated with a set of three items:
1. **Person/Entity**
2. **Category/Type/Description**
3. **Fruit** (apple/orange/pear)
Let's match Theo's scenario to the three lists and deduce the final category:
---
### 1. First List (Profession/Fruit)
- Roel: football player // sportsman // apple
- Chirak: Tester // software engineer // orange
- Sophie: works in guitar band // artist // pear
### 2. Second List (Meal/Fruit)
- Roy: oats meal in the morning // breakfast // apple
- Sita: cooks biryani for afternoon // lunch // orange
- Mike: chips &amp; coffee in the evening // snack // pear
### 3. Third List (Outcome/Fruit)
- Rocky: 5% bonus // positive // apple
- Air industry: losses during covid // negative // orange
- James: no loss, no profit // neutral // pear
---
## Theo's Scenario:
**Theo rewarded himself with waffles after deploying the update without a single error**
- Theo: (profession not given, but deploying update = software engineer)
- Rewarded himself: positive outcome
- Waffles: food (probably snack or celebratory treat)
- Deploying update without a single error: success, positive
Let’s map:
- Profession: software engineer → **orange** (from Chirak)
- Meal: waffles, after a successful deployment, could be a snack/celebration → but waffles can be breakfast or snack.
    - Roy had breakfast/oats/apple
    - Mike had snack/pear
    - Sita had lunch/orange
- Outcome: positive (reward for error-free deployment) → Rocky/positive/apple
But let's notice: the "fruit" is matched by the profession, meal, or outcome:
- When the person is a sportsman, the fruit is apple (Roel).
- When the person is a software engineer, the fruit is orange (Chirak).
- When the person is an artist, the fruit is pear (Sophie).
Theo is acting as a software engineer (deployed an update). So, based on the first list, the corresponding fruit is **orange**.
## Final Answer
**Theo rewarded himself with waffles after deploying the update without a single error // positive // orange**</t>
  </si>
  <si>
    <t>Let's break down the pattern first:
- **First set**: Person // Profession // Fruit
- **Second set**: Person // Meal type // Fruit
- **Third set**: Subject // Sentiment // Fruit
Each "fruit" (apple/orange/pear) is associated with a column:
- **Apple**: First entry in each set
- **Orange**: Second entry in each set
- **Pear**: Third entry in each set
Now, let's look at Anil's statement:
**Anil reheated yesterday’s leftovers and sighed at the failed build from last night**
Let's resolve each category:
1. **Person**: Anil
2. **Meal type**: "reheated yesterday’s leftovers" → This suggests a meal, likely lunch (commonly leftovers are eaten at lunch), but could also be dinner.
3. **Sentiment**: "sighed at the failed build" → Negative sentiment.
4. **Profession**: "failed build" suggests involvement in software/IT, so likely a Tester or Software Engineer.
Let's try to map to the established patterns:
- **Orange** is associated with:
    - Chirak (Tester // software engineer)
    - Lunch (Sita cooks biryani for afternoon)
    - Negative sentiment (Air industry losses during covid)
All these fit Anil's situation:
- Profession: Tester/software engineer
- Meal: Lunch/leftovers
- Sentiment: Negative
**Final Category Assignment:**
- **Category:** Orange
---
### Final Answer
**Anil reheated yesterday’s leftovers and sighed at the failed build from last night // Tester // lunch // negative // orange**</t>
  </si>
  <si>
    <t>Let's break down your input and resolve the categories as per your examples:
### Categories Observed:
1. **Person/Profession/Associated Fruit:**
   - Roel: football player // sportsman // **apple**
   - Chirak: Tester // software engineer // **orange**
   - Sophie: works in guitar band // artist // **pear**
2. **Person/Food/Time of Day/Associated Fruit:**
   - Roy: ate oats meal in the morning // breakfast // **apple**
   - Sita: cooks biryani for afternoon // lunch // **orange**
   - Mike: likes chips &amp; coffee in the evening // snack // **pear**
3. **Scenario/Sentiment/Associated Fruit:**
   - Rocky: received 5% bonus during end year // positive // **apple**
   - Air industry: went into losses during covid // negative // **orange**
   - James: project completed with no loss &amp; no profit // neutral // **pear**
---
Now, let's analyze your input:
&gt; Chloe skipped breakfast and felt groggy debugging a memory leak //
- **Person:** Chloe
- **Action:** skipped breakfast, debugging a memory leak
- **Profession:** Likely software engineer/tester (debugging memory leak)
- **Food/Time:** Skipped breakfast (morning)
- **Sentiment:** Negative (felt groggy)
- **Associated Fruit:** Based on patterns:
  - Software engineer/tester → **orange**
  - Skipped breakfast (negative morning experience) → **orange**
  - Negative sentiment → **orange**
### [Final Result]
**Chloe skipped breakfast and felt groggy debugging a memory leak // negative // orange**
#### Each category resolved:
- **Profession:** Software engineer/tester
- **Time/Food:** Skipped breakfast (morning)
- **Sentiment:** Negative (felt groggy)
- **Fruit:** Orange
Let me know if you want further breakdown or have more examples!</t>
  </si>
  <si>
    <t>Let's break down the pattern:
- There are three categories, each with three examples, all mapped to an object: apple, orange, pear.
- Each example has a main subject, a profession or activity, and a key detail.
Let's identify the categories:
**Category 1: Person and Profession/Role**
- Roel: football player, sportsman → apple
- Chirak: Tester, software engineer → orange
- Sophie: works in guitar band, artist → pear
**Category 2: Food/Eating Context**
- Roy: oats meal in the morning, breakfast → apple
- Sita: cooks biryani for afternoon, lunch → orange
- Mike: chips &amp; coffee in the evening, snack → pear
**Category 3: Outcome/Result**
- Rocky: 5% bonus during end year, positive → apple
- Air industry: losses during covid, negative → orange
- James: no loss &amp; no profit, neutral → pear
Now, for your query:
&gt; Omar spilled his cereal while rushing to fix a server outage
Let's analyze Omar's situation:
- Omar: spilled his cereal (context: likely breakfast food)
- Rushing to fix a server outage (profession: likely IT, software engineer)
- No explicit outcome, but seems like a neutral or slightly negative situation (spilled cereal, but not a disaster)
Now, let's map Omar to the above categories:
- Profession: software engineer → orange (from Chirak's example)
- Food context: cereal in the morning → breakfast → apple (from Roy's example)
- Outcome: spilled cereal, but not a big loss, perhaps neutral or negative → orange or pear
Given that the main action is "rushing to fix a server outage" (software engineer context), and tying back to Chirak (software engineer = orange), the best fit is:
**Omar → orange**
**Final Answer:**  
Omar spilled his cereal while rushing to fix a server outage // Tester // software engineer // orange
or, more simply:
**orange**</t>
  </si>
  <si>
    <t>Let's break down the pattern in your examples:
Each set has three lines, and each line has three elements:
1. **Person** (or entity)
2. **Context** (occupation, meal, event, etc.)
3. **Category** (apple, orange, pear)
For each group, there is a mapping:
- First line → apple
- Second line → orange
- Third line → pear
Your query:
&gt; Leila grabbed cold toast, frustrated by a persistent syntax error
Let's resolve each field:
- **Person:** Leila
- **Action/context:** grabbed cold toast, frustrated by a persistent syntax error
To map this to the category:
- "Grabbed cold toast" suggests a meal (likely breakfast, based on similar context as Roy's "oats meal in the morning").
- "Frustrated by a persistent syntax error" suggests a negative or challenging outcome (similar to "Air industry went into losses during covid" which is negative and maps to orange).
However, since in your previous sets, the context and category are determined by position/order, and "Leila" is a new entry, let's see:
- In all examples, the first line is apple, second is orange, third is pear.
If Leila's line is presented as a new first, second, or third line in a new set, it would get apple, orange, or pear accordingly.
But you wrote "[result: each category resolved, final] Leila grabbed cold toast, frustrated by a persistent syntax error //", suggesting you want the category resolved.
**Final answer:**
Since "frustrated by a persistent syntax error" is a negative context (like Air industry/covid, which mapped to orange), and cold toast for breakfast matches the meal pattern, the correct category is:
**orange**
So, the resolved line would be:
**Leila grabbed cold toast, frustrated by a persistent syntax error // orange**</t>
  </si>
  <si>
    <t>Let's resolve the categories based on your previous patterns:
**Pattern Explanation:**  
Each entry is mapped to three categories:
1. **Person/Profession:** Who or what is involved.
2. **Context/Type:** The situation type (sports, meal, sentiment, etc.).
3. **Fruit:** A mapped fruit (apple, orange, pear).
Let's analyze Theo's sentence:  
"Theo burned his omelet and arrived late to the code review."
- **Person/Profession:** Theo (Possible profession: software engineer or developer, given the code review context)
- **Context/Type:** Negative (burned omelet and arrived late—both negative outcomes)
- **Fruit (mapping):** Let's see the pattern:
    - "Tester // software engineer" → orange
    - "Sita cooks biryani for afternoon // lunch" → orange
    - "Air industry went into losses during covid // negative" → orange
  Negative situations are mapped to **orange**.
**Final Resolved Categories:**
Theo // software engineer // negative // orange
**Final Answer:**  
Theo is a software engineer who had a negative experience (burned his omelet and arrived late to the code review) — orange.</t>
  </si>
  <si>
    <t>Let's analyze the pattern in your data:
Each row contains three pieces of information, each linked to a "fruit" keyword (apple, orange, pear), and each category (person/profession, meal/time, event/sentiment) aligns with the fruit:
- apple = first entity in each set
- orange = second entity in each set
- pear = third entity in each set
For Anil:
- "had oatmeal before logging in to review pull requests"
  - Oatmeal is similar to Roy's "ate oats meal in the morning" (breakfast, apple category)
  - "review pull requests" relates to testing/software engineer (Chirak, orange)
  - But meal is before work, so maps more to Roy's scenario (apple)
Mapping:
- Roel // football player // apple
- Roy // oats meal in the morning // breakfast // apple
- Rocky // 5% bonus // positive // apple
**Anil had oatmeal before logging in to review pull requests**  
- Breakfast (oatmeal) =&gt; apple
- Activity: review pull requests (software context) =&gt; orange (but this is secondary, as the primary event is the breakfast)
- Sentiment: Implied positivity (starting the day with breakfast, ready for work) =&gt; apple
## [result: apple]
**Final Answer:**  
Anil's scenario maps to the **apple category**.</t>
  </si>
  <si>
    <t>Certainly! Let's resolve the category for Chloe based on the given patterns.
Let's analyze the categories:
**1. First Category: Profession / Role**
- Roel: football player // sportsman // apple
- Chirak: Tester // software engineer // orange
- Sophie: works in guitar band // artist // pear
**2. Second Category: Meal / Time**
- Roy: oats meal in the morning // breakfast // apple
- Sita: biryani for afternoon // lunch // orange
- Mike: chips &amp; coffee in the evening // snack // pear
**3. Third Category: Sentiment / Outcome**
- Rocky: 5% bonus // positive // apple
- Air industry: losses // negative // orange
- James: no loss &amp; no profit // neutral // pear
**Each row corresponds to a color/fruit:**
- apple: Roel, Roy, Rocky
- orange: Chirak, Sita, Air industry
- pear: Sophie, Mike, James
Now, Chloe's sentence is:
&gt; Chloe brewed tea and read documentation while having toast
Let's break it down:
- Brewed tea and read documentation (activity, possibly work-related)
- Having toast (food, can be associated with breakfast)
Let's try to fit Chloe into each category:
### 1. Profession / Activity:
- Roel: sportsman
- Chirak: software engineer
- Sophie: artist
- **Chloe:** If she's reading documentation, that's often associated with a software/technical field. So, "Tester // software engineer" (orange)
### 2. Meal / Time:
- Roy: breakfast
- Sita: lunch
- Mike: snack
- **Chloe:** Having toast (typically breakfast food), so "breakfast" (apple)
### 3. Sentiment / Outcome:
- Rocky: positive
- Air industry: negative
- James: neutral
- **Chloe:** No explicit sentiment, but reading documentation and having toast suggests a neutral or routine activity, so "neutral" (pear)
### Fruit/Color Assignment:
Each person fits only once into each fruit/color:
- apple: Roel, Roy, Rocky
- orange: Chirak, Sita, Air industry
- pear: Sophie, Mike, James
Since Chloe is a new entry, and for "each category resolved, final", let's assign Chloe consistently in one of the categories (as per the previous patterns):
**Chloe brewed tea and read documentation while having toast // Tester // breakfast // neutral // orange**
**Final assignment for Chloe:**
- **Profession/Role:** Tester // software engineer (orange)
- **Meal/Time:** breakfast (apple)
- **Sentiment/Outcome:** neutral (pear)
- **Fruit/Color:** orange (following the mapping for Tester/Software engineer)
**So, resolved result:**  
**Chloe brewed tea and read documentation while having toast // Tester // breakfast // neutral // orange**
Let me know if you want this in a different format or if you have more items to categorize!</t>
  </si>
  <si>
    <t>Based on your format, let's break down Omar's scenario according to the three categories:
1. **Action/Profession/Context**: Omar poured orange juice while checking his email notifications  
   - This suggests a modern work or leisure scenario, likely involving technology—perhaps a software engineer, office worker, or someone casually working.
2. **Category**:  
   - From the context, pouring juice and checking emails sound like a neutral activity, not overtly positive or negative. However, since "orange" is involved directly, and in the previous examples, the fruit mapped to a category, let's check the mapping.
3. **Fruit Mapping**:  
   - In previous examples, "apple," "orange," and "pear" are mapped to different people and situations.
     - "Orange" was associated with Chirak (Tester // software engineer), Sita (lunch), and air industry (negative).
     - The pattern seems to connect orange with the second item in each set.
**Final Categorization for Omar:**
- **Omar is a software engineer (or someone in a tech role) // Neutral (activity) // Orange**
**Resolved format:**  
Omar is a software engineer // neutral // orange
If you need a more specific label for his profession/activity, let me know!</t>
  </si>
  <si>
    <t>Let's break down the pattern in your examples:
You have three categories, each with three items. Each item has:
- A person or entity
- An action or event
- A summary label (e.g., sportsman, breakfast, positive)
- A fruit (apple, orange, pear)
Each fruit is associated with the position in the category:
- First item: apple
- Second item: orange
- Third item: pear
Let's analyze your new item:
&gt; Leila unpacked granola bars before heading to the coworking space //
Let's assign it to each category and see which fits best:
### 1. Profession / Role
- Football player // sportsman // apple
- Tester // software engineer // orange
- Guitar band // artist // pear
"Unpacking granola bars before coworking" suggests a preparatory or practical action, possibly not clearly fitting the above roles. But if forced, coworking spaces are often used by software engineers or freelancers. So possibly: **software engineer // orange**
### 2. Meal / Time of Day
- Oats meal in morning // breakfast // apple
- Biryani for afternoon // lunch // orange
- Chips &amp; coffee in evening // snack // pear
Granola bars before coworking could be breakfast or a snack, but since it's "before heading to," it likely happens in the morning: **breakfast // apple**
### 3. Outcome / Sentiment
- 5% bonus // positive // apple
- Losses during covid // negative // orange
- No loss &amp; no profit // neutral // pear
Unpacking granola bars before work is neutral or positive (preparation, routine): **neutral // pear** or **positive // apple**
Since you asked for "each category resolved, final," here's the final mapping for Leila:
### Final Answer
- **Leila is a software engineer // orange**  
  (if matching with profession)
- **Leila ate breakfast // apple**  
  (if matching with meal/time)
- **Leila's action is neutral // pear**  
  (if matching with sentiment/outcome)
**Full resolved example:**
Leila is a software engineer // breakfast // neutral // orange
(orange is the fruit for the second item in each category; breakfast is the meal; software engineer is the role; neutral is the outcome most fitting routine actions)
If you want to specify only one, please clarify which category you want to resolve!</t>
  </si>
  <si>
    <t>Sure! Let's analyze the categories and resolve the final category for Theo based on the patterns in your examples.
**1. Occupation // Profession // Fruit**
- Roel: football player // sportsman // apple
- Chirak: Tester // software engineer // orange
- Sophie: works in guitar band // artist // pear
**2. Food // Meal time // Fruit**
- Roy: oats meal in the morning // breakfast // apple
- Sita: cooks biryani for afternoon // lunch // orange
- Mike: like chips &amp; coffee in the evening // snack // pear
**3. Event // Sentiment // Fruit**
- Rocky: received 5% bonus during end year // positive // apple
- Air industry: losses during covid // negative // orange
- James: project completed with no loss &amp; no profit // neutral // pear
**Your query:**  
Theo finished his sandwich while syncing with the dev team //
Let’s break it down:
- **Activity:** Finished sandwich while syncing with dev team (eating + working with developers)
- **From previous patterns:**
  - “Oats meal in the morning // breakfast // apple”
  - “Cooks biryani for afternoon // lunch // orange”
  - “Chips &amp; coffee in the evening // snack // pear”
“Sandwich” is a common lunch item, and “syncing with dev team” likely happens during a work lunch break.
**So:**
- **Meal time:** lunch
- **Fruit:** Based on pattern:  
  breakfast → apple,  
  lunch → orange,  
  snack → pear.
**Final resolved category:**
Theo finished his sandwich while syncing with the dev team // lunch // orange</t>
  </si>
  <si>
    <t>Sure! Let’s break down the categories first:
**Category 1: Profession/Role // Personality // Fruit**
- Roel: football player // sportsman // apple
- Chirak: Tester // software engineer // orange
- Sophie: works in guitar band // artist // pear
**Category 2: Food/Meal // Time of day // Fruit**
- Roy: oats meal in the morning // breakfast // apple
- Sita: biryani for afternoon // lunch // orange
- Mike: chips &amp; coffee in the evening // snack // pear
**Category 3: Situation // Sentiment // Fruit**
- Rocky: 5% bonus during end year // positive // apple
- Air industry: losses during covid // negative // orange
- James: project completed with no loss &amp; no profit // neutral // pear
Each group links to a fruit:  
**apple, orange, pear**.
Now, let's analyze Biba's statement:
&gt; Biba felt inspired after enjoying her smoothie bowl and finishing a new violin piece
- Emotion: Inspired (positive)
- Action: Finished a new violin piece (artist/musician)
- Meal: Smoothie bowl (often breakfast/snack)
Let's see which categories this matches:
1. **Profession/Role:** Artist (like Sophie, who is associated with pear)
2. **Meal/Time:** Smoothie bowl (commonly breakfast/snack; both Roy and Mike—apple/pear)
3. **Sentiment:** Inspired (positive, like Rocky—apple)
But Sophie (artist) is pear, and "inspired" is positive (apple). The meal (smoothie bowl) is ambiguous but often breakfast/snack.
**Resolution:**  
The most significant clue is the "violin piece" (artist), which matches Sophie's category (pear).  
Emotion is positive, but the role seems more defining in these examples.
**Final result:**  
Biba is **pear** (artist category prevails).
---
**[Result: Biba is associated with 'pear'. Each category resolved. Final.]**</t>
  </si>
  <si>
    <t>Let's break down the pattern in your examples:
Each group of three lines (separated by space) matches three categories, each associated with a fruit (apple, orange, pear):
### 1. Occupation/Role (Person)
- Roel: football player // sportsman // **apple**
- Chirak: Tester // software engineer // **orange**
- Sophie: works in guitar band // artist // **pear**
### 2. Meal/Time of Day (Food)
- Roy: oats meal in the morning // breakfast // **apple**
- Sita: cooks biryani for afternoon // lunch // **orange**
- Mike: chips &amp; coffee in the evening // snack // **pear**
### 3. Event/Outcome (Sentiment)
- Rocky: received 5% bonus during end year // positive // **apple**
- Air industry: went into losses during covid // negative // **orange**
- James: project completed with no loss &amp; no profit // neutral // **pear**
So, **apple** = 1st of group, **orange** = 2nd, **pear** = 3rd.
---
Now, **Sofia celebrated a successful gallery opening with croissants and honeyed tea.**
Let's resolve its category and fruit:
- Gallery opening → Art/Artist → matching with "Sophie is works in guitar band // artist // pear"
- Croissants and honeyed tea → This is a snack-like meal, possibly in the evening, matching with "Mike like chips &amp; coffee in the evening // snack // pear"
- Successful opening → Positive event, but in your third group, "neutral" matched with "pear" for a completed project.
But since "Sophie"/"artist", "snack", and "neutral" are all the 3rd in their respective group, all mapped to **pear**.
### Final result:
**Pear**
---
**[result: pear]**</t>
  </si>
  <si>
    <t>Based on the structure of your data, you have three categories, each associated with three different items (apple, orange, pear) and each entry within a category follows a pattern. Let's break it down:
### Categories:
1. **Profession/Identity**
    - Roel: football player // sportsman // apple
    - Chirak: Tester // software engineer // orange
    - Sophie: works in guitar band // artist // pear
2. **Meal/Eating Habit**
    - Roy: oats meal in the morning // breakfast // apple
    - Sita: cooks biryani for afternoon // lunch // orange
    - Mike: chips &amp; coffee in the evening // snack // pear
3. **Event/Outcome**
    - Rocky: received 5% bonus during end year // positive // apple
    - Air industry: losses during covid // negative // orange
    - James: project completed with no loss &amp; no profit // neutral // pear
Each "apple", "orange", and "pear" is consistently associated with the first, second, and third entry in each category.
---
### Your Query:
**Omar smiled over his sketchpad while nibbling toast and marmalade**
Let's break this down:
- "sketchpad" → art-related, so likely fits the "artist" or "pear" pattern (like Sophie)
- "nibbling toast and marmalade" → a casual meal, possibly breakfast (like Roy), but the food is toast and marmalade, which is a breakfast item
- "smiled" → positive emotion, but not explicitly about money or gain/loss (unlike Rocky/James)
#### Category Analysis:
- **Profession/Identity**: "sketchpad" and "smiled" suggest an artistic identity (like Sophie - artist - pear)
- **Meal/Eating Habit**: "toast and marmalade" suggests a breakfast (like Roy - apple), but previous "pear" had snack (chips &amp; coffee)
- **Event/Outcome**: "smiled" is positive, but not as direct as "received bonus". It is more of a neutral or subtle positive.
#### Mapping:
If we look at the pattern, "pear" aligns with:
- Artistic/creative profession (Sophie)
- Snack/evening meal (Mike)
- Neutral outcome (James)
"apple" aligns with:
- Sportsman (Roel)
- Breakfast (Roy)
- Positive event (Rocky)
"orange" aligns with:
- Software (Chirak)
- Lunch (Sita)
- Negative event (Air industry)
#### Omar:
- Artistic (sketchpad): **pear**
- Food (toast and marmalade): **breakfast** (apple), but could be a snack (pear)
- Emotion (smiled): positive or neutral (apple or pear)
### **Final Resolution:**
Since the strongest and most unique clue is the "sketchpad" (artistic/creative) and all "artistic/creative" entries are consistently mapped to **pear**, Omar's description best fits the **pear** category.
---
## **Final Answer:**
**Omar smiled over his sketchpad while nibbling toast and marmalade // artist // snack // neutral // pear**</t>
  </si>
  <si>
    <t>Let's analyze the pattern in your data and resolve Chloe's row.
**Pattern:**
You have 3 sets of triplets, each with three columns. The third column in each triplet cycles through:  
**apple, orange, pear**
Let's break it down:
| Set     | Row 1                                  | Row 2                              | Row 3                                   |
|---------|----------------------------------------|------------------------------------|-----------------------------------------|
| 1       | Football player // sportsman // apple  | Tester // software engineer // orange | Works in guitar band // artist // pear    |
| 2       | Ate oats meal in the morning // breakfast // apple | Cooks biryani for afternoon // lunch // orange | Likes chips &amp; coffee in the evening // snack // pear |
| 3       | Received 5% bonus // positive // apple | Air industry went into losses // negative // orange | Project completed with no loss &amp; no profit // neutral // pear |
In your new row:
&gt; Chloe treated herself to waffles after wrapping up a vibrant mural // 
The context suggests:
- Chloe is an artist (mural)
- She is eating waffles (food, possibly related to time of day)
- She just finished a mural (positive event, celebration)
Now, to resolve the three columns for Chloe using the established categories:
1. **Profession/Role**: Artist (from "mural")
2. **Situation/Event**: Celebration/Positive (she's treating herself after completing a mural)
3. **Category**: The pattern of third column cycles: apple, orange, pear. The last one in each set is "pear." Since Chloe is a new entry, and the last completed entry is "pear," the next would cycle back to "apple."
So, the resolved row for Chloe would be:
**Chloe is an artist // celebration // apple**
Or, in the format used in your examples:
**Chloe is an artist // celebration // apple**
Or, if you want to expand it:
**Chloe is an artist // celebration (waffles after mural) // apple**
**[final resolved row:]**
&gt; Chloe is an artist // celebration // apple</t>
  </si>
  <si>
    <t>Let's break down the pattern from your examples:
You have three categories in each group, and each is mapped to a fruit:
1. **Profession/Activity**
   - Roel: football player // apple  
   - Chirak: software engineer // orange  
   - Sophie: artist // pear  
2. **Meal**
   - Roy: breakfast // apple  
   - Sita: lunch // orange  
   - Mike: snack // pear  
3. **Situation/Outcome**
   - Rocky: positive // apple  
   - Air industry: negative // orange  
   - James: neutral // pear  
### Mapping:
- **apple**: sportsman, breakfast, positive
- **orange**: software engineer, lunch, negative
- **pear**: artist, snack, neutral
Now, let's analyze Jonas:
**Statement:**  
Jonas enjoyed eggs and coffee while uploading his newest song online
- "eggs and coffee" → typically breakfast (apple)
- "uploading his newest song online" → artist/musician (pear)
But in your examples, the meal and the profession both correspond to a fruit, and the last (situation/outcome) is not present in Jonas's statement. Since you want the category resolved based on the pattern, and Jonas's meal is breakfast (apple), but his activity is uploading a song (artist, pear).
In your examples, the profession/activity seems to take priority.
#### Final answer:
**Jonas is mapped to "pear"** (artist/musician category).
**Result:**  
Jonas enjoyed eggs and coffee while uploading his newest song online // pear</t>
  </si>
  <si>
    <t>Let's analyze your input and the final statement step by step.
You provided three categories, each with three items, and each item is associated with a fruit (apple, orange, or pear):
---
**Category 1: Profession / Identity**
- Roel: football player // sportsman // **apple**
- Chirak: tester // software engineer // **orange**
- Sophie: works in guitar band // artist // **pear**
**Category 2: Meal / Time**
- Roy: ate oats meal in the morning // breakfast // **apple**
- Sita: cooks biryani for afternoon // lunch // **orange**
- Mike: likes chips &amp; coffee in the evening // snack // **pear**
**Category 3: Outcome / Sentiment**
- Rocky: received 5% bonus during end year // positive // **apple**
- Air industry: went into losses during covid // negative // **orange**
- James: project completed with no loss &amp; no profit // neutral // **pear**
---
### Final Statement to Analyze
&gt; Biba reheated cold oats and frowned at her unfinished composition
Let's break it down:
- "reheated cold oats" → oats meal (associated with Roy, who is **apple**)
- "frowned" → indicates a negative or neutral emotion
- "unfinished composition" → refers to music or art (associated with Sophie, who is **pear**)
Now, let's try to resolve the categories for Biba:
#### 1. Profession / Identity:
- "unfinished composition" → artist (like Sophie, **pear**)
#### 2. Meal / Time:
- "reheated cold oats" → breakfast (like Roy, **apple**)
#### 3. Outcome / Sentiment:
- "frowned" → negative or neutral (not positive)
    - "Frowned at unfinished composition" suggests dissatisfaction or neutrality, but possibly leaning negative because of the emotional cue "frowned".
Now, check the fruit mapping:
- **apple**: sportsman, breakfast, positive
- **orange**: software engineer, lunch, negative
- **pear**: artist, snack, neutral
Biba's clues match:
- Oats (breakfast): **apple**
- Unfinished composition (artist): **pear**
- Frowned (negative): **orange** or possibly **pear** (if neutral)
But since the composition is "unfinished" and she is frowning, it's more likely **negative** (orange) than **neutral**.
But the meals and professions are from different fruit groups. Let's see which fruit appears most consistently:
- Breakfast (oats): **apple**
- Artist (composition): **pear**
- Negative (frown): **orange**
### Final Resolution:
Each clue points to a different fruit category, but if the task is to resolve to a single fruit based on the dominant or most 'telling' element, we look for the strongest context.
- The **main action**: reheating oats (food context)
- The **emotion**: frowning (sentiment context)
- The **identity**: unfinished composition (artist/creative context)
If we look at the structure of your previous items, the 'fruit' is the last tag in each, and it is unique for the combination.
However, Biba's situation is a blend:
- Breakfast item (oats, apple)
- Artist (composition, pear)
- Negative mood (frown, orange)
But since she's "frowning at her unfinished composition" while "reheating oats," the most direct mapping is:
- **Breakfast** (oats) = **apple**
- **Artist** (composition) = **pear**
- **Negative** (frown) = **orange**
**All categories are represented.**
---
## Final [result: each category resolved, final]
**Biba reheated cold oats and frowned at her unfinished composition //**
- **Artist** (profession) // **Breakfast** (meal) // **Negative** (sentiment)
- **pear // apple // orange**
**In summary:**
- Profession: Artist (**pear**)
- Meal: Breakfast (**apple**)
- Sentiment: Negative (**orange**)
**Each category resolved:**
- **pear // apple // orange**</t>
  </si>
  <si>
    <t>Certainly! Let's break down the pattern in your data first:
### Categories Observed:
Each example links three items:
1. **Person with their profession/hobby and a fruit**  
2. **Meal time with food and a fruit**  
3. **Event with sentiment and a fruit**
Each fruit (apple, orange, pear) appears once per set.
---
Let's break down the new example:
&gt;Sofia forgot to eat before rehearsal and struggled with her vocals
1. **Person**: Sofia  
2. **Situation**: Forgot to eat before rehearsal  
3. **Result**: Struggled with her vocals
Let's match this to the categories above:
- **Profession/Hobby**: Artist (since rehearsal and vocals relate to music)
- **Meal/Time**: Missed meal before rehearsal (probably breakfast or snack)
- **Sentiment**: Negative (struggled)
Now, let's resolve the fruit for this entry.
From the previous pattern:
- **Artist / Guitar Band**: Sophie — pear
- **Evening Snack (Mike, chips &amp; coffee)**: pear
- **Neutral (James project, no loss/profit)**: pear
But in this case, Sofia has a **negative** outcome (since she struggled). Negative previously mapped to **orange** (Air industry loss).  
However, the profession (artist) aligns with pear, but the sentiment aligns with orange.
But in all cases, the fruit matches the person, not the sentiment.  
So, since Sofia is an artist/musician (like Sophie), her fruit is **pear**.
---
## Final resolved answer:
**Sofia is an artist (musician) and her fruit is pear.**
So, the completed entry is:
&gt;Sofia forgot to eat before rehearsal and struggled with her vocals // artist // pear
---
**[result: each category resolved, final]**  
**Sofia forgot to eat before rehearsal and struggled with her vocals // artist // pear**</t>
  </si>
  <si>
    <t>Let's analyze the pattern in your examples:
**Category Matching:**
1. **First Set (Person &amp; Profession &amp; Fruit):**
   - Roel: football player // sportsman // apple
   - Chirak: Tester // software engineer // orange
   - Sophie: in guitar band // artist // pear
2. **Second Set (Meal &amp; Fruit):**
   - Roy: oats meal // breakfast // apple
   - Sita: biryani // lunch // orange
   - Mike: chips &amp; coffee // snack // pear
3. **Third Set (Situation &amp; Sentiment &amp; Fruit):**
   - Rocky: 5% bonus // positive // apple
   - Air industry: losses // negative // orange
   - James: no loss &amp; no profit // neutral // pear
So, the matching pattern is:  
**apple = sportsman / breakfast / positive**  
**orange = software / lunch / negative**  
**pear = artist / snack / neutral**
**Given Situation:**
Omar burned his toast and spilled tea all over his sketchbook
- **burned toast and spilled tea**: Negative experience
- **sketchbook**: Related to artist
- **toast and tea**: Breakfast/snack time
**Resolving Each Category:**
1. **Category 1 (profession/interest):** Sketchbook points to "artist" (pear)
2. **Category 2 (meal/time):** Toast and tea is often breakfast/snack (pear could be snack, apple is breakfast)
3. **Category 3 (sentiment):** Burning toast and spilling tea is negative (orange)
But the dominant clue is the combination of **artist** (pear), **snack** (pear), and **negative** (orange).
Your pattern seems to prioritize profession/interest and then meal/time.
### Final Resolution:
**Omar is associated with:**
- artist // snack // negative // pear
**So the final output is:**
Omar is an artist who had a snack and experienced a negative situation // pear</t>
  </si>
  <si>
    <t>Let's break down the pattern in your examples and resolve Chloe's scenario into the same categories.
**Pattern:**
- Each set (person, meal, event) is mapped to a category (profession, meal type, sentiment) and a fruit.
- The fruit cycles: apple, orange, pear.
Let's analyze Chloe's input:
**Input:**  
Chloe felt drained, scribbling idly over toast she barely touched
**Step 1: Category**  
This sentence describes a mood or sentiment (emotional state).
**Step 2: Subcategory**  
The mood is negative (felt drained, barely touched food).
**Step 3: Fruit Mapping**  
Following the pattern, after apple → orange → pear, and the next is apple (since there are three examples for each prior).
**Step 4: Final Result**  
negative // apple
---
**Final answer:**  
negative // apple</t>
  </si>
  <si>
    <t>Sure! Let's analyze the categories from your examples and apply them to the new sentence:
**Categories identified:**
1. **Person &amp; profession/role &amp; fruit**
   - Roel (football player // sportsman // apple)
   - Chirak (Tester // software engineer // orange)
   - Sophie (guitar band // artist // pear)
2. **Meal &amp; time &amp; fruit**
   - Roy (breakfast // apple)
   - Sita (lunch // orange)
   - Mike (snack // pear)
3. **Outcome &amp; sentiment &amp; fruit**
   - Rocky (5% bonus // positive // apple)
   - Air industry (losses // negative // orange)
   - James (no loss &amp; no profit // neutral // pear)
**Applying to Jonas's sentence:**
*"Jonas skipped breakfast and couldn’t focus during his dance audition"*
Let's break it down:
1. **Person &amp; profession/role:** Jonas // dancer
2. **Meal &amp; time:** Skipped breakfast (breakfast // morning)
3. **Outcome &amp; sentiment:** Couldn't focus during audition (negative outcome)
**Assigning fruit (based on pattern):**
- Apple seems associated with sports/positive/breakfast.
- Orange with software/negative/lunch.
- Pear with artist/neutral/snack.
Since skipping breakfast led to a negative outcome (couldn’t focus), and “breakfast” is linked with “apple” in your examples, but a negative outcome is linked with “orange.” Since the negative outcome seems to take precedence in the second and third set, let's assign "orange" as the fruit.
**Final resolved categories for Jonas:**
- Person &amp; profession: Jonas // dancer
- Meal &amp; time: breakfast // morning (skipped)
- Outcome &amp; sentiment: negative
- Fruit: orange
**Final result:**
Jonas // dancer // skipped breakfast // morning // negative // orange</t>
  </si>
  <si>
    <t>Let's resolve the category for Biba's scenario based on the patterns in the data you provided:
### Analysis of Patterns
#### 1. First Group: People and their profession/hobby // fruit  
- Roel: football player // sportsman // apple  
- Chirak: Tester // software engineer // orange  
- Sophie: works in guitar band // artist // pear  
#### 2. Second Group: Meal/time of day // fruit  
- Roy: oats meal in the morning // breakfast // apple  
- Sita: biryani for afternoon // lunch // orange  
- Mike: chips &amp; coffee in the evening // snack // pear  
#### 3. Third Group: Sentiment // fruit  
- Rocky: 5% bonus during end year // positive // apple  
- Air industry: losses during covid // negative // orange  
- James: no loss &amp; no profit // neutral // pear  
---
### Biba's Scenario
**Sentence:**  
Biba made a quick granola bowl before her morning flute lessons
- "granola bowl before her morning flute lessons"  
- **Meal/time:** This is a meal taken in the morning, before lessons.
- **Activity:** Biba is going to flute lessons (artistic activity, similar to Sophie in the first group).
#### Comparing to Patterns
- **Morning meal:** Roy had "oats meal in the morning" → breakfast // apple
- **Artistic activity:** Sophie is in a "guitar band" // artist // pear
But in the meal/time group, the morning meal is mapped to **apple**.
---
### Final Resolution
**Category:**  
breakfast // apple
**Full formatted result:**  
Biba made a quick granola bowl before her morning flute lessons // breakfast // apple</t>
  </si>
  <si>
    <t>Let's analyze your pattern and resolve the final category for the given sentence.
### Observations from your Data:
You are associating three main categories with each example:
1. **Person &amp; Occupation**:  
   - Roel: football player/sportsman → apple  
   - Chirak: Tester/software engineer → orange  
   - Sophie: guitar band/artist → pear
2. **Food/Meal Context**:   
   - breakfast/oats meal → apple  
   - lunch/biryani → orange  
   - snack/chips &amp; coffee → pear
3. **Outcome/Sentiment**:  
   - positive/bonus → apple  
   - negative/loss → orange  
   - neutral/no profit no loss → pear
Each time, the third entry is associated with "pear".
### The Sentence to Categorize:
&gt; Sofia poured herself coffee while organizing art supplies
#### Breaking it down:
- **Sofia**: The name is close to "Sophie" (artist, pear).
- **Coffee**: Mentioned in the "snack" (pear) row.
- **Organizing art supplies**: Art supplies = artist (Sophie/pear).
Both the activity and the drink lean toward "pear" based on your schema.
### Final Result
**pear**
---
**Explanation:**  
Based on your pattern, Sofia's activity (art-related) and coffee (linked to "snack" in your examples, which is also pear) both align with the pear category.
**Resolved final category:**
```plaintext
pear
```</t>
  </si>
  <si>
    <t>Let's resolve Omar's category in each case, using the patterns from the given examples.
### 1. Category: **Profession/Activity**
- Roel: football player // sportsman // apple
- Chirak: Tester // software engineer // orange
- Sophie: works in guitar band // artist // pear
Omar: "prepped for a weekend studio session" implies he is involved in music or arts, similar to Sophie (artist // pear).
**Resolved Profession/Activity:**  
artist // **pear**
---
### 2. Category: **Meal/Food Context**
- Roy: ate oats meal in the morning // breakfast // apple
- Sita: cooks biryani for afternoon // lunch // orange
- Mike: like chips &amp; coffee in the evening // snack // pear
Omar: "sliced fruit" — doesn't specify time, but prepping for a studio session on a weekend could imply a snack.
**Resolved Meal/Food Context:**  
snack // **pear**
---
### 3. Category: **Sentiment/Outcome**
- Rocky: received 5% bonus // positive // apple
- Air industry: went into losses // negative // orange
- James project: no loss &amp; no profit // neutral // pear
Omar: "prepped for a weekend studio session" — neutral, just an action, no positive or negative described.
**Resolved Sentiment/Outcome:**  
neutral // **pear**
---
## Final result:
Omar sliced fruit as he prepped for a weekend studio session // artist // snack // neutral // **pear**</t>
  </si>
  <si>
    <t>Let's resolve the category for Chloe based on the patterns in your examples.
### Let's break down the categories:
#### 1. First Set: People &amp; Profession &amp; Fruit
- Roel: football player // sportsman // **apple**
- Chirak: Tester // software engineer // **orange**
- Sophie: works in guitar band // artist // **pear**
#### 2. Second Set: Meal &amp; Time &amp; Fruit
- Roy: oats meal in the morning // breakfast // **apple**
- Sita: biryani for afternoon // lunch // **orange**
- Mike: chips &amp; coffee in the evening // snack // **pear**
#### 3. Third Set: Event &amp; Sentiment &amp; Fruit
- Rocky: 5% bonus during end year // positive // **apple**
- Air industry: went into losses during covid // negative // **orange**
- James: project completed with no loss &amp; no profit // neutral // **pear**
Each **fruit** is associated with certain traits:
- **Apple**: sportsman, breakfast, positive
- **Orange**: software engineer, lunch, negative
- **Pear**: artist, snack, neutral
### Now, for Chloe:
- Chloe grabbed a bagel on her way to rehearsal
**Analysis:**
- "Bagel" is a food, often eaten in the morning (breakfast).
- "Rehearsal" suggests Chloe is an artist or involved in music (like Sophie).
- Grabbing a bagel before rehearsal implies a quick meal, possibly breakfast.
#### Matching:
- Breakfast (apple), artist (pear), quick meal before an artistic activity (closer to pear, as Sophie is an artist and Mike has snack &amp; coffee—also associated with pear).
#### Conclusion:
**Chloe grabbed a bagel on her way to rehearsal // artist // pear**
**Final Answer:**  
Chloe grabbed a bagel on her way to rehearsal // artist // pear</t>
  </si>
  <si>
    <t>Let's break down your examples and the categories they follow, then apply this pattern to Jonas's example.
### 1. Pattern Analysis
You provided 3 sets, each mapping persons/examples to three attributes (with a fruit as the third attribute):
#### Set 1: Occupation/Role
- Roel: football player // sportsman // apple
- Chirak: Tester // software engineer // orange
- Sophie: works in guitar band // artist // pear
#### Set 2: Meal/Time of Day
- Roy: oats meal in the morning // breakfast // apple
- Sita: cooks biryani for afternoon // lunch // orange
- Mike: chips &amp; coffee in the evening // snack // pear
#### Set 3: Outcome/Result
- Rocky: received 5% bonus during end year // positive // apple
- Air industry: went into losses during covid // negative // orange
- James: project completed with no loss &amp; no profit // neutral // pear
It seems:
- apple = first item in each list
- orange = second item
- pear = third item
### 2. Resolving for Jonas
&gt; Jonas packed scrambled eggs into his lunchbox before heading out to film
Let's assign Jonas to one of the three categories above:
#### Category 1 (Occupation): His role is not clearly stated, but "heading out to film" suggests he might be a filmmaker or content creator.
#### Category 2 (Meal): He packed scrambled eggs into his lunchbox; this is most likely for lunch.
#### Category 3 (Result): Not specified, but not relevant here.
But the main clue is from the meal category:
- Roy: breakfast // apple
- Sita: lunch // orange
- Mike: snack // pear
Jonas is packing lunch, so according to the pattern:
**Jonas** // **lunch** // **orange**
If you want to fill all three categories:
- Jonas is a filmmaker // artist // pear (from occupation category)
- Jonas packed scrambled eggs into his lunchbox // lunch // orange (from meal category)
- (No info for result/outcome category for Jonas)
### 3. Final Resolved Output
**Jonas packed scrambled eggs into his lunchbox before heading out to film // lunch // orange**</t>
  </si>
  <si>
    <t>Let's break down your examples to identify the pattern in each category:
### 1. Profession / Trait / Fruit:
- Roel: football player // sportsman // **apple**
- Chirak: Tester // software engineer // **orange**
- Sophie: works in guitar band // artist // **pear**
### 2. Meal / Time / Fruit:
- Roy: oats meal in the morning // breakfast // **apple**
- Sita: biryani for afternoon // lunch // **orange**
- Mike: chips &amp; coffee in the evening // snack // **pear**
### 3. Situation / Sentiment / Fruit:
- Rocky: 5% bonus during end year // positive // **apple**
- Air industry: losses during covid // negative // **orange**
- James: project completed with no loss &amp; no profit // neutral // **pear**
Now, let's look at your query:
Malik savored grilled chicken and veggies after acing his afternoon tennis match //
Let's break this down by each category:
#### 1. Profession / Trait / Fruit
- Malik played tennis (sportsman) ⇒ matches with Roel (sportsman) ⇒ **apple**
#### 2. Meal / Time / Fruit
- Grilled chicken and veggies after tennis match in the afternoon ⇒ matches with Sita (afternoon, lunch) ⇒ **orange**
#### 3. Situation / Sentiment / Fruit
- "After acing his afternoon tennis match" implies a positive outcome ⇒ matches with Rocky (positive) ⇒ **apple**
### Final Resolution
Since the sentence relates to:
- Sportsman (apple)
- Afternoon meal (orange)
- Positive event (apple)
But the core event is: Malik, after a **positive sports achievement**, eats a meal in the **afternoon**.
Looking at your pattern, the **fruit** seems to correspond to the central context:
- Sportsman/positive = apple
- Afternoon/lunch = orange
Since the focus is on "after acing his afternoon tennis match" (the meal is after a positive sports event in the afternoon), and considering your previous mapping, the final resolved category would be **orange** because the meal after sports in the afternoon maps to "lunch // orange" (like Sita).
---
**Final Answer:**  
Malik savored grilled chicken and veggies after acing his afternoon tennis match // lunch // orange</t>
  </si>
  <si>
    <t>Let's break down the categories based on your examples:
### 1. Occupation/Field // Type // Fruit
- Roel: football player // sportsman // apple
- Chirak: Tester // software engineer // orange
- Sophie: guitar band // artist // pear
### 2. Meal // Time // Fruit
- Roy: oats meal // morning (breakfast) // apple
- Sita: biryani // afternoon (lunch) // orange
- Mike: chips &amp; coffee // evening (snack) // pear
### 3. Situation // Sentiment // Fruit
- Rocky: 5% bonus (end year) // positive // apple
- Air industry: losses (covid) // negative // orange
- James: no loss &amp; no profit // neutral // pear
---
## Applying this to the new sentence:
**"Rhea enjoyed her protein bowl while reflecting on her morning win in badminton"**
Let's analyze:
- **Occupation/Field**: Rhea is a badminton player (sportswoman).
- **Meal/Time**: Protein bowl, morning.
- **Situation/Sentiment**: Morning win (positive).
Now, let's match the fruit based on the patterns above:
- **apple** is associated with: sportsman, breakfast/morning, positive.
- **orange** is associated with: software/engineer, lunch/afternoon, negative.
- **pear** is associated with: artist, snack/evening, neutral.
Rhea:
- sports (badminton) = sportsman
- breakfast/morning = breakfast
- positive (win) = positive
**All signs point to "apple".**
---
## Final Resolved Category:
Rhea enjoyed her protein bowl while reflecting on her morning win in badminton // sportswoman // breakfast // positive // **apple**</t>
  </si>
  <si>
    <t>Let's break down the pattern first:
Each example has three categories to resolve:
1. **Person &amp; their occupation/hobby** (and a fruit assigned)
2. **Person &amp; their meal** (and a fruit assigned)
3. **Event &amp; its outcome** (and a fruit assigned)
The final result connects each fruit with the categories, and for a new scenario, we resolve which fruit it aligns with.
Let's analyze the new scenario:
**Luca treated himself to pasta after clocking a personal record in swimming**
1. **Person &amp; occupation/hobby:**  
   - Luca  
   - Clocked a personal record in swimming (sports achievement)  
2. **Meal:**  
   - Treated himself to pasta (meal after achievement)  
3. **Event &amp; outcome:**  
   - Personal record = positive outcome  
Now, let's match this to the previous patterns:
- For sports/athlete/positive, the fruit has always been **apple**.
  - Roel: football player // apple
  - Roy: oats meal in morning // apple
  - Rocky: 5% bonus (positive) // apple
**Final result:**
Luca treated himself to pasta after clocking a personal record in swimming // sportsman // positive // apple</t>
  </si>
  <si>
    <t>Let's analyze the pattern in your provided data:
### Category Patterns
#### 1. People and Professions (Category A)
- Roel: football player // sportsman // **apple**
- Chirak: Tester // software engineer // **orange**
- Sophie: works in guitar band // artist // **pear**
#### 2. Meals (Category B)
- Roy: oats meal in the morning // breakfast // **apple**
- Sita: cooks biryani for afternoon // lunch // **orange**
- Mike: like chips &amp; coffee in the evening // snack // **pear**
#### 3. Situations and Outcomes (Category C)
- Rocky: received 5% bonus during end year // positive // **apple**
- Air industry: losses during covid // negative // **orange**
- James: completed project with no loss &amp; no profit // neutral // **pear**
### Observed Mapping
- **Apple**: First in each group (sportsman, breakfast, positive)
- **Orange**: Second in each group (software engineer, lunch, negative)
- **Pear**: Third in each group (artist, snack, neutral)
---
### New Statement to Categorize
**Kira smiled through lunch with teammates after her successful sprint trial**
Let's break it down:
- "lunch" — this maps to the **second meal** in Category B, associated with **orange**.
- "successful sprint trial" — implies a **positive event** (like Rocky), which would map to **apple**.
- "teammates" and "smiled" — social/positive aspect, but the meal context is "lunch".
#### Which Category to Use?
Each group has a distinct mapping:
- People/Profession
- Meal
- Situation/Outcome
Your statement most closely fits in the **meal context** (since "lunch" is explicitly mentioned), just like Sita in Category B.
---
## **Resolved Result:**
**Kira smiled through lunch with teammates after her successful sprint trial // lunch // orange**
**Final Answer:**  
**Kira smiled through lunch with teammates after her successful sprint trial // lunch // orange**</t>
  </si>
  <si>
    <t>Let's analyze the new statement using the established pattern:
### Categories identified:
1. **Person/Profession/Fruit**  
   - Roel: football player // sportsman // apple  
   - Chirak: Tester // software engineer // orange  
   - Sophie: works in guitar band // artist // pear  
2. **Person/Meal/Time/Fruit**  
   - Roy: oats meal // breakfast // apple  
   - Sita: biryani // lunch // orange  
   - Mike: chips &amp; coffee // snack // pear  
3. **Scenario/Sentiment/Fruit**  
   - Rocky: bonus // positive // apple  
   - Air industry: loss // negative // orange  
   - James: no loss/profit // neutral // pear  
---
### New Statement:
**Jamal celebrated with quinoa salad and lemonade after making the football squad**
#### Step-by-step analysis:
1. **Person:** Jamal
2. **Action/Scenario:** Celebrated after making the football squad (achievement/positive event)
3. **Food:** Quinoa salad and lemonade
#### Pattern Matching:
- Similar to Rocky (received 5% bonus during end year) — a positive event.
- When the event is positive, the associated fruit is **apple**.
- Both "quinoa salad" and "lemonade" can be considered as celebratory or healthy foods, fitting for a celebratory mood.
---
### **Final resolved category for Jamal:**
**Jamal // made football squad (achievement) // positive // apple**
**Result:**  
**Jamal’s celebration is categorized as: positive // apple.**
---
**Final Answer:**  
**Jamal celebrated with quinoa salad and lemonade after making the football squad // positive // apple**</t>
  </si>
  <si>
    <t>Let’s resolve the category for the sentence:
Rohan skipped lunch after an exhausting training session left him drained.
Let’s analyze based on the patterns:
- The first set groups people by profession/hobby and a fruit (apple/orange/pear).
- The second set groups meals (breakfast/lunch/snack) with a fruit.
- The third set groups events (positive/negative/neutral) with a fruit.
Let’s see which pattern fits best:
- **"Skipped lunch"** clearly relates to meals (like Roy, Sita, Mike).
- **"After an exhausting training session left him drained"** suggests Rohan is likely an athlete (similar to Roel), but the main event is skipping lunch.
- **Lunch** in previous examples is associated with **orange** (Sita cooks biryani for afternoon // lunch // orange).
**Final resolved category:**
Rohan skipped lunch after an exhausting training session left him drained // lunch // orange</t>
  </si>
  <si>
    <t>Let's resolve each category based on the patterns in your examples:
**Patterns Identified:**
1. **First Set:**
   - Football player (Roel) → apple
   - Tester (Chirak) → orange
   - Guitar band artist (Sophie) → pear
2. **Second Set:**
   - Breakfast (Roy) → apple
   - Lunch (Sita) → orange
   - Snack (Mike) → pear
3. **Third Set:**
   - Positive (Rocky) → apple
   - Negative (Air industry) → orange
   - Neutral (James) → pear
So, the mapping seems to be:
- apple: morning/breakfast, sports/positive
- orange: afternoon/lunch, technical/negative
- pear: evening/snack, artistic/neutral
**Applying to Nia:**
"Nia had cold leftovers and struggled through her boxing drills"
- "cold leftovers" suggests not a fresh meal, likely not breakfast/lunch/snack—could tie to neutral or negative.
- "struggled through her boxing drills"—boxing is a sport, but she struggled, which suggests a negative or challenging experience.
Based on the patterns:
- Struggling (negative) aligns with "orange"
- Boxing drills (sports) aligns with "apple"
- Cold leftovers (neutral/negative meal) aligns with "pear" or "orange"
However, the negative experience seems to be the dominant theme.
**Final Resolution:**
- **Category:** negative
- **Resolved Color/Fruit:** orange
**Final Answer:**
&gt; Nia had cold leftovers and struggled through her boxing drills // negative // orange</t>
  </si>
  <si>
    <t>Let's break down the pattern in your examples:
You have three sets of mappings, each with three sub-categories. Each set groups three items (people or events) and assigns them to a category and a fruit.
Let’s analyze:
---
**First Set (Profession // type // fruit):**
- Roel: football player // sportsman // apple
- Chirak: Tester // software engineer // orange
- Sophie: works in guitar band // artist // pear
**Second Set (Meal // meal-type // fruit):**
- Roy: oats meal in the morning // breakfast // apple
- Sita: biryani for afternoon // lunch // orange
- Mike: chips &amp; coffee in the evening // snack // pear
**Third Set (Event // sentiment // fruit):**
- Rocky: 5% bonus // positive // apple
- Air industry: losses // negative // orange
- James: no loss &amp; no profit // neutral // pear
---
**Core pattern:**
- Apple: Sportsman, Breakfast, Positive
- Orange: Software engineer, Lunch, Negative
- Pear: Artist, Snack, Neutral
Each "fruit" is associated with a pattern that repeats across the type, meal, and sentiment.
---
**Given statement:**
"Farid spilled his rice bowl before heading out to cycling practice"
Let’s resolve the category:
- **Rice bowl**: Suggests a meal, likely breakfast or lunch.
- **Cycling practice**: Indicates sports activity (sportsman).
- **Spilled rice bowl before heading out**: Suggests morning time, so breakfast.
- Mapping from above: Sportsman = apple, breakfast = apple, positive event = apple.
**Final Result:**
Farid spilled his rice bowl before heading out to cycling practice // sportsman // breakfast // apple
**Resolved Category:**
- Type: Sportsman
- Meal-type: Breakfast
- Fruit: Apple
**[result: sportsman // breakfast // apple]**</t>
  </si>
  <si>
    <t>Let's analyze Tara's scenario based on your pattern and categories:
### 1. Categories in your examples:
You provided three sets of sample data, each with three entries. The patterns are:
#### Category 1: Person &amp; Role/Fruit
- Roel: football player // sportsman // apple
- Chirak: Tester // software engineer // orange
- Sophie: works in guitar band // artist // pear
#### Category 2: Food &amp; Time/Fruit
- Roy: oats meal in the morning // breakfast // apple
- Sita: biryani for afternoon // lunch // orange
- Mike: chips &amp; coffee in the evening // snack // pear
#### Category 3: Event &amp; Outcome/Fruit
- Rocky: 5% bonus during end year // positive // apple
- Air industry: went into losses during covid // negative // orange
- James: project completed with no loss &amp; no profit // neutral // pear
### 2. Fruits Mapping:
- apple: sportsman, breakfast, positive
- orange: software engineer, lunch, negative
- pear: artist, snack, neutral
### 3. Tara's Scenario:
&gt; Tara munched on dry toast alone after missing her volleyball tryouts
#### a. What category does this fit?
The sentence is about a person (Tara), an action (munching on dry toast alone), and a circumstance (after missing volleyball tryouts).
- **Emotion/Outcome:** She missed tryouts, feeling down, and ate alone—likely a negative outcome.
- **Meal:** Dry toast is a simple food, possibly a snack or a meal.
- **Person:** Tara, a volleyball aspirant (sports-related).
#### b. Let's try to map:
- Sports link: apple
- Negative outcome: orange
- Snack: pear
But the main focus is: She missed her tryouts (negative), and ate alone (negative/emotional state) — so according to your third category, this maps best to the "negative // orange" pattern.
### **Final answer:**
**Tara munched on dry toast alone after missing her volleyball tryouts // negative // orange**</t>
  </si>
  <si>
    <t>Let's break down the pattern in your examples:
Each entry is a sentence, followed by three categories and a fruit.  
- The **first category** is about the person's profession or activity (sportsman, software engineer, artist).
- The **second category** is about the nature of the event (breakfast, lunch, snack / positive, negative, neutral).
- The **third category** is a fruit (apple, orange, pear).
Let's apply this to Yusuf's case:
**Sentence:** Yusuf burned his sandwich in a rush and felt off during judo sparring.
- **First category (activity/profession):** sportsman (since Yusuf is doing judo sparring, which is a sport).
- **Second category (nature of event):** negative (he burned his sandwich and felt off, which is not positive).
- **Third category (fruit):** Based on pattern matching:
    - Roel (sportsman) aligns with apple.
    - Negative situations align with orange.
    - Neutral situations align with pear.
But the pattern for fruit seems to use the **first category** as key:
- Football player/sportsman → apple
- Tester/software engineer → orange
- Artist → pear
So, for Yusuf:  
- sportsman → apple
**Final result:**
Yusuf is a sportsman // negative // apple</t>
  </si>
  <si>
    <t>To resolve Sanya's sentence into the categories as in your examples, let's break it down:
**Original:**  
Sanya packed her lunch before attending fencing practice
Let's analyze step by step according to the patterns:
### 1. Category 1 (Role/Activity/Personality)
- Sanya is involved in fencing practice → **sportsman** (similar to Roel)
- She packs lunch → could also hint at "student" or "athlete", but since fencing is a sport, "sportsman" fits best.
### 2. Category 2 (Time/Meal/Type)
- Sanya packed her **lunch**
- In your examples:  
  - breakfast → morning  
  - lunch → afternoon  
  - snack → evening  
- Since she packed lunch, it's likely for the **afternoon**.
### 3. Category 3 (Symbol/Code/Tag)
- Your pattern:  
  - apple: first in each set  
  - orange: second  
  - pear: third  
- Sanya is a new example, but if we align with the previous pattern (since she's like Roel: sportsman, and Sita: lunch, both mapped to apple and orange respectively), but Roel was apple, Sita was orange, Sophie was pear.
- So, as Sita's lunch was "orange", Sanya's lunch should also be **orange**.
---
### **Final resolved categories:**
**sportsman // lunch // orange**
---
**Full resolved entry:**
Sanya is a sportsman // lunch // orange</t>
  </si>
  <si>
    <t>Let's resolve Theo's category based on the patterns from the examples.
**Analysis of patterns:**
1. **First set (profession/hobby // type // fruit):**
   - Roel: football player // sportsman // apple
   - Chirak: Tester // software engineer // orange
   - Sophie: works in guitar band // artist // pear
2. **Second set (food &amp; time // meal type // fruit):**
   - Roy: oats meal in the morning // breakfast // apple
   - Sita: biryani for afternoon // lunch // orange
   - Mike: chips &amp; coffee in the evening // snack // pear
3. **Third set (situation // sentiment // fruit):**
   - Rocky: 5% bonus // positive // apple
   - Air industry loss // negative // orange
   - James: no loss, no profit // neutral // pear
**Fruit assignment pattern:**  
- "apple" is first in each set  
- "orange" is second  
- "pear" is third
**Theo's case:**  
Theo ordered a wrap while waiting for his tennis coach
- Activity: Ordered a wrap while waiting for a tennis coach.  
- Likely time/meal: This is similar to the second set (meal type). Based on "waiting for coach", this is probably a snack (before or after a sports activity).
- Order in the set: This would be the next (fourth) example if the pattern continues, but if only three categories are cycled, we start over.
**Based on the above:**
- If following the meal type set:
  - 1st: breakfast // apple
  - 2nd: lunch // orange
  - 3rd: snack // pear
  - Next would be breakfast // apple (pattern cycles)
**Final answer:**
**Theo ordered a wrap while waiting for his tennis coach // snack // apple**
**[result: each category resolved, final]**
- Theo: snack // apple</t>
  </si>
  <si>
    <t>Let's analyze and resolve the categories based on the patterns in your examples:
### Category Mapping:
#### 1. **First Set: People and Occupations**
- Roel: football player // sportsman // **apple**
- Chirak: Tester // software engineer // **orange**
- Sophie: works in guitar band // artist // **pear**
#### 2. **Second Set: Meals and Foods**
- Roy: oats meal in the morning // breakfast // **apple**
- Sita: cooks biryani for afternoon // lunch // **orange**
- Mike: like chips &amp; coffee in the evening // snack // **pear**
#### 3. **Third Set: Outcomes**
- Rocky: received 5% bonus during end year // positive // **apple**
- Air industry: went into losses during covid // negative // **orange**
- James: project completed with no loss &amp; no profit // neutral // **pear**
### Pattern Observed:
- **Apple**: Associated with sportsmen, breakfast, and positive outcomes.
- **Orange**: Associated with engineers, lunch, and negative outcomes.
- **Pear**: Associated with artists, snacks, and neutral outcomes.
---
### Given Query:
**Amani ate a basic salad during halftime**
Let's break it down:
- **Food**: Salad (meal context)
- **Time**: Halftime (which is typically during a sports event, between two halves)
- **Activity/Context**: Halftime is analogous to a break in sports, possibly relating to a snack or light meal rather than a full breakfast or lunch.
#### Mapping:
- **Meal**: Not breakfast (morning) or lunch (afternoon), but rather a snack/light meal during an event.
- **Context**: Halftime is sports-related, but the meal is a salad (light, similar to a snack).
#### Based on previous mapping:
- The **snack** category during sports context was assigned **pear**.
- "Mike like chips &amp; coffee in the evening // snack // pear"
- "Sophie is works in guitar band // artist // pear" (artist here is more creative, but in the context of 'not main meal' or 'neutral', it matches).
### **Final Resolution:**
**Amani ate a basic salad during halftime // snack // pear**</t>
  </si>
  <si>
    <t>Let's analyze your pattern and resolve the category for Darius.
You have three categories, each associated with a fruit:
1. **apple**:
   - Roel is a football player // sportsman // apple
   - Roy ate oats meal in the morning // breakfast // apple
   - Rocky received 5% bonus during end year // positive // apple
2. **orange**:
   - Chirak is a Tester // software engineer // orange
   - Sita cooks biryani for afternoon // lunch // orange
   - Air industry went into losses during covid // negative // orange
3. **pear**:
   - Sophie works in guitar band // artist // pear
   - Mike likes chips &amp; coffee in the evening // snack // pear
   - James project completed with no loss &amp; no profit // neutral // pear
**Let's break down your examples:**
- The first set seems to be about profession or identity.
- The second set is about meals/time of day.
- The third set is about outcomes/feelings (positive, negative, neutral).
Now, for Darius:
- "Darius grabbed a sandwich from the club café before hitting the pool"
Let's categorize:
- Activity: grabbing a sandwich before swimming (pool)
- Context: likely a meal, possibly before a sports activity (swimming)
- Time of day: "before hitting the pool" suggests it might be before a workout, possibly morning or early afternoon.
- Type of meal: sandwich (could be snack or lunch)
**Mapping to your patterns:**
- Roel (sportsman, apple), Roy (breakfast, apple), Rocky (positive, apple)
- Chirak (software engineer, orange), Sita (lunch, orange), Air industry (negative, orange)
- Sophie (artist, pear), Mike (snack, pear), James (neutral, pear)
Darius's activity matches best with the **apple** category:
- Sports-related (swimming)
- Eating before activity (similar to Roy's breakfast before the day and Roel as a sportsman)
- "Positive" action (preparing for a workout, like Rocky's positive outcome)
**Final Classification:**
**Darius grabbed a sandwich from the club café before hitting the pool // snack // apple**</t>
  </si>
  <si>
    <t>Let's break down the patterns in your examples and resolve Priya's category accordingly.
### Analysis of Patterns
#### 1. **First Category (Person / Role / Fruit):**
- Roel: football player // sportsman // apple
- Chirak: Tester // software engineer // orange
- Sophie: works in guitar band // artist // pear
#### 2. **Second Category (Person / Food / Meal / Fruit):**
- Roy: oats meal in the morning // breakfast // apple
- Sita: biryani for afternoon // lunch // orange
- Mike: chips &amp; coffee in the evening // snack // pear
#### 3. **Third Category (Event / Sentiment / Fruit):**
- Rocky: 5% bonus during end year // positive // apple
- Air industry: losses during covid // negative // orange
- James: project completed with no loss &amp; no profit // neutral // pear
### Correlations Noted:
- **apple**: athlete/sportsman, breakfast, positive
- **orange**: tech/software, lunch, negative
- **pear**: artist/musician, snack, neutral
---
## Resolving Priya's Category
**Statement:**  
Priya had rice and lentils as part of her regular cricket routine
### Step 1: Map Priya's details to the categories:
- **Activity**: cricket routine → sports/athlete (like Roel)
- **Food**: rice and lentils (what meal?)
- The context "regular cricket routine" suggests a meal as part of sports—likely breakfast or pre-game meal.
### Step 2: Match with existing patterns
- Roel (sportsman) → apple
- Roy (breakfast) → apple
- Rocky (positive) → apple
### Step 3: Fruit Assignment
- Since Priya's category is closest to Roel (sportsman) and involves a meal as part of a sports routine (like Roy's breakfast as part of a morning routine), **apple** is the resolved fruit.
---
## **Final Answer**
**Priya had rice and lentils as part of her regular cricket routine // sportsman // breakfast // positive // apple**</t>
  </si>
  <si>
    <t>Based on your pattern, here’s how the categories are resolved:
**Pattern Extraction:**
- The first list links people with professions, then a fruit.
- The second links food/time, then a fruit.
- The third links an event/sentiment, then a fruit.
Each group of three is assigned:  
1. apple  
2. orange  
3. pear  
**Given Input:**  
Neel enjoyed sushi with his team after pushing the latest release live
- Sushi is food (meal).
- "After pushing the latest release live" implies a team celebration after a software release, likely after work—this is similar to the context of enjoying food with team after a milestone.
Now, mapping to existing categories:
- Person in tech (like Chirak, a Tester/software engineer, and Neel, who likely is in tech for pushing a release).
- Sushi with team after release (like a celebration, could be mapped to snack/meal after work).
- The pattern is the second in each group is always "orange".
**Final result:**  
**Neel enjoyed sushi with his team after pushing the latest release live // celebration // orange**
If you want more granularity, let me know!</t>
  </si>
  <si>
    <t>Let's break down your pattern and resolve Nadia's entry based on the examples:
### Categories &amp; Associations
#### 1. Person &amp; Profession/Fruit
- Roel: Football player // apple
- Chirak: Tester // orange
- Sophie: Guitar band // pear
#### 2. Food &amp; Time/Fruit
- Roy: oats meal // breakfast // apple
- Sita: biryani // lunch // orange
- Mike: chips &amp; coffee // snack // pear
#### 3. Situation &amp; Sentiment/Fruit
- Rocky: 5% bonus // positive // apple
- Air industry: losses // negative // orange
- James: no loss/no profit // neutral // pear
### Nadia’s Sentence
&gt; "Nadia treated herself to biryani after resolving a tricky merge conflict"
#### Analysis
- **Person**: Nadia
- **Action**: Treated herself to biryani
- **Context/Trigger**: After resolving a tricky merge conflict
Let's map as per the pattern:
#### 1. Profession/Activity
- "Resolving a tricky merge conflict" fits with "Tester // Software engineer" (Chirak), associated with **orange**.
#### 2. Food
- Biryani is associated with **lunch** and **orange** (Sita).
#### 3. Situation/Sentiment
- "After resolving a tricky merge conflict" suggests a **positive** or **rewarding** situation. In your pattern, "positive" is mapped to **apple**, but both profession (Tester) and food (biryani) are **orange**.
However, your pattern seems to prioritize the main subject's action and food for the mapping.
#### Final Mapping for Nadia:
- Nadia is a software engineer/tester (merge conflict context) → orange
- Ate biryani (biryani is associated with orange)
- The context is positive (resolved a conflict), but the food and profession strongly tie to orange.
---
**Final resolved category for Nadia:**
**orange**
**Explanation:**  
- Nadia's profession (software engineer/tester) and food (biryani) both map to orange in your examples, which appears to be the deciding factor even if the sentiment is positive.
---
### Final Answer:
**Nadia: orange**</t>
  </si>
  <si>
    <t>Let's analyze the pattern in your data:
Each row corresponds to a set of three related items (personality/profession, meal/time, event/sentiment) and an associated fruit (apple, orange, pear). Each fruit seems to map to a certain pattern or theme:
### Patterns:
- **Apple**: Sportsman, breakfast, positive outcome
- **Orange**: Software/technical, lunch, negative outcome
- **Pear**: Artist, snack, neutral outcome
Now, let's break down your input:
**Ajay smiled over pad thai and praised his bug-free sprint success**
- "Pad thai" is the food (could be mapped to a meal time).
- "Bug-free sprint success" is a positive outcome.
- Ajay is smiling and praising (positive sentiment).
#### Step-by-step mapping:
1. **Meal:** "Pad thai" is typically lunch or dinner.
2. **Outcome:** Positive (praising bug-free sprint success).
3. **Profession:** Implied to be software/IT (sprint is a software term).
Looking at the previous patterns:
- Software engineer + lunch + negative → orange
- Sportsman + breakfast + positive → apple
- Artist + snack + neutral → pear
But here, it's software engineer + lunch + positive.
Although "lunch" and "software" previously mapped to orange, the sentiment is positive (which mapped to apple in the earlier data).
### Resolution:
Given the positive sentiment is the dominant differentiator, and in your examples, positive outcomes are marked as "apple" (even if the meal/profession doesn't match exactly), the most appropriate answer is:
**apple**
---
**Final result:**  
Ajay smiled over pad thai and praised his bug-free sprint success // apple</t>
  </si>
  <si>
    <t>Let's analyze the pattern in your examples:
Each entry contains:
- A person's name.
- An activity/profession.
- A context or detail.
- An associated fruit (apple/orange/pear).
**Categories in your examples:**
1. **Profession/Role** (football player, tester, works in guitar band)
2. **Meal/Time** (breakfast, lunch, snack)
3. **Sentiment/Outcome** (positive, negative, neutral)
4. **Fruit** (apple, orange, pear)
Each group of three examples associates each fruit with a category value:
- Apple: First item in each group.
- Orange: Second item.
- Pear: Third item.
Let’s break down your query:
&gt; Meena had falafel wraps while reviewing her well-received UI design
- **Activity:** Reviewing UI design (relates to profession, likely software or design)
- **Meal:** Falafel wraps (meal, but time of day unspecified)
- **Sentiment:** Well-received (positive)
- **Fruit:** Not specified (this is what you want resolved)
**Resolving category:**
Let’s map it to your examples:
- "Well-received" = positive sentiment --&gt; In your example, positive is paired with "apple".
    - Rocky received 5% bonus during end year // positive // apple
**Final Answer:**
Meena had falafel wraps while reviewing her well-received UI design // positive // apple</t>
  </si>
  <si>
    <t>Let's analyze the pattern in your data:
### Categories &amp; Their Resolutions
#### 1. People &amp; Their Profession/Food/Fruit
- Roel: football player // sportsman // apple
- Chirak: Tester // software engineer // orange
- Sophie: works in guitar band // artist // pear
#### 2. Meal &amp; Fruit
- Roy: oats meal in the morning // breakfast // apple
- Sita: biryani for afternoon // lunch // orange
- Mike: chips &amp; coffee in the evening // snack // pear
#### 3. Event &amp; Sentiment &amp; Fruit
- Rocky: 5% bonus during end year // positive // apple
- Air industry: went into losses during covid // negative // orange
- James: project completed with no loss &amp; no profit // neutral // pear
### Observed Pattern
- **Apple**: Sportsman, breakfast, positive
- **Orange**: Software engineer, lunch, negative
- **Pear**: Artist, snack, neutral
### Given Query
**Darryl celebrated a smooth deployment with burgers and fries**
#### Step 1: Analyze the Event
- "Smooth deployment" is a positive outcome (like bonus, breakfast, sportsman).
- "Burgers and fries" are typically considered as snacks, but could also be meal-like, depending on context.
#### Step 2: Map to Existing Structure
- **Positive events** = apple
- **Smooth deployment** = positive
- "Burgers and fries" = could be "snack" (pear) or "meal" (apple/orange). Since the key seems to be the sentiment, let's focus on that.
#### Step 3: Final Resolution
- **Darryl**: Celebrated a positive event (smooth deployment) with food (burgers and fries)  
- **Category**: Positive  
- **Fruit**: Apple
---
**Final Answer:**  
Darryl celebrated a smooth deployment with burgers and fries // positive // apple</t>
  </si>
  <si>
    <t>Let’s analyze the pattern in your data:
**1st list:**
- Roel: football player // sportsman // apple
- Chirak: Tester // software engineer // orange
- Sophie: works in guitar band // artist // pear
**2nd list:**
- Roy: oats meal in the morning // breakfast // apple
- Sita: cooks biryani for afternoon // lunch // orange
- Mike: chips &amp; coffee in the evening // snack // pear
**3rd list:**
- Rocky: 5% bonus at year end // positive // apple
- Air industry: losses during covid // negative // orange
- James: no loss &amp; no profit // neutral // pear
**Mapping categories:**
1. **apple**: sportsman // breakfast // positive
2. **orange**: software engineer // lunch // negative
3. **pear**: artist // snack // neutral
**Kiara’s scenario:**  
Kiara reheated soggy noodles after a failed code review
- "Reheated soggy noodles" = snack (from the pattern: chips &amp; coffee = snack)
- "After a failed code review" = negative (failed review suggests a negative outcome)
- "Kiara" is not given a profession, but context is tech (code review), so possibly matches "software engineer" from orange category.
**Resolution:**
- Category: orange
**Final Answer:**
**Kiara reheated soggy noodles after a failed code review // snack // negative // orange**</t>
  </si>
  <si>
    <t>Let's break down the categories based on your pattern:
Each example in your list has three elements:  
- A sentence describing an event or person  
- A category or sentiment (like sportsman, breakfast, positive)  
- A fruit (apple, orange, pear)  
Let's analyze the new sentence:
&gt; "Rehan missed lunch due to a last-minute server rollback"
**Step 1: Identify the main context**
- The event is missing lunch due to a server rollback (IT/software context).
**Step 2: Infer the category**
- The context is related to meals: missing lunch → "lunch"
**Step 3: Infer the sentiment**
- Missing lunch due to work is generally a "negative" experience.
**Step 4: Map to the corresponding fruit**
- Looking at your previous entries:
    - "Lunch" (Sita cooks biryani for afternoon // lunch // orange)
    - The fruit with "lunch" is ORANGE.
**Step 5: Put it all together**
**Resolved:**
Rehan missed lunch due to a last-minute server rollback // lunch // negative // orange</t>
  </si>
  <si>
    <t>Let's resolve Mina's situation according to the patterns in the categories above:
### Step 1: Identify Patterns
Each scenario is mapped to three elements:
1. **Person/Scenario**
2. **Category (Profession, Meal, Sentiment)**
3. **Fruit (apple/orange/pear)**
#### Mapping from above:
1. **Profession/Activity**:  
   - Sportsman/Tester/Artist → apple/orange/pear
2. **Meal/Time of Day**:  
   - Breakfast/Lunch/Snack → apple/orange/pear
3. **Sentiment**:  
   - Positive/Negative/Neutral → apple/orange/pear
#### Items for each fruit:
- **Apple**: Football/Sports, Breakfast, Positive
- **Orange**: Tester/Software Engineer, Lunch, Negative
- **Pear**: Artist, Snack, Neutral
---
### Step 2: Resolve Mina's situation
**Mina grabbed cold pizza and felt frustrated debugging legacy scripts**
**Breakdown:**
- **Meal**: Cold pizza (implies a meal, likely Lunch or Snack, but cold pizza is commonly eaten as lunch)
- **Emotion**: Frustrated (Negative sentiment)
- **Activity**: Debugging legacy scripts (Software/Engineering context)
#### Mapping:
- **Profession/Activity**: Debugging legacy scripts → Software Engineer/Tester → **Orange**
- **Sentiment**: Frustrated → Negative → **Orange**
- **Meal**: Cold pizza for lunch → Lunch → **Orange**
### Step 3: Final Answer
**Resolved Category:**  
Mina is a software engineer, had lunch (cold pizza), and felt negative (frustrated), which all map to **orange**.
---
**Final result:**  
Mina grabbed cold pizza and felt frustrated debugging legacy scripts // software engineer // lunch // negative // orange</t>
  </si>
  <si>
    <t>Let's analyze the pattern in your examples:
You have three categories, each with three subcategories, and each is associated with a fruit:
### Category 1: Profession/Role
- Roel: football player/sportsman — apple
- Chirak: Tester/software engineer — orange
- Sophie: works in guitar band/artist — pear
### Category 2: Meal/Time
- Roy: oats meal in the morning/breakfast — apple
- Sita: biryani for afternoon/lunch — orange
- Mike: chips &amp; coffee in the evening/snack — pear
### Category 3: Outcome/Result
- Rocky: 5% bonus during end year/positive — apple
- Air industry: losses during covid/negative — orange
- James: no loss &amp; no profit/neutral — pear
So:
- **Apple**: sportsman, breakfast, positive
- **Orange**: software engineer, lunch, negative
- **Pear**: artist, snack, neutral
---
Now, let's analyze the new scenario:
**Sanjay spilled his curry while battling DNS issues all afternoon**
- "Battling DNS issues" = likely a software/IT context (Tester/software engineer) = **orange**
- "All afternoon" = matches "afternoon/lunch" = **orange**
- "Spilled his curry" = a negative/unfortunate incident = **orange**
All clues line up with the **orange** category.
### Final resolved category:
**Orange**
---
**Final answer:**  
Sanjay spilled his curry while battling DNS issues all afternoon // software engineer // lunch // negative // orange</t>
  </si>
  <si>
    <t>Let's break down the pattern in your examples:
Each set of three entries (in each "category") is associated with an item (apple, orange, pear), and each scenario in a set fits that item as a third property.
So, let's analyze your new scenario:
- **Zoe skipped lunch again while patching another production issue**
Let's see which category it fits:
1. **First set: Occupation/role**  
   - Roel: football player (apple)  
   - Chirak: tester (orange)  
   - Sophie: guitar band artist (pear)
2. **Second set: Meal/time**  
   - Roy: breakfast (apple)  
   - Sita: lunch (orange)  
   - Mike: snack (pear)
3. **Third set: Outcome/emotion**  
   - Rocky: positive (apple)  
   - Air industry: negative (orange)  
   - James: neutral (pear)
Now, let's map Zoe's scenario:
- **Skipped lunch** → this is about a meal: lunch
- **Patching a production issue** → this is a software engineer's task (like Chirak, who is mapped to orange)
From the second set, lunch maps to **orange**.
**Final resolved category: orange**
**Complete result:**  
Zoe skipped lunch again while patching another production issue // lunch // orange
**[Category resolved: orange]**</t>
  </si>
  <si>
    <t>Let's break down the pattern in your examples:
Each row has three columns:
1. **Person + Activity**
2. **Category** (profession, meal, sentiment)
3. **Fruit** (apple, orange, pear)
In each trio, the "fruit" cycles with the examples, and the "category" matches the context.
Now, let's analyze your new input:
**Amira had a rice bowl while syncing pull requests**
- Activity: Eating rice bowl while doing something related to software (syncing pull requests)
- This is similar to "Roy ate oats meal in the morning" (meal context) and "Chirak is a Tester // software engineer" (software context).
But, let's see your previous answers:
**Row 1 (Profession):**
- apple: football player (Roel)
- orange: Tester // software engineer (Chirak)
- pear: works in guitar band // artist (Sophie)
**Row 2 (Meal):**
- apple: oats meal in the morning // breakfast (Roy)
- orange: biryani for afternoon // lunch (Sita)
- pear: chips &amp; coffee in the evening // snack (Mike)
**Row 3 (Sentiment):**
- apple: 5% bonus // positive (Rocky)
- orange: losses // negative (Air industry)
- pear: no loss &amp; no profit // neutral (James)
For the final input:
&gt; Amira had a rice bowl while syncing pull requests
- **Activity**: Meal (rice bowl) + Software (syncing pull requests)
- **Category**: Could be either meal or profession, but since the activity is eating while working, it likely fits the meal context.
- **Fruit**: Looking at the pattern, the meal context uses apple (breakfast), orange (lunch), pear (snack).
But Amira's meal is "rice bowl while syncing pull requests," which is not time-specific (not strictly breakfast/lunch/snack), but since the last in the sequence was pear, the next could cycle back to apple.
Alternatively, if you want a final resolved entry for Amira under each category, here's how it could look:
### Profession // software engineer // orange  
(If you focus on the "syncing pull requests" part, which is software engineering.)
### Meal // rice bowl // (next in fruit sequence: apple)  
(If you focus on the meal, "rice bowl" is the food.)
### Sentiment // neutral // (next in fruit sequence: apple)  
(If you focus on sentiment, there is no positive or negative, so it's neutral.)
Given all this, here's one possible **final resolved entry**:
**Amira is a software engineer who had a rice bowl while syncing pull requests // lunch // orange**
- **Profession**: software engineer (orange)
- **Meal**: lunch (rice bowl) (orange)
#### Final answer:
**Amira is a software engineer who had a rice bowl while syncing pull requests // lunch // orange**</t>
  </si>
  <si>
    <t>Let's resolve the categories for Vikram using the patterns from the previous sets:
### 1. **Food/Eating Time (meal association)**
- Roel: oats meal in the morning → **breakfast**
- Sita: biryani for afternoon → **lunch**
- Mike: chips &amp; coffee in the evening → **snack**
- Vikram: tacos while watching the weekly build status update  
  - "Weekly build status update" sounds like a work-related event, possibly in the **afternoon** or **evening**. Since "snack" is already associated with an evening meal, and lunch is with the afternoon, but tacos are often a lunch or snack food.
  - Given the choices, **lunch** fits best.
### 2. **Profession/Activity**
- Roel: football player // sportsman
- Chirak: Tester // software engineer
- Sophie: works in guitar band // artist
- Vikram: watching the weekly build status update  
  - This is a typical activity for someone in software or tech, possibly a **software engineer**.
### 3. **Fruit/Association**
- Roel: apple
- Chirak: orange
- Sophie: pear
- Roy: apple
- Sita: orange
- Mike: pear
- Rocky: apple
- Air industry: orange
- James: pear
- These seem to be cycling in the same order as the other two categories.
- For Vikram, after "pear" (Mike, James, Sophie), the next is **apple**.
### 4. **Mood/Outcome**
- Rocky: positive
- Air industry: negative
- James: neutral
- Based on fruit associations:  
  - apple = positive
  - orange = negative
  - pear = neutral
**Since Vikram is associated with apple**, his mood/outcome is **positive**.
---
## **Final Answer:**
**Vikram is a software engineer; he ate tacos for lunch while watching the weekly build status update; the association is apple; the mood/outcome is positive.**
**Summary Table:**
| Name    | Profession/Activity  | Food/Meal    | Fruit  | Mood/Outcome |
|---------|---------------------|--------------|--------|--------------|
| Vikram  | software engineer   | lunch (tacos)| apple  | positive     |</t>
  </si>
  <si>
    <t>Certainly! Let's break down the patterns in your examples:
### Category Patterns
1. **Person &amp; Profession/Fruit:**
   - Roel: football player // sportsman // **apple**
   - Chirak: Tester // software engineer // **orange**
   - Sophie: guitar band // artist // **pear**
2. **Meal &amp; Fruit:**
   - Roy: oats meal in morning // breakfast // **apple**
   - Sita: biryani for afternoon // lunch // **orange**
   - Mike: chips &amp; coffee in evening // snack // **pear**
3. **Event &amp; Sentiment/Fruit:**
   - Rocky: 5% bonus // positive // **apple**
   - Air industry: losses during covid // negative // **orange**
   - James: no loss &amp; no profit // neutral // **pear**
---
## Analyzing the Pattern
- **Apple** is linked to: first in list, morning/breakfast, positive.
- **Orange** is linked to: second in list, afternoon/lunch, negative.
- **Pear** is linked to: third in list, evening/snack, neutral.
---
## Applying the Pattern
### "Ali munched on dumplings during the lunch-and-learn"
- **Lunch-and-learn** → lunch → **orange** (since lunch in previous examples matched with orange).
## Final result:
**Ali munched on dumplings during the lunch-and-learn // lunch // orange**</t>
  </si>
  <si>
    <t>Based on the data given, each category (Person, Food/Meal, Sentiment) appears to be associated with a type of fruit:
- **Apple**: Sportsman, Breakfast, Positive
- **Orange**: Software Engineer, Lunch, Negative
- **Pear**: Artist, Snack, Neutral
Let's analyze Farah's scenario:
&gt; Farah ordered noodles while updating her ticket queue
- "Updating her ticket queue" suggests Farah is likely working in a support or technical/software environment (Tester/Software Engineer).
- "Ordered noodles" could be a meal, but the time of day is not specified. However, noodles are commonly lunch items, especially in an office context.
Associating with previous mappings:
- **Profession**: Software Engineer/Tester → **Orange**
- **Meal**: Lunch → **Orange**
**Result:**
&gt; **Orange**
**Resolved, final:**
Farah → Orange</t>
  </si>
  <si>
    <t>Let’s break down the examples and patterns in each category:
### 1. **Person &amp; Profession // Type // Fruit**
- Roel is a football player // sportsman // apple
- Chirak is a Tester // software engineer // orange
- Sophie works in guitar band // artist // pear
### 2. **Person &amp; Food &amp; Time // Meal // Fruit**
- Roy ate oats meal in the morning // breakfast // apple
- Sita cooks biryani for afternoon // lunch // orange
- Mike likes chips &amp; coffee in the evening // snack // pear
### 3. **Situation &amp; Result // Sentiment // Fruit**
- Rocky received 5% bonus during end year // positive // apple
- Air industry went into losses during covid // negative // orange
- James project completed with no loss &amp; no profit // neutral // pear
---
Now, the new input:
**Elio enjoyed grilled veggies and hummus after finishing a bold new canvas**
- **Who**: Elio
- **Activity**: Finished a bold new canvas (painting, so most likely an artist)
- **Food**: Grilled veggies and hummus (could be a meal or snack)
- **Time**: After finishing a canvas (likely after work, possibly evening or snack time)
- **Sentiment**: Enjoyed (positive)
Let’s map Elio’s statement to each category:
### Category 1: **Profession**
- Elio is an artist (like Sophie)
- Sophie → artist → pear
### Category 2: **Meal**
- Grilled veggies and hummus: likely a snack or light meal, possibly post-work or evening
- Mike ate chips &amp; coffee in the evening → snack → pear
### Category 3: **Sentiment**
- Enjoyed → positive
- Rocky received bonus (positive) → apple
- However, for artist/pear, there's no explicitly positive/negative/neutral mapping, but the third example is neutral/pear.
But in all three sets, "pear" is associated with:
- Artist (Sophie)
- Snack (Mike)
- Neutral (James)
But Elio is an artist, eating a snack, with positive sentiment.
Based on the patterns, the **fruit is determined by the profession/activity** in the first set, **meal type** in the second, and **sentiment** in the third.
**Elio** is an **artist** (pear), had a **snack** (pear), with a **positive** sentiment (would be apple, but artist and snack overrides).
**Final resolved category:**
**Elio enjoyed grilled veggies and hummus after finishing a bold new canvas // snack // pear**
**Explanation:**  
Elio is an artist (profession = artist = pear), eating a snack (snack = pear). The sentiment is positive, but in your mapping, the profession and meal type take precedence over the sentiment for fruit selection.
---
**[result: each category resolved, final]**
**Elio enjoyed grilled veggies and hummus after finishing a bold new canvas // snack // pear**</t>
  </si>
  <si>
    <t>Let's break down the pattern in your examples and resolve the final category for Mira.
## Step 1: Analyze the Patterns
### Category 1: Person and Profession / Hobby / Object
- Roel: football player // sportsman // **apple**
- Chirak: Tester // software engineer // **orange**
- Sophie: works in guitar band // artist // **pear**
### Category 2: Meal / Time / Fruit
- Roy: oats meal in the morning // breakfast // **apple**
- Sita: cooks biryani for afternoon // lunch // **orange**
- Mike: chips &amp; coffee in the evening // snack // **pear**
### Category 3: Event / Sentiment / Fruit
- Rocky: received 5% bonus // positive // **apple**
- Air industry: went into losses // negative // **orange**
- James: completed with no loss &amp; no profit // neutral // **pear**
Each "fruit" is paired with:
- apple: sportsman, breakfast, positive
- orange: software engineer, lunch, negative
- pear: artist, snack, neutral
## Step 2: Apply to Mira
Mira: smiled over pasta after teaching a successful dance workshop
Let's extract the relevant details:
- **Event**: successful dance workshop (positive outcome)
- **Action**: smiled over pasta (pasta, likely a meal, maybe dinner or lunch)
Let's try to match the patterns:
- **Dance workshop**: implies artist/performer (like Sophie → pear)
- **Successful**: positive sentiment (like Rocky → apple)
- **Pasta**: meal, could be lunch/dinner (Sita’s biryani for lunch → orange)
But the key pattern seems to be that the final fruit is determined by the **sentiment** of the event:
- Positive outcome (Rocky): apple
- Negative outcome (Air industry): orange
- Neutral outcome (James): pear
**Mira**: had a successful workshop (positive), so:
## Final Resolved Category
Mira smiled over pasta after teaching a successful dance workshop // **positive // apple**</t>
  </si>
  <si>
    <t>Sure! Let's break down your categories and align Zayd's scenario with them.
### Categories Analysis
**Category 1: Person &amp; Profession/Fruit**
- Roel: football player // sportsman // apple
- Chirak: Tester // software engineer // orange
- Sophie: works in guitar band // artist // pear
**Category 2: Food &amp; Time/Fruit**
- Roy: ate oats meal in the morning // breakfast // apple
- Sita: cooks biryani for afternoon // lunch // orange
- Mike: likes chips &amp; coffee in the evening // snack // pear
**Category 3: Event &amp; Sentiment/Fruit**
- Rocky: received 5% bonus during end year // positive // apple
- Air industry: went into losses during covid // negative // orange
- James: project completed with no loss &amp; no profit // neutral // pear
---
### Zayd's Scenario
&gt; Zayd treated himself to pizza following a glowing gallery critique
Let's resolve Zayd's scenario across your categories:
#### 1. Profession/Fruit
- Zayd seems to be an artist (gallery critique), corresponding to **Sophie (artist // pear)**.
#### 2. Food/Time/Fruit
- Pizza is a meal, and treating oneself (after critique) could imply either a celebratory lunch or dinner, but since other food examples are breakfast/lunch/snack, let's align pizza with a meal (let's pick **lunch**, as it matches the celebratory context of Sita's biryani // lunch // orange).
#### 3. Event &amp; Sentiment/Fruit
- "Glowing gallery critique" is a **positive** event, matching **Rocky (positive // apple)**.
---
### Final Resolved Category for Zayd
- **Artist // lunch // positive**
Now, let's assign the correct fruit. Each fruit matches across the three lines:
- Apple: sportsman, breakfast, positive
- Orange: software engineer, lunch, negative
- Pear: artist, snack, neutral
But Zayd's case is:
- Artist (pear)
- Lunch (orange)
- Positive (apple)
Since no single fruit matches all three, we have to choose which attribute is most dominant. In each example, the profession/focus seems to drive the fruit assignment.
- Roel: sportsman // apple
- Chirak: software engineer // orange
- Sophie: artist // pear
Zayd is an **artist**, so the fruit is **pear**.
---
## [Final result]
**Zayd is an artist who celebrated a positive event (glowing critique) with lunch (pizza):**
- **artist // lunch // positive // pear**
Or, in your format:
&gt; Zayd is an artist // lunch // positive // pear</t>
  </si>
  <si>
    <t>Let's break down your three categories and their associations:
### Category 1: Person/Profession/Fruit
- Roel: football player // sportsman // **apple**
- Chirak: Tester // software engineer // **orange**
- Sophie: works in guitar band // artist // **pear**
### Category 2: Meal/Food/Fruit
- Roy: oats meal in the morning // breakfast // **apple**
- Sita: cooks biryani for afternoon // lunch // **orange**
- Mike: chips &amp; coffee in the evening // snack // **pear**
### Category 3: Situation/Tone/Fruit
- Rocky: received 5% bonus during end year // positive // **apple**
- Air industry: went into losses during covid // negative // **orange**
- James: project completed with no loss &amp; no profit // neutral // **pear**
### Patterns Observed:
- **Apple** is associated with Roel (sportsman), Roy (breakfast), Rocky (positive)
- **Orange** is associated with Chirak (software engineer), Sita (lunch), Air industry (negative)
- **Pear** is associated with Sophie (artist), Mike (snack), James (neutral)
### Now, let's resolve Celeste's case:
Celeste had her favorite risotto while celebrating a viral song release.
Let's break it down:
- **Risotto** is likely a meal, often associated with celebration, perhaps dinner or special meal.
- **Celebrating a viral song release**: This could link to the arts/music (artist, like Sophie), or positive event (like Rocky's bonus).
Looking at previous patterns:
- **Artist/Music** → Sophie → pear
- **Positive/Celebration** → Rocky → apple
But the main cue is "celebrating a viral song release," which ties more closely to the ARTIST/MUSIC category, which mapped to **pear** in your earlier examples.
### Final Resolution:
**Celeste had her favorite risotto while celebrating a viral song release // [artist/positive event] // pear**
**Final Answer:**  
Celeste had her favorite risotto while celebrating a viral song release // pear</t>
  </si>
  <si>
    <t>Let's analyze the three categories (Person/Profession/Fruit; Meal/Time/Fruit; Event/Sentiment/Fruit) and their fruit associations, then resolve Hasan's case:
### 1. Person/Profession/Fruit
- Roel: football player // sportsman // apple
- Chirak: Tester // software engineer // orange
- Sophie: works in guitar band // artist // pear
**Pattern:**  
- apple → sportsman/active
- orange → technology/logic
- pear → art/creativity
### 2. Meal/Time/Fruit
- Roy: oats meal in morning // breakfast // apple
- Sita: cooks biryani for afternoon // lunch // orange
- Mike: chips &amp; coffee in evening // snack // pear
**Pattern:**  
- apple → morning/breakfast
- orange → afternoon/lunch
- pear → evening/snack
### 3. Event/Sentiment/Fruit
- Rocky: received 5% bonus during end year // positive // apple
- Air industry: went into losses during covid // negative // orange
- James: project completed with no loss &amp; no profit // neutral // pear
**Pattern:**  
- apple → positive
- orange → negative
- pear → neutral
---
Now, let's analyze Hasan's case:
**Hasan sipped tomato soup, proud of his finished short film script**
- Tomato soup → could be a meal, possibly as a snack or light meal, often in the evening
- Proud of finished short film script → creative/artist accomplishment (aligns with "artist" or "creativity" from pear)
- Sentiment: pride/satisfaction (positive, could be apple, but also links to the 'artist' theme which is pear)
Let's resolve by category:
1. **Profession/Role:** Finished short film script → artist/creative → **pear**
2. **Meal/Time:** Tomato soup (often snack/evening) → **pear**
3. **Sentiment:** Proud (positive) → apple, but in the context of creative neutrality (project finished, not necessarily a win/loss) → **pear**
### Final Answer:
**Hasan sipped tomato soup, proud of his finished short film script // artist // snack // neutral // pear**</t>
  </si>
  <si>
    <t>Let's break down the pattern in your examples:
**Categories and their mappings:**
1. **Profession/Activity // Type // Fruit**
   - Roel: football player // sportsman // apple
   - Chirak: Tester // software engineer // orange
   - Sophie: works in guitar band // artist // pear
2. **Meal // Time // Fruit**
   - Roy: oats meal in the morning // breakfast // apple
   - Sita: biryani for afternoon // lunch // orange
   - Mike: chips &amp; coffee in the evening // snack // pear
3. **Event // Sentiment // Fruit**
   - Rocky: 5% bonus // positive // apple
   - Air industry: losses // negative // orange
   - James: no loss &amp; no profit // neutral // pear
**Each row uses a different category, but the third column always cycles apple, orange, pear.**
Now, your query:
&gt; Rana skipped lunch while struggling to complete her piano arrangement //
Let's resolve each category:
- **Meal**: skipped lunch → lunch
- **Activity**: struggling to complete her piano arrangement → artist / musical (similar to Sophie)
- **Sentiment**: struggling → negative
Let’s check which “fruit” is associated with each:
- Lunch → orange (from Sita)
- Artist / musical → pear (from Sophie)
- Negative → orange (from air industry)
But in your examples, the "fruit" is derived not from the activity but from the position/order in the set:
- 1st: apple
- 2nd: orange
- 3rd: pear
Since this is a new set, and you provided only one item, but following the pattern for "artist/musician" in the first set (Sophie // artist // pear) and "lunch" in the second set (Sita // lunch // orange), but if "negative" then orange.
Given Rana is struggling (negative) and skipping lunch (lunch), and is a musician (artist), the strongest match is **orange** (negative, lunch).
**Final Answer:**
Rana skipped lunch while struggling to complete her piano arrangement // negative // orange
---
**[result: each category resolved, final]**
- Activity: Pianist (musician/artist)
- Meal: Lunch (skipped)
- Sentiment: Negative (struggling)
- Fruit: Orange
**Rana skipped lunch while struggling to complete her piano arrangement // negative // orange**</t>
  </si>
  <si>
    <t>Sure! Based on the pattern in your examples, each scenario is mapped to a category (context), a sentiment, and a fruit, as follows:
- 1st group: Profession/role // type // fruit
- 2nd group: Meal/activity // time/type // fruit
- 3rd group: Event/outcome // sentiment // fruit
Let’s analyze your new scenario:
**Scenario:**  
Noel burned his veggie stir-fry and lost his sketchpad in the process
**Breakdown:**
- Context: Something bad happened (he burned food and lost a sketchpad)
- Sentiment: Negative (due to both burning food and losing a sketchpad)
- Fruit: According to your pattern,  
  - apple is paired with positive/profession/breakfast,
  - orange with negative/lunch/software,
  - pear with neutral/snack/artist.
Both the event (negative) and the double loss suggest **orange**.
**Resolved category:**  
Noel burned his veggie stir-fry and lost his sketchpad in the process // negative // orange</t>
  </si>
  <si>
    <t>Let's break down the pattern in your examples:
## 1. Each row follows a theme:
- First row: **Person &amp; profession/hobby &amp; fruit**
- Second row: **Person &amp; meal/time &amp; fruit**
- Third row: **Event/situation &amp; sentiment &amp; fruit**
## 2. Each entry is associated with a fruit, which matches across the three categories:
- Apple (Roel, Roy, Rocky)
- Orange (Chirak, Sita, Air industry)
- Pear (Sophie, Mike, James)
## 3. The final row for "Nia" provides a scenario but does not specify the fruit or category.
### Let's resolve Nia's entry:
**Nia reheated cold soup during a frustrating rehearsal**
Let's map this:
1. **Person**: Nia
2. **Action**: reheated cold soup
3. **Context**: during a frustrating rehearsal
- "Frustrating" indicates a **negative** sentiment.
- "Rehearsal" relates to performing arts (possibly artist, as with Sophie).
- "Reheated soup" could be a meal/snack, possibly in the evening.
Since each fruit is associated with a theme:
- **Apple**: positive
- **Orange**: negative
- **Pear**: neutral
"Frustrating" = **negative** = **orange**
## Final result:
Nia reheated cold soup during a frustrating rehearsal // negative // orange
---
**[result: each category resolved, final]**
Nia reheated cold soup during a frustrating rehearsal // negative // orange</t>
  </si>
  <si>
    <t>Let's break down each category and match the patterns from your examples:
**1. Person's Profession or Activity // Type // Fruit**
- Roel is a football player // sportsman // apple
- Chirak is a Tester // software engineer // orange
- Sophie works in a guitar band // artist // pear
**2. Meal Scenario // Meal Type // Fruit**
- Roy ate oats meal in the morning // breakfast // apple
- Sita cooks biryani for afternoon // lunch // orange
- Mike likes chips &amp; coffee in the evening // snack // pear
**3. Event Outcome // Sentiment // Fruit**
- Rocky received 5% bonus during end year // positive // apple
- Air industry went into losses during covid // negative // orange
- James' project completed with no loss &amp; no profit // neutral // pear
---
Now, let's analyze:
**Idris had dry toast while stressing over postponed auditions**
- Dry toast = **breakfast** (typically eaten in the morning)
- Stressing over postponed auditions = **negative** feeling
- Auditions suggest an **artist** or **performer** (like Sophie)
Looking at the patterns:
- "Breakfast" is associated with **apple** (Roy).
- "Negative" is associated with **orange** (Air industry).
- "Artist" is associated with **pear** (Sophie).
But the main focus seems to be on the mood/sentiment (stressing, postponed = negative), the time/meal (breakfast/dry toast), and the profession (artist/audition).
Looking at the examples, it seems the **fruit** is determined by the third column and matches the sentiment, meal, or profession.
Let’s see which is the most defining factor:
- In the first set, the third word matches the profession.
- In the second, it matches the meal.
- In the third, it matches the sentiment.
Your prompt asks for a **resolved category** and a final answer.
For Idris:
- "Stressing" and "postponed auditions" = **negative**
- "Dry toast" = **breakfast**
- "Auditions" = **artist**
If we follow the pattern of the third example, since the main emotional content is "stressing over postponed auditions" (negative), we should use the **sentiment** category, which is associated with the **orange** fruit.
**Final Answer:**
Idris had dry toast while stressing over postponed auditions // negative // orange</t>
  </si>
  <si>
    <t>Let's analyze the pattern in your examples:
Each row contains three items, each mapped to an object (apple, orange, pear) and an abstract "category" (sportsman, software engineer, artist // breakfast, lunch, snack // positive, negative, neutral).
Let's break down the last statement:
**Hira spilled her curry while rushing to finish her sculpture**
- Activity: Sculpture (related to art, so maps to "artist" category)
- Food: Curry (curry is usually eaten as lunch or dinner; given the pattern, let's check the earlier food mappings)
- Situation: Spilled food while rushing (this is somewhat negative in sentiment)
Let's try to map Hira's scenario to the structure:
1. **Category (row 1):** Sophie is works in guitar band // **artist** // pear  
    - So, Hira's "sculpture" aligns with "artist" and "pear".
2. **Food (row 2):**  
    - Sita cooks biryani for afternoon // **lunch** // orange  
    - Curry is most commonly associated with lunch, which is mapped to "orange".
3. **Sentiment (row 3):**  
    - Air industry went into losses during covid // **negative** // orange  
    - The act of spilling food while rushing is a negative event, mapped to "orange".
BUT, in each row, the food and sentiment mapping are consistent with the object color. For example, lunch is orange, negative is orange, and software engineer is orange.
Hira's case:
- Sculpture (artist) → **pear**
- Curry (likely lunch) → **orange**
- Spilled food (negative) → **orange**
But the main subject (Sophie) is "pear", matched to "artist", so the final answer should be:
**Negative // artist // pear**
Or, following your format:
Hira spilled her curry while rushing to finish her sculpture // negative // pear
**[result: each category resolved, final]**
**Hira spilled her curry while rushing to finish her sculpture // negative // pear**</t>
  </si>
  <si>
    <t>Let's analyze the pattern in your examples:
Each group corresponds to three elements (Person, Profession/Activity, Fruit), and each fruit is associated with a category in subsequent examples:
- **Apple** → First in group (Roel, Roy, Rocky)  
- **Orange** → Second in group (Chirak, Sita, Air industry)  
- **Pear** → Third in group (Sophie, Mike, James)  
The third set adds an extra dimension (positive/negative/neutral), but the fruit mapping remains.
Now, for Julian:
**Julian made a sandwich before heading to his poetry meetup**
Let's break it down:
- **Action**: Made a sandwich before going to a poetry meetup (presumably a snack before an event)
- **Profession/Activity**: Going to a poetry meetup (artist/creative type, similar to Sophie in group 1)
- **Time**: Implicitly before an event, likely in the evening or as a snack
Matching:
- Sophie (guitar band/artist/pear)
- Mike (snack/pear)
- James (neutral/pear)
All the "third" options (artist, snack, neutral) correspond to **pear**.
**Final answer:**
&gt; Julian is an artist // had a snack before a poetry meetup // pear
Or, following your formatting:
**Julian is a poet // artist // pear**</t>
  </si>
  <si>
    <t>Let's analyze the provided patterns:
Each group (person) is associated with three things: a profession/role, a context or sentiment, and a fruit.  
The three options for the third column (fruit) are: apple, orange, pear.
Let's break down the groups:
### Group 1: Profession/Role  
- Roel: football player // sportsman // **apple**
- Chirak: Tester // software engineer // **orange**
- Sophie: works in guitar band // artist // **pear**
### Group 2: Food/Meal Context  
- Roy: ate oats meal in the morning // breakfast // **apple**
- Sita: cooks biryani for afternoon // lunch // **orange**
- Mike: like chips &amp; coffee in the evening // snack // **pear**
### Group 3: Sentiment/Outcome  
- Rocky: received 5% bonus during end year // positive // **apple**
- Air industry: went into losses during covid // negative // **orange**
- James: project completed with no loss &amp; no profit // neutral // **pear**
Each group is associated with apple, orange, pear—one per row.
Now, the new case:
&gt; Amina had salad during a quiet gallery intermission
Let's split this:
- Amina: person
- had salad: food/meal
- quiet gallery intermission: context (this likely refers to an event, possibly during an art gallery break, peaceful setting)
Now, to assign a fruit:
**Compare to previous patterns:**
- In Group 2 (meal), the pattern is:  
  - Breakfast (apple)  
  - Lunch (orange)  
  - Snack (pear)  
  Salad during a gallery intermission is likely a **snack** (not a main meal).
- In Group 1 (role), the pattern is:  
  - Sportsman (apple)  
  - Software engineer (orange)  
  - Artist (pear)  
  Quiet gallery intermission is associated with the arts, which points toward **artist** (pear).
- In Group 3 (sentiment):  
  - Positive (apple)  
  - Negative (orange)  
  - Neutral (pear)  
  Quiet intermission is calm/neutral, not positive or negative.
**Conclusion:**  
All three indicators (event is art-related, meal is a snack, mood is neutral) point to **pear**.
---
**Final Answer:**  
Amina had salad during a quiet gallery intermission // snack // pear</t>
  </si>
  <si>
    <t>Let's break down the pattern in your examples:
Each line has three segments:
1. **Person** and **activity** (with details)
2. **Category** or **type** (sportsman, artist, meal type, outcome type...)
3. **Fruit** (apple, orange, pear)
For each group of three, the fruit cycles: apple, orange, pear.
Given your new sentence:
"Omar packed sushi to take to his studio rehearsal"
- **Activity**: Packing food (sushi) for studio rehearsal (which likely relates to music, similar to Sophie).
- **Category**: Since "studio rehearsal" is often related to music, let's map it to "artist" as with Sophie.
- **Fruit**: Following the sequence in your groups, Sophie (artist) was assigned "pear".
Therefore, the resolved result is:
**Omar is works in a band // artist // pear**
or, following your format:
**Omar packed sushi to take to his studio rehearsal // artist // pear**</t>
  </si>
  <si>
    <t>Let's analyze the pattern in your examples:
**Category 1: Person &amp; Profession // Category // Fruit**
- Roel is a football player // sportsman // apple
- Chirak is a Tester // software engineer // orange
- Sophie works in guitar band // artist // pear
**Category 2: Food &amp; Time // Meal Type // Fruit**
- Roy ate oats meal in the morning // breakfast // apple
- Sita cooks biryani for afternoon // lunch // orange
- Mike likes chips &amp; coffee in the evening // snack // pear
**Category 3: Event &amp; Result // Sentiment // Fruit**
- Rocky received 5% bonus during end year // positive // apple
- Air industry went into losses during covid // negative // orange
- James project completed with no loss &amp; no profit // neutral // pear
It appears that the third element (apple, orange, pear) maps to the third item in each set, corresponding to a theme:
- 1st in each set: apple
- 2nd in each set: orange
- 3rd in each set: pear
Now, let's analyze the new sentence:
**Layla grabbed shawarma while organizing her art supplies**
- "Grabbed shawarma" = eating, probably a snack
- "Organizing her art supplies" = art/artist activity
Looking at previous patterns:
- Food &amp; personal activity (snack + artist) most closely resembles "Mike like chips &amp; coffee in the evening // snack // pear" and "Sophie is works in guitar band // artist // pear"
So, Layla fits the **third** position in each set, which is associated with **pear**.
**Final result:**  
Layla grabbed shawarma while organizing her art supplies // snack // pear</t>
  </si>
  <si>
    <t>Let's analyze the pattern in your examples:
### Categories:
1. **Person/Profession/Fruit**
   - Roel: football player // sportsman // apple
   - Chirak: Tester // software engineer // orange
   - Sophie: works in guitar band // artist // pear
2. **Person/Meal/Fruit**
   - Roy: oats meal in the morning // breakfast // apple
   - Sita: cooks biryani for afternoon // lunch // orange
   - Mike: chips &amp; coffee in the evening // snack // pear
3. **Person/Event/Fruit**
   - Rocky: received 5% bonus during end year // positive // apple
   - Air industry: went into losses during covid // negative // orange
   - James: project completed with no loss &amp; no profit // neutral // pear
It appears that the third element (fruit) is assigned based on the category within a group, not on the individual characteristics.
- **First in each group:** apple
- **Second in each group:** orange
- **Third in each group:** pear
---
### Your Query:
"Ravi prepared a lentil bowl before recording his daily podcast //"
- In the context, this is similar to the second category (meal context), and Ravi is the fourth example (if appended).
- But in each set, only three types (apple, orange, pear) are mapped to the first, second, and third.
Since the **pattern is based on position within a set of three**, and you are now starting a new set (or continuing), Ravi would be **first in a new group**, which makes him correspond to **apple**.
---
### Final Answer:
**Ravi prepared a lentil bowl before recording his daily podcast // snack // apple**</t>
  </si>
  <si>
    <t>Let's break down the categories using your previous pattern:
### 1. Person's profession/role  
- Roel: football player // sportsman // apple  
- Chirak: Tester // software engineer // orange  
- Sophie: works in guitar band // artist // pear  
### 2. Meal/time preference  
- Roy: oats meal in the morning // breakfast // apple  
- Sita: cooks biryani for afternoon // lunch // orange  
- Mike: chips &amp; coffee in the evening // snack // pear  
### 3. Event/Outcome (sentiment)  
- Rocky: 5% bonus // positive // apple  
- Air industry: losses during covid // negative // orange  
- James: no loss &amp; no profit // neutral // pear  
---
Given:  
Keisha smiled after enjoying protein bites before her soccer scrimmage
#### Step-by-step resolution:
1. **Profession/role**:  
   - "Soccer scrimmage" — Keisha is involved in sports (like Roel).
   - Category: sportsman/athlete.
2. **Meal/time preference**:  
   - "Protein bites before scrimmage" — this is a meal before an athletic event, typically in the morning (like Roy's breakfast before activity).
   - Category: breakfast.
3. **Event/Outcome (sentiment)**:  
   - "Smiled after enjoying" — positive outcome (like Rocky's bonus).
   - Category: positive.
4. **Fruit assignment**:  
   - The pattern is: apple = sportsman/breakfast/positive; orange = software/lunch/negative; pear = artist/snack/neutral.
   - Keisha matches apple.
---
**Final resolved categories:**
- Profession/role: sportsman // breakfast // positive // apple
**Final answer:**
Keisha is a sportsman who had breakfast with a positive outcome — apple.</t>
  </si>
  <si>
    <t>Let's resolve which category Ravi fits into based on the patterns in your data:
### 1. Pattern Matching
Let's analyze the three triads you've given, each with three entities and three possible category assignments:
#### First Category Set:
- Roel: football player // sportsman // apple
- Chirak: Tester // software engineer // orange
- Sophie: works in guitar band // artist // pear
**Pattern:**  
- apple: sports/physical activity  
- orange: technical/software  
- pear: arts/music  
#### Second Category Set:
- Roy: oats meal in the morning // breakfast // apple
- Sita: biryani for afternoon // lunch // orange
- Mike: chips &amp; coffee in the evening // snack // pear
**Pattern:**  
- apple: breakfast/morning  
- orange: lunch/afternoon  
- pear: snack/evening  
#### Third Category Set:
- Rocky: 5% bonus during end year // positive // apple
- Air industry: losses during covid // negative // orange
- James: no loss &amp; no profit // neutral // pear
**Pattern:**  
- apple: positive  
- orange: negative  
- pear: neutral  
---
### 2. Ravi's Statement
&gt; Ravi munched happily on mixed nuts after acing his swim set
**Analysis:**  
- "after acing his swim set" = physical/sport activity (matches apple in first set)
- "munched happily on mixed nuts" = a snack (matches pear in second set)
- "acing" = positive (matches apple in third set)
---
### 3. Category Resolution
**Category 1:**  
- Since Ravi just finished swimming, he fits the "sportsman" category from set 1, which is mapped to **apple**.
**Category 2:**  
- He is eating nuts after his swim set, which is likely a snack, matching **pear** in set 2.
**Category 3:**  
- "Acing" (did very well) is a positive outcome, matching **apple** in set 3.
**But**: Every person in your example fits a single fruit across all three sets. Let's see the main activity:
- Roel is a sportsman (apple), has breakfast (apple), and positive (apple).
- Chirak is a software engineer (orange), lunch (orange), negative (orange).
- Sophie is an artist (pear), snack (pear), neutral (pear).
Ravi is a sportsman (swimming), just finished his set (implies morning/breakfast or post-workout), feeling positive.
So, the **primary category** is **apple**.
---
## Final Answer
**Ravi munched happily on mixed nuts after acing his swim set // sportsman // breakfast // positive // apple**</t>
  </si>
  <si>
    <t>Let's break down the pattern in your examples for assigning the final category ("apple", "orange", or "pear"):
### Category 1
- Roel: football player // sportsman // **apple**
- Chirak: Tester // software engineer // **orange**
- Sophie: works in guitar band // artist // **pear**
### Category 2
- Roy: oats meal in the morning // breakfast // **apple**
- Sita: cooks biryani for afternoon // lunch // **orange**
- Mike: chips &amp; coffee in the evening // snack // **pear**
### Category 3
- Rocky: received 5% bonus ... // positive // **apple**
- Air industry: losses during covid // negative // **orange**
- James: no loss &amp; no profit // neutral // **pear**
**Pattern**:  
Each set has three items, and the third field in each (apple, orange, pear) rotates in order.
- apple: sportsman // breakfast // positive  
- orange: software engineer // lunch // negative  
- pear: artist // snack // neutral  
So, let's resolve Leo's example:
&gt; Leo treated himself to trail mix after completing his final judo kata
- "trail mix after completing ... judo kata" → This is an after-activity snack, fitting the "snack" or "after activity" pattern (like Mike's "snack" example).
- In each group, "snack" lines up with "pear" (see Mike).
**Final resolved category:**  
Leo treated himself to trail mix after completing his final judo kata // snack // **pear**</t>
  </si>
  <si>
    <t>Based on the patterns in your data, let's break down how to resolve the category for Amira's statement.
Let's analyze the categories:
### 1. First Section (Person &amp; Occupation/Fruit)
- Roel: football player // sportsman // apple
- Chirak: Tester // software engineer // orange
- Sophie: works in guitar band // artist // pear
### 2. Second Section (Person &amp; Food/Meal/Fruit)
- Roy: oats meal in the morning // breakfast // apple
- Sita: cooks biryani for afternoon // lunch // orange
- Mike: chips &amp; coffee in the evening // snack // pear
### 3. Third Section (Scenario &amp; Sentiment/Fruit)
- Rocky: received 5% bonus // positive // apple
- Air industry: went into losses // negative // orange
- James: project no loss/no profit // neutral // pear
#### Observations:
- "Apple" aligns with sportsman, breakfast, positive.
- "Orange" aligns with software/engineer, lunch, negative.
- "Pear" aligns with artist, snack, neutral.
---
Now, **Amira sipped her post-run smoothie and felt proud of her sprint time**:
- **Post-run**: Implies athletic activity (like Roel, who is associated with sportsman and apple).
- **Smoothie**: Could be a breakfast/snack, but the focus is on the post-run (likely morning or after exercise).
- **Felt proud**: Positive sentiment.
Given these clues:
- Sports/athletic activity → apple
- Positive feeling → apple
- Breakfast-ish context → apple
---
### Final Result:
**Amira sipped her post-run smoothie and felt proud of her sprint time // positive // apple**</t>
  </si>
  <si>
    <t>Let's break down the categories based on your patterns and examples:
You have three categories in each set, mapped as follows:
1. Person's profession/hobby &amp; fruit:
   - Roel: sportsman → apple
   - Chirak: software engineer → orange
   - Sophie: artist → pear
2. Meal &amp; fruit:
   - Roy: breakfast → apple
   - Sita: lunch → orange
   - Mike: snack → pear
3. Sentiment &amp; fruit:
   - Rocky: positive → apple
   - Air industry: negative → orange
   - James: neutral → pear
Now, let's resolve the category for Karim:
**Karim had a peanut bar while discussing tournament wins with teammates**
- "Discussing tournament wins with teammates" suggests sports context.
- "Peanut bar" is a common snack.
- Based on the first set, a sportsman is mapped to **apple**.
- In the second set, a snack is mapped to **pear**.
- In the third set, discussing wins suggests a positive sentiment, mapped to **apple**.
However, the strongest context seems to be sportsman (profession) and positive sentiment, both mapped to **apple**.
**Final resolved category:**
Karim had a peanut bar while discussing tournament wins with teammates // sportsman (football player) // positive // apple
**Result:**  
**apple**</t>
  </si>
  <si>
    <t>Let's break down the pattern and resolve the final category for Nisha:
### Observing the Patterns
#### 1. First Set: People and Professions / Interests
- Roel: football player, sportsman → **apple**
- Chirak: tester, software engineer → **orange**
- Sophie: guitar band, artist → **pear**
#### 2. Second Set: Meals and Preferences
- Roy: oats meal, breakfast → **apple**
- Sita: biryani, lunch → **orange**
- Mike: chips &amp; coffee, snack → **pear**
#### 3. Third Set: Situations and Outcomes
- Rocky: 5% bonus, positive → **apple**
- Air industry: losses, negative → **orange**
- James: no loss &amp; no profit, neutral → **pear**
**Conclusion:**  
Each set contains three items, each mapped to a fruit (apple, orange, pear), and the mapping is consistent based on the context:
- **Apple**: Sportsman, breakfast, positive outcome
- **Orange**: Software/tech, lunch, negative outcome
- **Pear**: Artist, snack, neutral outcome
---
### Nisha's Scenario
**Nisha bit into a stale granola bar and frowned before tennis practice**
- **Granola bar** = snack (timing: before practice, likely a snack)
- **Frowned** = negative experience
- **Tennis practice** = sports
Now, let's look at which factor is primary:
- In previous sets, the first word (person/profession, meal, situation) determined the category.
- Here, the key elements are:
    - **Snack** (like Mike's entry, mapped to pear)
    - **Negative outcome** (like Air industry, mapped to orange)
    - **Sports** (like Roel, mapped to apple)
But since the main action is about eating a snack (granola bar), the meal/time context seems to be the strongest (as in the second set).
- **Mike like chips &amp; coffee in the evening // snack // pear**
- Granola bar as a snack = **pear**
---
## Final Answer
**Nisha bit into a stale granola bar and frowned before tennis practice // snack // pear**</t>
  </si>
  <si>
    <t>Let’s break down the categories first:
**1. People and their professions/fruit:**
- Roel: football player // sportsman // **apple**
- Chirak: Tester // software engineer // **orange**
- Sophie: works in guitar band // artist // **pear**
**2. Meals and fruit:**
- Roy: oats meal in the morning // breakfast // **apple**
- Sita: cooks biryani for afternoon // lunch // **orange**
- Mike: like chips &amp; coffee in the evening // snack // **pear**
**3. Events, sentiment, and fruit:**
- Rocky: received 5% bonus during end year // positive // **apple**
- Air industry: went into losses during covid // negative // **orange**
- James: project completed with no loss &amp; no profit // neutral // **pear**
---
**Now, let's resolve the final clue:**
**Elias skipped snacks and hit the court feeling lightheaded**
Let’s analyze:
- Skipped snacks → did not have a snack (which is associated with **pear**, see Mike’s entry)
- Hit the court → likely sports-related (like Roel, who is a sportsman, associated with **apple**)
- Feeling lightheaded → possibly negative consequence (but the most direct mapping is to the category, not the sentiment)
Since each category (profession, meal, sentiment) maps to a fruit, let’s consider the context:
- The action (hit the court) matches the sports/profession category, which uses **apple** for sportsman.
- Skipped snacks — relates to the meal category; snacks are associated with **pear**.
- Feeling lightheaded — could be neutral or negative, but in context, the main action is sports.
**Pattern:**  
- When someone is involved in sports (court = sport), they are linked to **apple** (Roel).
- If the context was about software/testing, it would be **orange** (Chirak).
- If the context was artistic or music, it would be **pear** (Sophie).
**Final Result:**
**Elias is associated with "apple" (sportsman category).**
**Complete answer:**  
[result: apple]</t>
  </si>
  <si>
    <t>Let's analyze the pattern in your data:
There are three categories, each with three items, and each item is associated with a fruit (apple, orange, pear). Let’s break them down:
**Category 1: Profession/Personality**
- Roel: football player/sportsman // apple
- Chirak: Tester/software engineer // orange
- Sophie: works in guitar band/artist // pear
**Category 2: Food/Meal**
- Roy: oats meal in the morning/breakfast // apple
- Sita: cooks biryani for afternoon/lunch // orange
- Mike: chips &amp; coffee in the evening/snack // pear
**Category 3: Event/Outcome**
- Rocky: received 5% bonus/positive // apple
- Air industry: losses during covid/negative // orange
- James: project completed no loss &amp; no profit/neutral // pear
**Now, your new sentence:**
Priya spilled her juice while prepping for the boxing match //
Let’s resolve which category, subcategory, and fruit this would match:
1. **Profession/Situation:** Priya is prepping for a boxing match → Sportsman/athlete (aligns with Roel, who is apple).
2. **Food/Action:** She spilled her juice → "juice" is a drink, potentially consumed during breakfast/snack (Roy: oats meal in the morning // apple).
3. **Event/Outcome:** Spilling juice is a minor mishap—neither strongly negative nor positive, perhaps neutral or slightly negative.
But looking at the pattern:
- Sportsman/athlete → apple
- Breakfast/morning → apple
- Positive event → apple
**Final Result:**
Priya spilled her juice while prepping for the boxing match // sportsman // breakfast // (slight mishap, but since the boxing match is positive and aligns with sportsman and breakfast, it should be) apple
**Resolved:**
Priya spilled her juice while prepping for the boxing match // sportsman // breakfast // apple</t>
  </si>
  <si>
    <t>Let's break down the pattern based on your examples:
You have three categories, each with three items, and each group is mapped to an item: apple, orange, or pear.
1. **First Category** (Person &amp; Profession):
   - Roel: football player (apple)
   - Chirak: Tester/software engineer (orange)
   - Sophie: guitar band/artist (pear)
2. **Second Category** (Meal/food/time of day):
   - Roy: oats meal in the morning/breakfast (apple)
   - Sita: biryani for afternoon/lunch (orange)
   - Mike: chips &amp; coffee in the evening/snack (pear)
3. **Third Category** (Situation &amp; Tone):
   - Rocky: 5% bonus/positive (apple)
   - Air industry: losses/negative (orange)
   - James: no loss &amp; no profit/neutral (pear)
Let's analyze the final prompt:
**Andre burned his popcorn and missed his warm-up slot**
- "Burned his popcorn" = a mistake or mishap (negative)
- "Missed his warm-up slot" = failed to prepare for a physical activity (possibly a sportsman/artist, but more likely sports or performance-related)
- The two events are both negative in tone.
Let's map it:
- **Roel (sportsman/football player)** → apple
- **Roy (breakfast)** → apple
- **Rocky (positive event)** → apple
- **Chirak (tester/software engineer)** → orange
- **Sita (lunch)** → orange
- **Air industry (negative event)** → orange
- **Sophie (artist)** → pear
- **Mike (snack)** → pear
- **James (neutral event)** → pear
**Observation:**  
The mapping seems to be:
- Sportsman/Breakfast/Positive → apple
- Engineer/Lunch/Negative → orange
- Artist/Snack/Neutral → pear
**Andre's situation:**
- Burned popcorn (snack, negative)
- Missed warm-up slot (related to sports or performance, negative)
But the key phrase is "burned his popcorn" — this fits the "snack" category (which is Mike/pear), but the event is negative (orange).
However, in your examples, the food/time-of-day seems to override the profession, and the event's tone aligns with the fruit mapping.
So:
- **Popcorn** = snack = pear
- **Burned/missed** = negative = orange
But in your mappings, snack events always map to pear, regardless of being positive or negative.
**Final answer:**
&gt; **pear**
**Reason:**  
The primary clue is "popcorn" (snack), and in your mappings, snack always leads to pear.
**Resolved:**  
**Andre burned his popcorn and missed his warm-up slot // snack // pear**</t>
  </si>
  <si>
    <t>Let's break down the categories and see how Zara's scenario fits:
### 1. Category Patterns
#### First set:
- Roel: football player // sportsman // apple
- Chirak: Tester // software engineer // orange
- Sophie: works in guitar band // artist // pear
**Category 1:** Profession / Role  
**Category 2:** Broad category of profession  
**Category 3:** Fruit association
#### Second set:
- Roy: oats meal in the morning // breakfast // apple
- Sita: cooks biryani for afternoon // lunch // orange
- Mike: like chips &amp; coffee in the evening // snack // pear
**Category 1:** Food + time/context  
**Category 2:** Meal type  
**Category 3:** Fruit association
#### Third set:
- Rocky: received 5% bonus during end year // positive // apple
- Air industry: went into losses during covid // negative // orange
- James: project completed with no loss &amp; no profit // neutral // pear
**Category 1:** Situation + result  
**Category 2:** Sentiment  
**Category 3:** Fruit association
### 2. Fruits mapping
- Apple: sportsman, breakfast, positive
- Orange: software engineer, lunch, negative
- Pear: artist, snack, neutral
Each "fruit" represents a column/category:
- **Apple:** sports/athletic, breakfast, positive
- **Orange:** technical, lunch, negative
- **Pear:** creative, snack, neutral
### 3. Zara's scenario
Zara crunched dry crackers, frustrated after being benched mid-match
- **Action:** crunched dry crackers (snack)
- **Emotion:** frustrated (negative)
- **Context:** after being benched mid-match (sports-related context, but negative emotion)
### 4. Resolve Zara's categories
- **Category 1:** Crunching dry crackers after being benched mid-match (activity + context)
- **Category 2:** Snack (from the food pattern), Negative (from emotion and context)
- **Category 3:** Fruit? Let's see:
    - Snack: pear
    - Negative: orange
    - Sports context: apple
But the primary emotion is negative, and the activity is snack, so let's cross-reference:
- Mike (snack // pear) — but the emotion is neutral.
- Air industry (negative // orange) — negative maps to orange.
- All negative contexts map to **orange**.
### 5. Final result
**Zara crunched dry crackers, frustrated after being benched mid-match**  
// snack // negative // orange
**Result:**  
snack // negative // orange</t>
  </si>
  <si>
    <t>Let's break down the pattern in your examples:
**1. Person - Occupation - Fruit**  
- Roel: football player // sportsman // apple  
- Chirak: Tester // software engineer // orange  
- Sophie: works in guitar band // artist // pear  
**2. Person - Meal - Fruit**  
- Roy: oats meal in the morning // breakfast // apple  
- Sita: cooks biryani for afternoon // lunch // orange  
- Mike: chips &amp; coffee in the evening // snack // pear  
**3. Scenario - Sentiment - Fruit**  
- Rocky: 5% bonus // positive // apple  
- Air industry: losses during covid // negative // orange  
- James: project completed with no loss &amp; no profit // neutral // pear  
Each block aligns a person/scenario, a category, and a fruit:  
- apple for sportsman / breakfast / positive  
- orange for software engineer / lunch / negative  
- pear for artist / snack / neutral  
Now, your new input:
**Devin grabbed dried fruit before heading to his fencing workshop //**
Let's resolve each category:
1. **Occupation/Activity**:  
   - "fencing workshop" → similar to "football player" (sportsman)  
   - So, likely **sportsman** category
2. **Meal**:  
   - "grabbed dried fruit before heading" → similar to "oats meal in the morning" (breakfast)  
   - So, likely **breakfast**
3. **Sentiment**:  
   - No explicit sentiment, but grabbing food before an active event is typically positive/energetic  
   - So, likely **positive**
4. **Fruit (per above mapping)**:  
   - sportsman // breakfast // positive → **apple**
**Final resolved categories:**
- Occupation: sportsman  
- Meal: breakfast  
- Sentiment: positive  
- Fruit: apple
**Final answer:**  
**apple**</t>
  </si>
  <si>
    <t>Based on the patterns in your examples, each scenario has three categories that resolve to a final classification:
1. **First set**: Profession // type // fruit  
2. **Second set**: Activity // time/meal // fruit  
3. **Third set**: Event // sentiment // fruit  
It appears that each **fruit** is associated with a certain category in the second field (type, meal time, sentiment):
- **Apple**: sportsman / breakfast / positive
- **Orange**: software / lunch / negative
- **Pear**: artist / snack / neutral
Now, let's analyze your query:
**Saanvi ate pretzels while watching training replays //**
- "ate pretzels" = snack (meal type)
- "watching training replays" = possibly related to sports/training
Following the snack pattern (from Mike: "chips &amp; coffee in the evening // snack // pear"), the fruit that aligns with snack is **pear**.
**Final answer:**
Saanvi ate pretzels while watching training replays // snack // pear</t>
  </si>
  <si>
    <t>Let's analyze the pattern in each set:
### Set 1: Person - Profession - Fruit
- Roel: football player / sportsman // **apple**
- Chirak: Tester / software engineer // **orange**
- Sophie: works in guitar band / artist // **pear**
### Set 2: Name - Meal - Fruit
- Roy: oats meal in the morning / breakfast // **apple**
- Sita: cooks biryani for afternoon / lunch // **orange**
- Mike: chips &amp; coffee in the evening / snack // **pear**
### Set 3: Name - Situation - Sentiment - Fruit
- Rocky: 5% bonus during end year / positive // **apple**
- Air industry: losses during covid / negative // **orange**
- James: project completed with no loss &amp; no profit / neutral // **pear**
### Pattern:
Each time, the last item (fruit) is assigned based on the role, time of day, or sentiment:
- Apple: sportsman, breakfast, positive
- Orange: software engineer, lunch, negative
- Pear: artist, snack, neutral
Now, let's analyze the new sentence:
**Luka packed seed bars into his gym bag before kayaking**
Breakdown:
- Name: Luka
- Activity: packed seed bars into his gym bag before kayaking
- Context: Preparing for a physical activity (kayaking)
- "Seed bars" are a snack, but the context is more about an active, sporty lifestyle (like Roel with football).
#### Which category does Luka fit into?
- Role: Sportsman (since kayaking is a sport)
- Time: Before kayaking (could be morning or pre-activity snack)
- Sentiment: Neutral, but the focus is on activity.
#### Mapping to previous patterns:
- Sportsman/active: **apple**
- Artist/creative/snack: **pear**
- Engineer/lunch/negative: **orange**
**Final assignment:**
&gt; Luka packed seed bars into his gym bag before kayaking // sportsman // apple
### **Final Answer:**
Luka packed seed bars into his gym bag before kayaking // sportsman // apple</t>
  </si>
  <si>
    <t>Let's break down the logic in your examples to resolve the final case.
### Analysis:
Each group is mapped consistently to a category (apple, orange, pear):
#### Group 1: Occupation/Type of person  
- Roel is a football player // sportsman // **apple**
- Chirak is a Tester // software engineer // **orange**
- Sophie works in guitar band // artist // **pear**
#### Group 2: Food/Meal time  
- Roy ate oats meal in the morning // breakfast // **apple**
- Sita cooks biryani for afternoon // lunch // **orange**
- Mike likes chips &amp; coffee in the evening // snack // **pear**
#### Group 3: Outcome/Result  
- Rocky received 5% bonus during end year // positive // **apple**
- Air industry went into losses during covid // negative // **orange**
- James' project completed with no loss &amp; no profit // neutral // **pear**
#### [result: each category resolved, final]
The final sentence:
&gt; Meera peeled an orange mid-practice and resumed sparring //
Let's see how to resolve it:
- "peeled an orange" → **orange** (matches the pattern of using the fruit as a category tag)
- "mid-practice and resumed sparring" → activity, likely sports/fighting (matches the first group, occupation/activity)
Based on your pattern:
- **Sportsman** (apple)
- **Software engineer** (orange)
- **Artist** (pear)
But the action involves "sparring", which is a sports activity, and she ate an **orange**.
Your mapping uses the fruit as a key tag for the type of context:
- **apple** → sportsman / breakfast / positive
- **orange** → engineer / lunch / negative
- **pear** → artist / snack / neutral
But in your examples, the fruit mentioned in the action aligns with the category tag, regardless of the actual activity.
### Therefore, the resolved final is:
**orange**
#### In your output format:
Meera peeled an orange mid-practice and resumed sparring // **orange**</t>
  </si>
  <si>
    <t>Let's break down your data and see how to resolve the category for Naveen based on the patterns:
### 1. Original Data Analysis
#### Category 1: People and their Occupations, Fruits
| Name    | Occupation             | Fruit  |
|---------|------------------------|--------|
| Roel    | Football player        | Apple  |
| Chirak  | Tester/Software Eng    | Orange |
| Sophie  | Guitar band/Artist     | Pear   |
#### Category 2: Meals, Time, Fruit
| Name   | Food &amp; Time                 | Meal Type | Fruit  |
|--------|-----------------------------|-----------|--------|
| Roy    | Oats meal in morning        | Breakfast | Apple  |
| Sita   | Biryani for afternoon       | Lunch     | Orange |
| Mike   | Chips &amp; coffee in evening   | Snack     | Pear   |
#### Category 3: Situations, Sentiment, Fruit
| Person/Industry | Situation/Result                        | Sentiment | Fruit  |
|-----------------|------------------------------------------|-----------|--------|
| Rocky           | 5% bonus end year                        | Positive  | Apple  |
| Air Industry    | Losses during covid                      | Negative  | Orange |
| James           | Project: no loss &amp; no profit             | Neutral   | Pear   |
---
### 2. What is the pattern?
- **Apple** is associated with: Football player, breakfast, positive.
- **Orange** is associated with: Tester/Software, lunch, negative.
- **Pear** is associated with: Artist, snack, neutral.
#### Mapping:
- **Occupation:** sports/physical → Apple; software/tester → Orange; artistic/music → Pear
- **Meal:** Breakfast → Apple; Lunch → Orange; Snack → Pear
- **Sentiment:** Positive → Apple; Negative → Orange; Neutral → Pear
---
### 3. Applying to Naveen
#### Naveen's statement:
"Naveen had peanut butter toast between jump rope sets"
- **Peanut butter toast**: This is a snack.
- **Between jump rope sets**: Implies it's during a workout, which is a physical activity (like sports).
##### Let's see which pattern fits:
- **Meal Context**: It's a snack (not a main meal, not breakfast/lunch). In your data, **snack** is associated with **Pear**.
- **Occupation Context**: Doing jump rope, so physical/sports-like, which is associated with **Apple**.
But the meal he had is a **snack**, and in your meal category, **snack** aligns with **Pear**.
---
### 4. [result: each category resolved, final]
**Final Answer:**
Naveen had peanut butter toast between jump rope sets // snack // pear
*Explanation:*
Even though Naveen is doing a physical activity, your categorization for the meal (snack) takes priority in the meal context—matching Mike's "chips &amp; coffee in the evening // snack // pear." Thus, the resolved category is **snack // pear**.</t>
  </si>
  <si>
    <t>Let’s break down your pattern:
1. **Each row has three items, and each is mapped to a category (fruit).**
2. **First set: Person + profession + fruit**
3. **Second set: Person + meal/time + fruit**
4. **Third set: Scenario + sentiment + fruit**
So the fruit (apple/orange/pear) seems to be a category resolver, assigned in order.
Let's examine Natasha's scenario:
Natasha celebrated solving a memory leak with iced coffee and biscotti
Let’s attempt to map it:
- Natasha: Person
- Celebrated solving a memory leak: Activity (similar to scenario)
- With iced coffee and biscotti: Food/Drink (meal/snack)
- (No explicit sentiment, but "celebrated" is positive.)
Based on the previous patterns:
- **Positive** scenarios are mapped to **apple** ("Rocky received 5% bonus during end year // positive // apple")
- **Breakfast** (morning) is mapped to **apple** ("Roy ate oats meal in the morning // breakfast // apple")
- **Software/technical accomplishment** is mapped to **orange** ("Chirak is a Tester // software engineer // orange"), but that's the profession, not the event.
However, the strongest pattern is in the third set, which is about the sentiment:
- Positive → apple
- Negative → orange
- Neutral → pear
Since Natasha is celebrating (positive sentiment), the answer fits the "apple" category.
**Final resolved category:**  
**apple**
So the completed line would be:
Natasha celebrated solving a memory leak with iced coffee and biscotti // positive // apple</t>
  </si>
  <si>
    <t>Certainly! Let’s break down the pattern:
Each group has three items, mapped as follows:
- 1st column: Person &amp; context
- 2nd column: Category (profession/mealtime/event type)
- 3rd column: Fruit (apple, orange, pear)
Let’s identify the mapping for Harsh:
**1st column:**  
Harsh enjoyed cheese cubes while reviewing a perfect test suite.
- "reviewing a perfect test suite" → This aligns most closely with "Tester // software engineer" (Chirak).
**2nd column (category):**  
From Chirak’s row: Tester // software engineer // orange  
So, category = software engineer
**3rd column (fruit):**  
From Chirak’s row: orange
**Final answer:**  
Harsh is a software engineer // orange
So, the resolved result is:
**Harsh is a software engineer // orange**</t>
  </si>
  <si>
    <t>Let's resolve the categories for Zoe based on the patterns in your data:
### Category Patterns:
#### 1. Person/Profession // Fruit
- Roel: football player // sportsman // **apple**
- Chirak: Tester // software engineer // **orange**
- Sophie: works in guitar band // artist // **pear**
#### 2. Meal/Time // Fruit
- Roy: oats meal in morning // breakfast // **apple**
- Sita: cooks biryani for afternoon // lunch // **orange**
- Mike: chips &amp; coffee in evening // snack // **pear**
#### 3. Event/Outcome // Fruit
- Rocky: 5% bonus, end year // positive // **apple**
- Air industry: losses during covid // negative // **orange**
- James: no loss &amp; no profit // neutral // **pear**
---
### Analyzing Zoe's Description:
- Action: "pull request got merged" — this is a **positive event** (success, like a bonus or achievement).
- Food: "banana chips" — a snack.
- No explicit profession, but the context is software-related (pull request).
### Pattern Breakdown:
- Positive events are mapped to **apple**.
- Snacks are mapped to **pear**.
- Software-related persons are mapped to **orange**.
However, the **event category** seems most relevant here, as the focus is on the event of the pull request being merged (a positive outcome).
---
### Final Resolved Category:
**positive // apple**
#### Full Resolved Output:
Zoe savored banana chips as her pull request got merged // positive // apple
---
**[result: category resolved, final]**
Zoe savored banana chips as her pull request got merged // positive // apple</t>
  </si>
  <si>
    <t>Let's analyze the structure and pattern from your examples:
You have three categories, each with three items, and each item is associated with a fruit (apple/orange/pear), a profession or event, and a mood or outcome.
Here's how the mapping works:
**1. First Set (People &amp; Professions/Activities):**
- Roel: football player (sportsman) → apple
- Chirak: Tester (software engineer) → orange
- Sophie: works in guitar band (artist) → pear
**2. Second Set (Meals &amp; Times):**
- Roy: oats meal (breakfast) → apple
- Sita: biryani (lunch) → orange
- Mike: chips &amp; coffee (snack) → pear
**3. Third Set (Events &amp; Outcomes):**
- Rocky: 5% bonus (positive) → apple
- Air industry: losses (negative) → orange
- James: no loss &amp; no profit (neutral) → pear
**Now, for Amir:**
- Amir felt satisfied sipping bubble tea after a successful UX demo.
Let's break it down:
- Amir: presumably a professional, possibly in design/tech (UX demo).
- Satisfied: mood, positive outcome.
- Bubble tea: food/drink, could be a snack or treat.
- After a successful UX demo: event, positive outcome.
So, matching the patterns:
- **Profession/Event:** Related to professional success and satisfaction (like Rocky's bonus).
- **Mood/Outcome:** Satisfied/positive (like Rocky).
- **Food/Drink:** Bubble tea (comparable to the snack/breakfast/lunch examples).
- **Fruit mapping:** Positive outcome has always been mapped to "apple".
**Final Resolved Category:**
**Amir** // **UX professional (designer)** // **apple**
**Amir** ate bubble tea after successful UX demo // **positive** // **apple**
**Result:** Amir is associated with the **apple** category, indicating a positive outcome/profession, and his event is a positive one.</t>
  </si>
  <si>
    <t>Let's break down your provided examples and resolve Tara's situation into the established categories:
### Reference Patterns
#### Category 1: People &amp; Professions &amp; Fruit
- Roel: football player // sportsman // apple
- Chirak: tester // software engineer // orange
- Sophie: works in guitar band // artist // pear
#### Category 2: Meal &amp; Time of Day &amp; Fruit
- Roy: oats meal in the morning // breakfast // apple
- Sita: cooks biryani for afternoon // lunch // orange
- Mike: like chips &amp; coffee in the evening // snack // pear
#### Category 3: Event &amp; Sentiment &amp; Fruit
- Rocky: received 5% bonus during end year // positive // apple
- Air industry: losses during covid // negative // orange
- James: project completed with no loss &amp; no profit // neutral // pear
---
Now, let's analyze Tara's scenario:
**Tara smiled while having trail mix and watching her code pass CI flawlessly**
Let’s break it down:
- Smiled: positive sentiment
- Having trail mix: eating (snack)
- Watching her code pass CI flawlessly: likely evening (relaxing after work), success (positive), software engineer context
### Assigning Categories
#### Category 1: Profession &amp; Fruit
- Profession: Software engineer (implied by "code pass CI")
- Fruit: Let's see which fruit matches based on previous patterns.
#### Category 2: Meal &amp; Fruit
- Meal: Snack (trail mix, usually eaten as a snack)
- Fruit: Which fruit is linked to "snack" in the patterns?
    - Mike: snack // pear
#### Category 3: Sentiment &amp; Fruit
- Sentiment: Positive
- Fruit: Which fruit is linked to "positive"?
    - Rocky: positive // apple
But let's check which fruit aligns across categories for Tara:
- Profession: Software engineer → orange (Chirak)
- Snack: pear (Mike)
- Positive: apple (Rocky)
But the most consistent connection is with the **snack** category (snack // pear), since "trail mix" is a snack, and fruit seems to be determined by the meal/time of day in this context.
---
## [Final Result]
Tara is:
- software engineer // snack // positive // **pear**
Or, more simply:
**Tara is a software engineer enjoying a snack (trail mix) in a positive moment, so: pear.**
**Resolved Category: pear**</t>
  </si>
  <si>
    <t>Let's analyze the categories based on your given patterns:
### 1. Profession / Role / Fruit
- Roel : football player / sportsman / apple
- Chirak : Tester / software engineer / orange
- Sophie : works in guitar band / artist / pear
### 2. Food / Time / Fruit
- Roy : oats meal in the morning / breakfast / apple
- Sita : biryani for afternoon / lunch / orange
- Mike : chips &amp; coffee in the evening / snack / pear
### 3. Event / Sentiment / Fruit
- Rocky : 5% bonus during end year / positive / apple
- Air industry : losses during covid / negative / orange
- James : project completed with no loss &amp; no profit / neutral / pear
## Each category resolved:
- "apple" is associated with: sportsman, breakfast, positive
- "orange" is associated with: software engineer, lunch, negative
- "pear" is associated with: artist, snack, neutral
---
Now, let's resolve for Dev:
**Dev drank a warm soda while debugging the broken login page**
- Profession/role: Debugging login page → software engineer (orange)
- Food/time: Warm soda (drink) while debugging (likely working late, possibly snack or untimely meal) → snack (pear) or lunch (orange)
- Sentiment: Debugging a broken login page (frustrating, negative) → negative (orange)
### Matching:
- "Debugging the broken login page" is closest to "software engineer" and "negative"
- "Drank a warm soda" fits with snack, but context fits more with the orange (software engineer/negative/lunch)
### Final Resolution:
**Dev = software engineer // negative // orange**
**Final result:**  
Dev is a software engineer // negative // orange</t>
  </si>
  <si>
    <t>Let’s break down the categories you’ve provided and map the final entry ("Laila skipped snacks to troubleshoot endless error logs") to each:
### 1. Person &amp; Profession // Hobby // Fruit  
- Roel: football player // sportsman // apple  
- Chirak: Tester // software engineer // orange  
- Sophie: works in guitar band // artist // pear  
### 2. Meal &amp; Timing // Type // Fruit  
- Roy: oats meal in the morning // breakfast // apple  
- Sita: biryani for afternoon // lunch // orange  
- Mike: chips &amp; coffee in the evening // snack // pear  
### 3. Situation // Sentiment // Fruit  
- Rocky: received 5% bonus during end year // positive // apple  
- Air industry: losses during covid // negative // orange  
- James: project completed with no loss &amp; no profit // neutral // pear  
---
Now, let’s resolve the new entry:
**Laila skipped snacks to troubleshoot endless error logs**
#### Step 1: Analyze the statement:
- "skipped snacks" → relates to meal/timing (snack)
- "troubleshoot endless error logs" → relates to profession (software/IT), and maybe sentiment (likely negative)
- No explicit fruit, but let's try to infer.
#### Step 2: Map to each category:
##### 1. Person &amp; Profession // Hobby // Fruit
- Person: Laila
- Profession: Troubleshooting error logs → likely a Tester or Software Engineer (like Chirak)
- Hobby: Not explicitly stated, but role aligns with software
- Fruit: By pattern, Chirak (Tester/Software engineer) is mapped to orange.
##### 2. Meal &amp; Timing // Type // Fruit
- Meal/Timing: skipped snacks → "snack" time slot
- Type: snack
- Fruit: For "snack", Mike is mapped to pear.
##### 3. Situation // Sentiment // Fruit
- Situation: Skipped snacks to troubleshoot errors → implies a negative or stressed situation.
- Sentiment: Negative (since troubleshooting endless errors is usually negative)
- Fruit: Negative sentiment is mapped to orange.
---
### Final Resolved Result for Laila
#### Category 1 (Person/Profession):
- Laila is a Tester // software engineer // orange
#### Category 2 (Meal/Timing):
- Laila skipped snacks // snack // pear
#### Category 3 (Situation/Sentiment):
- Laila skipped snacks to troubleshoot errors // negative // orange
---
### FINAL ANSWER
**Laila skipped snacks to troubleshoot endless error logs** resolves to:
- Profession: Tester // software engineer // orange  
- Meal: skipped snacks // snack // pear  
- Situation: negative // orange  
**Summary Table:**
| Name   | Role/Profession          | Meal/Timing   | Sentiment | Fruit  |
|--------|-------------------------|---------------|-----------|--------|
| Laila  | Tester / Software Eng.  | Snack (skipped) | Negative  | Orange (profession/sentiment), Pear (meal) |
**If you need a single fruit for Laila, "orange" is most consistent (profession/sentiment), but for meal context, it's "pear".**</t>
  </si>
  <si>
    <t>Let's analyze the pattern in your examples:
There are three categories or axes for each entry:
- **Person/Entity**: (name + description)
- **Associated Category**: (job/time/event)
- **Fruit**: (apple/orange/pear)
Each set of three examples covers all three possible values in each axis. Let's break it down:
### 1. First Set (People/Professions)
- Roel → football player // sportsman // **apple**
- Chirak → Tester // software engineer // **orange**
- Sophie → guitar band // artist // **pear**
### 2. Second Set (Meals/Times of Day)
- Roy → oats meal in the morning // breakfast // **apple**
- Sita → biryani for afternoon // lunch // **orange**
- Mike → chips &amp; coffee in the evening // snack // **pear**
### 3. Third Set (Events/Sentiments)
- Rocky → 5% bonus during end year // positive // **apple**
- Air industry → losses during covid // negative // **orange**
- James → project completed with no loss &amp; no profit // neutral // **pear**
**In each category, the third element is always: apple, orange, pear.**
---
Now, your prompt:
&gt; Nikhil spilled salsa on his notes during the last-minute patch scramble //
Let’s classify Nikhil's scenario:
- **Person**: Nikhil
- **Action/Event**: spilled salsa on his notes during the last-minute patch scramble
Let's try to map this to the three sets:
#### What does it fit best with?
- It could fit with "Events/Sentiments" (like the bonus, loss, or neutral completion).
- "Spilling salsa" during a "last-minute patch scramble" suggests a stressful, possibly negative, or at least chaotic/neutral event.
#### Which fruit?
- If following the order, we see:
    - First in each triad: apple (sportsman, breakfast, positive)
    - Second: orange (software engineer, lunch, negative)
    - Third: pear (artist, snack, neutral)
- Nikhil's event is neither clearly positive nor clearly negative; it seems a **neutral mishap**.
- In your third set, "project completed with no loss &amp; no profit" (neutral) → **pear**.
---
## Final Answer
**Nikhil spilled salsa on his notes during the last-minute patch scramble // neutral // pear**</t>
  </si>
  <si>
    <t>Sure! Based on your provided pattern, each example links a person or entity with a context, a category, and an object (apple, orange, pear), and a sentiment (positive, negative, neutral). Here’s how it seems to work:
Let’s analyze your new scenario:
**Nina opened stale crackers mid-sprint planning, unimpressed**
- **Category 1 (Role/Profession):** Nina is involved in sprint planning, which suggests she is a **Tester // software engineer**
- **Category 2 (Context/Time):** "mid-sprint planning" is a work context, similar to "afternoon", "morning", or "evening" in your meal examples. It aligns with **lunch** (work context) // or **orange**
- **Category 3 (Sentiment):** "unimpressed" is a neutral or negative sentiment, but more likely **negative** (as unimpressed implies dissatisfaction), which matches **orange** in your pattern.
Looking at your pattern, "orange" is linked to:
- Chirak (Tester // software engineer)
- Sita (lunch // orange)
- Air industry (negative // orange)
Since each scenario ends up getting mapped to one of the three objects (apple, orange, pear), and all associated categories match, Nina’s scenario fits with **orange**.
**Final resolved result:**
&gt; Nina is a Tester (or software engineer), in a work context (lunch/afternoon), with a negative sentiment (unimpressed) → **orange**
---
**Final answer:**  
Nina // Tester // lunch // negative // **orange**</t>
  </si>
  <si>
    <t>Let's analyze the pattern in your examples and resolve the final category for Joel:
**Pattern Explanation:**
For each set, there are three entities, each associated with a category (apple, orange, pear), and each category corresponds to a particular pattern or theme:
### Set 1: Profession/Interest
- apple: football player / sportsman
- orange: Tester / software engineer
- pear: guitar band / artist
### Set 2: Meal/Time
- apple: breakfast (oats meal in morning)
- orange: lunch (biryani in afternoon)
- pear: snack (chips &amp; coffee in evening)
### Set 3: Outcome/Mood
- apple: positive (5% bonus)
- orange: negative (losses)
- pear: neutral (no loss &amp; no profit)
So, the three categories are consistently mapped as:
- **apple**: 1st in each set (football player, breakfast, positive)
- **orange**: 2nd in each set (Tester, lunch, negative)
- **pear**: 3rd in each set (guitar band, snack, neutral)
---
### Now, let's analyze the final input for Joel:
&gt; Joel munched on a soggy sandwich, annoyed by failing build scripts
Let's break it down:
- **Soggy sandwich**: This is food, likely eaten at lunch.
- **Annoyed by failing build scripts**: Indicates a negative mood, perhaps frustration.
- Among the previous sets:
    - "Lunch" and "negative" both mapped to **orange**.
    - "Tester" / "software engineer" (related to build scripts) also mapped to **orange**.
### **Final Answer:**
**Joel** falls into the **orange** category.
---
**[result: orange]**</t>
  </si>
  <si>
    <t>Let's break down the pattern from your examples:
Each row in your examples associates three items (a person, a profession/activity, and a fruit) with a category (like sportsman, software engineer, artist) and a fruit (apple, orange, pear).  
Each subsequent group links another dimension (meal, time, or situation) to the same set of fruits in order (apple, orange, pear).
Given all that, let's analyze the final input:
Sam had popcorn while updating his IDE
- Popcorn is a snack.
- "Updating his IDE" links to a software/technology context (similar to being a tester/software engineer, which mapped to "orange" in your earlier examples).
- The pattern for snack/evening mapped to "pear" in your earlier examples.
However, your pattern links "Tester/software engineer" to "orange" and "snack/evening" to "pear." Since updating an IDE is a software engineer activity and eating popcorn is a snack, both dimensions are present.
## Final Answer
**Sam had popcorn while updating his IDE // snack // orange**
**Explanation:**  
- "Popcorn" = snack (matches Mike's example)
- "Updating his IDE" = software context (matches Chirak's example, which was paired with "orange")
So, following your pattern, the fruit associated would be **orange**.
**Resolved category: snack // orange**</t>
  </si>
  <si>
    <t>Certainly! Based on the pattern in your examples, it seems that there are three categories being resolved for each scenario:
1. **Type of Activity/Profession/Context**  
2. **Category/Polarity/Meal Type**  
3. **Fruit**  
Let’s break down the examples:
### Example 1
- Roel is a football player // sportsman // apple
- Chirak is a Tester // software engineer // orange
- Sophie works in guitar band // artist // pear
### Example 2
- Roy ate oats meal in the morning // breakfast // apple
- Sita cooks biryani for afternoon // lunch // orange
- Mike like chips &amp; coffee in the evening // snack // pear
### Example 3
- Rocky received 5% bonus during end year // positive // apple
- Air industry went into losses during covid // negative // orange
- James project completed with no loss &amp; no profit // neutral // pear
#### Pattern:
- First line in each example: apple
- Second: orange
- Third: pear
Let's analyze your query:
**Fatima sipped tea during break before joining a stand-up meeting**
- **Type of Activity/Context:** She sipped tea during break (probably at work), before a meeting.
- **Category:** This is a snack/break activity (equivalent to "snack" in Example 2)
- **Fruit:** By the pattern, if this is the third in the set, it would be pear.
**Final resolved answer:**
Fatima sipped tea during break before joining a stand-up meeting // snack // pear</t>
  </si>
  <si>
    <t>Let’s break down the pattern in your examples:
### 1. Each entry is mapped to three things:
- **Person** (e.g., Roel)
- **Activity/Profession/Event** (e.g., football player, ate oats meal, received 5% bonus)
- **Category** (e.g., sportsman, breakfast, positive)
- **Fruit** (apple/orange/pear)
Each **category** (sportsman, breakfast, positive) is uniquely associated with a **fruit** (apple, orange, pear).  
The pattern links the **person/activity** to the **category**, and each category is mapped to a specific fruit.
Given your final prompt:
&gt; Raj ate a granola bar while checking Git commits //
Let’s resolve this:
- **Activity:** "ate a granola bar" → snack item (like "chips &amp; coffee in the evening")
- **Checking Git commits** → software/engineering context (like "Tester // software engineer // orange")
From your three sets:
- **Snacks** (chips &amp; coffee) → paired with "pear"
- **Software/engineering context** → paired with "orange"
- However, the snack context seems more prominent in "ate a granola bar".
Looking at your pattern, the **food timing** (breakfast/lunch/snack) is the main mapping for the second set, and the **fruit** follows accordingly:
- Breakfast → apple
- Lunch → orange
- Snack → pear
**Final resolved result:**
**Raj ate a granola bar while checking Git commits // snack // pear**
Let me know if you’d like further explanation!</t>
  </si>
  <si>
    <t>Certainly! Based on your pattern, each entry is associated with a **category** (profession, meal, or event), a **sentiment/type** (sportsman, breakfast, positive, etc.), and a **fruit** (apple, orange, pear). Here's how the previous examples resolve:
**Category 1: Profession/Person**
- Roel: football player // sportsman // apple
- Chirak: Tester // software engineer // orange
- Sophie: works in guitar band // artist // pear
**Category 2: Meal**
- Roy: oats meal in the morning // breakfast // apple
- Sita: cooks biryani for afternoon // lunch // orange
- Mike: chips &amp; coffee in the evening // snack // pear
**Category 3: Event/Sentiment**
- Rocky: received 5% bonus during end year // positive // apple
- Air industry: went into losses during covid // negative // orange
- James: project completed with no loss &amp; no profit // neutral // pear
Now, let's resolve your new sentence:
**Mira packed dried mango slices in her work bag**
Let's analyze:
- "packed dried mango slices" indicates a **snack** (relates to food/meal).
- "in her work bag" suggests it's for work, likely as a snack to eat at work.
- Previous meal/snack category: breakfast=apple, lunch=orange, snack=pear.
So, following the established pattern:
- Mira // snack // pear
**Final result:**
&gt; Mira packed dried mango slices in her work bag // snack // pear
If you want the result in the same format as your previous examples, here it is:
**Mira packed dried mango slices in her work bag // snack // pear**</t>
  </si>
  <si>
    <t>Let's break down your examples and the categories:
### 1. Person &amp; Profession (// role // fruit)
- Roel is a football player // sportsman // apple
- Chirak is a Tester // software engineer // orange
- Sophie works in guitar band // artist // pear
### 2. Meal &amp; Time (// meal // fruit)
- Roy ate oats meal in the morning // breakfast // apple
- Sita cooks biryani for afternoon // lunch // orange
- Mike likes chips &amp; coffee in the evening // snack // pear
### 3. Event &amp; Sentiment (// sentiment // fruit)
- Rocky received 5% bonus during end year // positive // apple
- Air industry went into losses during covid // negative // orange
- James project completed with no loss &amp; no profit // neutral // pear
#### The pattern:
- **apple** is always associated with the first item in each category  
  (sportsman, breakfast, positive)
- **orange** is always associated with the second item  
  (software engineer, lunch, negative)
- **pear** is always associated with the third item  
  (artist, snack, neutral)
---
## Now, the new statement:
**Yusuf grabbed some almonds before setting up the new test environment**
Let's analyze:
- "before setting up the new test environment" suggests Yusuf is starting his work, which is likely to be in the morning (like breakfast).
- "grabbed some almonds" = a light meal/snack, but contextually it is **before starting work**.  
- "new test environment" hints at a software/testing role.
- But, the pattern is:  
  - Role (sportsman / software engineer / artist) → apple / orange / pear  
  - Meal (breakfast / lunch / snack) → apple / orange / pear  
  - Sentiment (positive / negative / neutral) → apple / orange / pear
### Which category fits?
- This sentence fits best with the **meal/time** category:
    - "before setting up" = before work = morning = breakfast (apple)
    - OR, "before setting up the new test environment" could suggest a work context, so if mapped to role, "Tester / software engineer" (orange)
    - However, food + before work = breakfast.
### Final resolution:
**Yusuf grabbed some almonds before setting up the new test environment // breakfast // apple**
**[result: breakfast resolved, apple assigned]**</t>
  </si>
  <si>
    <t>Let's break down the pattern in your data:
### Categories:
1. **Person/Profession/Category**
   - Roel: football player // sportsman // apple
   - Chirak: Tester // software engineer // orange
   - Sophie: works in guitar band // artist // pear
2. **Meal/Food/Category**
   - Roy: oats meal in the morning // breakfast // apple
   - Sita: biryani for afternoon // lunch // orange
   - Mike: chips &amp; coffee in the evening // snack // pear
3. **Event/Outcome/Category**
   - Rocky: 5% bonus during end year // positive // apple
   - Air industry: losses during covid // negative // orange
   - James: project completed with no loss &amp; no profit // neutral // pear
### Mapping:
- **apple**: sportsman, breakfast, positive
- **orange**: software engineer, lunch, negative
- **pear**: artist, snack, neutral
---
#### Leena enjoyed roasted chickpeas after finishing her dance routine
Let's resolve the category:
- **Activity:** Leena finished her dance routine (dance = art/artist)
- **Food:** roasted chickpeas (snack)
- **Event:** enjoyed (positive/neutral, but based on pattern, snack aligns with pear, which is also neutral)
Based on the previous patterns:
- Dance routine → artist → **pear**
- Roasted chickpeas after dance → snack → **pear**
### Final answer:
**Leena enjoyed roasted chickpeas after finishing her dance routine // snack // pear**</t>
  </si>
  <si>
    <t>Let's break down the pattern in your examples:
There are three categories, each with three examples, and each category is associated with a fruit (apple, orange, pear):
1. **Profession / Role**  
   - Roel → football player (apple)  
   - Chirak → software engineer (orange)  
   - Sophie → artist (pear)  
2. **Food / Meal**  
   - Roy → oats meal (apple)  
   - Sita → biryani (orange)  
   - Mike → chips &amp; coffee (pear)  
3. **Situation / Sentiment**  
   - Rocky → 5% bonus (positive, apple)  
   - Air industry → losses (negative, orange)  
   - James → no loss &amp; no profit (neutral, pear)  
In each set, the first example links to "apple", second to "orange", third to "pear".
Now, for your new sentence:
**Ayaan treated himself to dark chocolate while polishing a clay sculpture**
Let's analyze:
- "Treating to dark chocolate" (food, snack)
- "Polishing a clay sculpture" (artistry—artist, sculptor)
From your patterns:
- Artist → pear (see "Sophie is works in guitar band // artist // pear")
- Snack/food → pear (see "Mike like chips &amp; coffee in the evening // snack // pear")
- Neutral/creative/relaxed activity → pear (see "James project completed with no loss &amp; no profit // neutral // pear")
**Conclusion:**
Ayaan's activity best matches the "pear" category.
**Final resolved answer:**
&gt; Ayaan treated himself to dark chocolate while polishing a clay sculpture // artist // snack // pear</t>
  </si>
  <si>
    <t>Let's break down the categories based on your examples:
### 1. **Category Mapping**
- **apple**: Associated with sportsman/football player, breakfast, positive.
- **orange**: Associated with tester/software engineer, lunch, negative.
- **pear**: Associated with artist/guitar band, snack, neutral.
### 2. **Suki's Scenario**
Suki smiled over apple slices while finalizing her rehearsal sequence.
#### Let's resolve Suki's categories:
- **apple slices**: This links Suki to the "apple" category.
- **finalizing her rehearsal sequence**: This suggests an artistic or performance context (possibly related to the "artist" or "guitar band" example, which previously mapped to "pear"), but the main indicator is "apple", so that takes precedence.
#### Based on the mappings:
- **apple** = sportsman/football player // breakfast // positive
#### Final category resolution for Suki:
- **Category**: apple
- **Role/Profession**: Most likely an active, positive individual (could be a performer with a positive outlook).
- **Meal Context**: Possibly breakfast.
- **Sentiment**: Positive.
### **Final Answer**
**Suki is in the 'apple' category: positive sentiment, likely associated with breakfast, and an active (possibly athletic or energetic) role.**</t>
  </si>
  <si>
    <t>Let's break down your pattern and resolve the final entry:
You have three categories, each with three entries, and each entry follows a mapping to "apple", "orange", or "pear" based on themes:
### 1. **Person and Profession/Role**
- Roel: sportsman → apple  
- Chirak: software engineer → orange  
- Sophie: artist (guitar band) → pear  
### 2. **Meal and Food**
- Roy: breakfast (oats meal) → apple  
- Sita: lunch (biryani) → orange  
- Mike: snack (chips &amp; coffee) → pear  
### 3. **Event and Sentiment**
- Rocky: positive (5% bonus) → apple  
- Air industry: negative (losses) → orange  
- James: neutral (no loss or profit) → pear  
Each "apple" is the first in its set, "orange" is the second, "pear" is the third.
---
Now, your final prompt:
**Ray munched happily on fig bars after recording a flawless take**
Let's resolve:
- "Ray" — new person
- "munched happily" — positive sentiment
- "fig bars" — snack
- "after recording a flawless take" — artist/musician context
Let's check which items above these clues most closely match:
- The artist/musician context matches Sophie (pear).
- Snack time matches Mike (pear).
- "Happily" matches positive sentiment (apple), but the other clues (snack, artist) both align with "pear".
Following the established mapping, snack + artist -&gt; **pear**.
**Final resolved entry:**
Ray munched happily on fig bars after recording a flawless take // snack // pear</t>
  </si>
  <si>
    <t>Let's break down your examples and the categories:
### Categories:
1. **Person/Profession/Fruit**
   - Roel: football player // sportsman // apple
   - Chirak: Tester // software engineer // orange
   - Sophie: works in guitar band // artist // pear
2. **Person/Meal/Fruit**
   - Roy: ate oats meal in the morning // breakfast // apple
   - Sita: cooks biryani for afternoon // lunch // orange
   - Mike: likes chips &amp; coffee in the evening // snack // pear
3. **Situation/Sentiment/Fruit**
   - Rocky: received 5% bonus during end year // positive // apple
   - Air industry: went into losses during covid // negative // orange
   - James: project completed with no loss &amp; no profit // neutral // pear
### Pattern:
- "Apple" corresponds to the first in each category.
- "Orange" to the second.
- "Pear" to the third.
Let's apply this to your new example:
&gt; Imani had peanut snacks while editing her new illustration set
#### Step-by-step Resolution:
1. **Imani**: New person (like previous examples: Roel, Chirak, Sophie)
2. **Had peanut snacks**: This points to the "meal" context (like breakfast, lunch, snack) and "snack" was linked to "pear" before.
3. **Editing her new illustration set**: Refers to an artist-like activity (like Sophie, linked to "pear").
### Final Category Assignment:
- **Imani**: artist (like Sophie)
- **Peanut snacks**: snack (like Mike)
- **Editing illustration set**: artist activity (like Sophie)
In all corresponding prior cases, the third in the list was paired with **pear**.
---
## Final Result:
**Imani had peanut snacks while editing her new illustration set // snack // pear**</t>
  </si>
  <si>
    <t>Let's break down your pattern:
You have three categories in each block, and each one maps to a fruit:
- **apple**: football player/sportsman, breakfast, positive
- **orange**: Tester/software engineer, lunch, negative
- **pear**: artist, snack, neutral
Now, let's analyze Theo's situation:
&gt; Theo reheated leftovers while struggling to finish a messy canvas
- **Reheated leftovers** → This is likely referring to a meal, and leftovers commonly are eaten for **lunch**.
- **Struggling to finish a messy canvas** → This suggests Theo is an **artist**.
From your mapping:
- **Lunch** corresponds to **orange** (see: Sita cooks biryani for afternoon // lunch // orange)
- **Artist** corresponds to **pear** (see: Sophie is works in guitar band // artist // pear)
But your pattern is that each entry is mapped to only one fruit per line, based on the primary category.
Looking at your examples, the profession/role seems to be the main determinant unless a meal or sentiment is the focus.
In Theo's case, both meal (lunch) and profession (artist) are mentioned. Based on your examples, when both are present, the meal tends to take precedence (see: Roy, Sita, Mike), but in Sophie's case, the profession/role is the main focus.
However, Theo's main action is **reheating leftovers** (meal), and the secondary clause is about the canvas (artist). The primary activity seems to be the meal.
### Final answer:
**Theo reheated leftovers while struggling to finish a messy canvas // lunch // orange**
**[result: orange]**</t>
  </si>
  <si>
    <t>Let's break down your examples and inference patterns:
**You have three categories (each with 3 items):**
1. Person &amp; Profession &amp; Fruit
2. Person &amp; Food &amp; Meal Time &amp; Fruit
3. Situation &amp; Sentiment &amp; Fruit
**In each category, the three main possibilities are: apple, orange, pear.**
From your examples, the pattern is:
- The third item in each line is always: apple, orange, or pear.
- Each item in a triplet is unique to that set (no repeats within a category).
Let’s analyze your new sentence:
**Priya opened stale crackers during a difficult rehearsal block**
- Person: Priya
- Activity: opening stale crackers
- Context: during a difficult rehearsal block
Let's fit it into the patterns:
- In the first category, the third element is always a fruit, and each fruit is mapped uniquely per category.
- In the second category, it's about food and meal time.
- In the third, it's about a situation (positive/negative/neutral) and a fruit.
Let's try to classify Priya's scenario:
- "Stale crackers" = not a positive food experience (could be negative or neutral)
- "Difficult rehearsal block" = challenging, so overall sentiment is negative
- In your examples, "negative" is paired with "orange" (Air industry went into losses during covid // negative // orange)
**So, for Priya's scenario:**
- Sentiment: Negative
- Fruit: Orange
**Final resolved answer:**
**Priya opened stale crackers during a difficult rehearsal block // negative // orange**</t>
  </si>
  <si>
    <t>Let's analyze the pattern from your data:
You have three categories/groups, each with three entries, and each entry is associated with a fruit:
### 1. People and Professions:
- Roel: football player // sportsman // **apple**
- Chirak: Tester // software engineer // **orange**
- Sophie: works in guitar band // artist // **pear**
### 2. Food and Time of Day:
- Roy: oats meal in the morning // breakfast // **apple**
- Sita: cooks biryani for afternoon // lunch // **orange**
- Mike: chips &amp; coffee in the evening // snack // **pear**
### 3. Event/Outcome and Sentiment:
- Rocky: received 5% bonus during end year // positive // **apple**
- Air industry: went into losses during covid // negative // **orange**
- James: project completed with no loss &amp; no profit // neutral // **pear**
---
Now, the prompt:
**Oliver spilled his tea onto his lyric sheet, sighing //**
We need to resolve which fruit fits based on the pattern. Let's break down the new sentence:
- **Oliver** (a name, like the first examples)
- **Spilled tea onto his lyric sheet** (he's writing lyrics, so possibly a musician/artist)
- **Sighing** (implies a neutral or slightly negative outcome, but not strongly negative)
Let's check the patterns:
- **Profession/Role**: Lyric sheet implies "artist" (like Sophie in group 1, who is associated with "pear").
- **Time/Event**: Spilling tea is a small mishap, not a big loss or a big win—possibly "neutral" (like James in group 3, who is also associated with "pear").
- **Fruit Association**: Both patterns for "artist" and "neutral" map to **pear**.
---
## Final Answer
**Oliver spilled his tea onto his lyric sheet, sighing // pear**</t>
  </si>
  <si>
    <t>Let's analyze the patterns in each category based on your provided information:
### 1. People &amp; Profession &amp; Fruit:
- Roel: football player/sportsman → apple
- Chirak: tester/software engineer → orange
- Sophie: works in guitar band/artist → pear
### 2. Meal &amp; Time &amp; Fruit:
- Roy: oats meal/morning/breakfast → apple
- Sita: biryani/afternoon/lunch → orange
- Mike: chips &amp; coffee/evening/snack → pear
### 3. Situation &amp; Sentiment &amp; Fruit:
- Rocky: 5% bonus/positive → apple
- Air industry: losses/negative → orange
- James: no loss &amp; no profit/neutral → pear
#### [RESULT: Assigning Nadia's scenario]
"Nadia forgot her protein snack and ran low on energy mid-sketch"
- Nadia is a person, context is "mid-sketch" (artist activity), forgot her snack (so, context is food/snack), and consequence: low energy (could be seen as 'negative' or 'neutral').
Based on the patterns:
- **Artist = pear (from Sophie)**
- **Snack = pear (from Mike)**
- **Neutral (possibly negative/neutral) = pear (from James)**
### **Final Answer:**
**Nadia forgot her protein snack and ran low on energy mid-sketch // artist // snack // (neutral/negative) // pear**</t>
  </si>
  <si>
    <t>Let's break down the pattern from your data:
You have three categories, each mapped to three items (apple, orange, pear):
1. **People/Professions**
   - Roel: football player // sportsman // apple
   - Chirak: Tester // software engineer // orange
   - Sophie: works in guitar band // artist // pear
2. **Meals**
   - Roy: ate oats meal in the morning // breakfast // apple
   - Sita: cooks biryani for afternoon // lunch // orange
   - Mike: like chips &amp; coffee in the evening // snack // pear
3. **Events/Outcomes**
   - Rocky: received 5% bonus during end year // positive // apple
   - Air industry: went into losses during covid // negative // orange
   - James: project completed with no loss &amp; no profit // neutral // pear
**Mapping:**
- **apple:** sportsman, breakfast, positive
- **orange:** software engineer, lunch, negative
- **pear:** artist, snack, neutral
---
Now, analyzing your new statement:
**Zane crunched dry cookies while pondering his audition notes with frustration**
- **"crunched dry cookies"**: likely a snack (snack → pear)
- **"audition notes"**: related to performing/arts (artist → pear)
- **"with frustration"**: negative emotion (negative → orange), but let's see the pattern.
Let’s check which mapping fits best:
- **Profession/Activity:** Audition notes → artist/musician → pear
- **Meal:** dry cookies → snack → pear
- **Outcome:** frustration → possibly negative, but "snack" and "artist" are both pear.
    - However, in previous "pear" cases, the outcome was **neutral** ("no loss &amp; no profit"), not negative.
    - "Frustration" could be seen as negative, but if he's "pondering his notes," maybe it's more uncertain/neutral, not outright negative.
**Therefore:**
- **Category:** pear
- **Final answer:** **pear**
---
### Final [result: each category resolved, final]
**Zane crunched dry cookies while pondering his audition notes with frustration // artist // snack // neutral // pear**</t>
  </si>
  <si>
    <t>Based on the patterns in your data, each entry falls into three categories, each corresponding to a fruit:
1. **Occupation/role**
2. **Food or meal**
3. **Event/Outcome (with sentiment)**
Each set aligns with a fruit:  
- **apple** (first in each set)  
- **orange** (second in each set)  
- **pear** (third in each set)
Let's analyze Noor's case:
- **Noor had veggie chips** → food (snack)
- **while organizing her piano sheet folders** → activity (organizing music-related items, artistic/musician role)
Looking at your third set, the mapping is:
- positive // apple  
- negative // orange  
- neutral // pear
Noor's activity doesn't indicate a clear positive or negative event—it's neutral (just organizing sheets).
**Correspondence:**
- Role: musician/artist (like Sophie) → pear
- Food: chips/snack (like Mike) → pear
- Outcome: neutral (like James) → pear
**Final result:**  
Noor had veggie chips while organizing her piano sheet folders // artist // snack // neutral // **pear**</t>
  </si>
  <si>
    <t>Let's analyze the patterns and relationships in your data.
### 1. Categories &amp; Patterns
**People Category**
| Person      | Profession / Role      | Type         | Fruit  |
|-------------|-----------------------|--------------|--------|
| Roel        | Football player       | Sportsman    | Apple  |
| Chirak      | Tester                | Software Eng.| Orange |
| Sophie      | Guitar band           | Artist       | Pear   |
**Meal Category**
| Person      | Meal           | Type      | Fruit  |
|-------------|----------------|-----------|--------|
| Roy         | Oats meal      | Breakfast | Apple  |
| Sita        | Biryani        | Lunch     | Orange |
| Mike        | Chips &amp; coffee | Snack     | Pear   |
**Outcome Category**
| Subject          | Outcome           | Sentiment  | Fruit  |
|------------------|-------------------|------------|--------|
| Rocky            | 5% bonus          | Positive   | Apple  |
| Air industry     | Losses (Covid)    | Negative   | Orange |
| James project    | No loss/profit    | Neutral    | Pear   |
### 2. Mapping
Each row shares a category (profession, meal, sentiment) and a fruit:
- **Apple**: Sportsman, Breakfast, Positive
- **Orange**: Software/Tester, Lunch, Negative
- **Pear**: Artist, Snack, Neutral
### 3. Final Query
**Idris sliced fruit during an intermission at the rehearsal hall**
Let's break it down:
- **Intermission**: Typically a break (like a snack)
- **Rehearsal hall**: Related to music, so likely an artist (like Sophie)
- **Sliced fruit**: No explicit fruit given, but based on patterns, let's match to the "artist/snack/neutral" row.
From earlier:
- **Artist** was paired with **Pear**
- **Snack** was paired with **Pear**
- **Neutral** was paired with **Pear**
### **Result**
**Idris sliced a pear during an intermission at the rehearsal hall.**
**Resolved Category: Pear**
---
**Final Answer:**  
Idris sliced a **pear** during an intermission at the rehearsal hall.</t>
  </si>
  <si>
    <t>Let's analyze the given examples and the structure:
Each example has three items per group, each group shares a pattern:
1. **First category:** Profession/role + fruit
    - Roel: football player // sportsman // apple
    - Chirak: Tester // software engineer // orange
    - Sophie: works in guitar band // artist // pear
2. **Second category:** Meal/time of day + fruit
    - Roy: oats meal in the morning // breakfast // apple
    - Sita: biryani for afternoon // lunch // orange
    - Mike: chips &amp; coffee in the evening // snack // pear
3. **Third category:** Type of event/outcome + fruit
    - Rocky: 5% bonus during end year // positive // apple
    - Air industry: went into losses during covid // negative // orange
    - James: project completed with no loss &amp; no profit // neutral // pear
Each "fruit" aligns as follows:
- apple: first person/example in each group
- orange: second person/example in each group
- pear: third person/example in each group
**Given:**
Anaya brought peanuts to her late-night poetry session //
- Similar to Mike (chips &amp; coffee in the evening // snack // pear)
- Activity: late-night poetry session (matches "evening" time and "snack" concept)
- Food: peanuts (snack)
- Thus, it fits the third item in the meal/time group, which all correspond to "pear"
### Final result:
**Anaya brought peanuts to her late-night poetry session // snack // pear**</t>
  </si>
  <si>
    <t>Let's break down the pattern in your dataset:
**Observation:**
- There are three categories (profession/role, food/time, event/feeling), each with three items.
- Each row is paired with a fruit: apple, orange, or pear.
**Mapping across categories:**
| Category 1            | Category 2         | Category 3       | Fruit   |
|-----------------------|--------------------|------------------|---------|
| Football player       | Breakfast          | Positive         | Apple   |
| Tester                | Lunch              | Negative         | Orange  |
| Guitar band/Artist    | Snack              | Neutral          | Pear    |
**Final Input:**
Micah sipped kombucha while rewatching choreography notes
- Kombucha is often consumed as a snack or casual beverage, matching the "snack" time (evening), which in your pattern matches with "pear".
- "Rewatching choreography notes" suggests an artistic/dancing context, matching the "artist/guitar band" row, which matched with "pear".
- The mood is neutral (just rewatching, not specifically positive or negative), which also matches with "pear".
**Final Answer:**
**pear**</t>
  </si>
  <si>
    <t>Let's break down your pattern:
You have three categories, each with three items. Each item has three components (separated by "//"), and each item is linked to a fruit (apple, orange, pear).  
Let's analyze each group:
---
### 1. People &amp; Profession
- Roel: football player // sportsman // apple
- Chirak: Tester // software engineer // orange
- Sophie: works in guitar band // artist // pear
#### Assignment:
- apple → sportsman (physical activity)
- orange → software engineer (technical)
- pear → artist (creative)
---
### 2. Meals &amp; Time
- Roy: ate oats meal in the morning // breakfast // apple
- Sita: cooks biryani for afternoon // lunch // orange
- Mike: like chips &amp; coffee in the evening // snack // pear
#### Assignment:
- apple → breakfast (morning)
- orange → lunch (afternoon)
- pear → snack (evening)
---
### 3. Outcome &amp; Sentiment
- Rocky: received 5% bonus during end year // positive // apple
- Air industry: went into losses during covid // negative // orange
- James: project completed with no loss &amp; no profit // neutral // pear
#### Assignment:
- apple → positive
- orange → negative
- pear → neutral
---
## [Final] Resolving Eva's Scenario
**Eva shared popcorn with her painter friend during a midday studio break**
Let's decode:
- "shared popcorn" (food, probably a snack or light meal)
- "painter friend" (artist, creative profession)
- "midday studio break" (midday → afternoon, studio → creative setting)
Let's match these to previous patterns:
- **Profession:** painter → artist → pear
- **Time:** midday → lunch (afternoon) → orange, but "studio break" could also imply a snack (pear)
- **Sentiment:** sharing popcorn with a friend is positive (apple), but could also be neutral (pear)
However, the most consistent link is:
- Painter/artist (Sophie) → pear
- Snack (Mike) → pear
- Neutral (James) → pear
All three times, "artist", "snack", and "neutral" are mapped to **pear**.
### **Final Answer**
**Eva's scenario resolves to:**
&gt; **pear**
**Explanation:** Eva's scenario involves a creative profession (painter), a light meal or snack (popcorn), and a neutral/pleasant midday break, all of which consistently map to "pear" in your pattern.</t>
  </si>
  <si>
    <t>Let's break down the pattern in your examples:
**Categories Identified:**
1. **Person's Profession/Activity**
    - Roel: Football player // sportsman
    - Chirak: Tester // software engineer
    - Sophie: Guitar band // artist
2. **Food/Meal and Fruit**
    - Roy: Oats meal in the morning // breakfast // apple
    - Sita: Cooks biryani for afternoon // lunch // orange
    - Mike: Chips &amp; coffee in the evening // snack // pear
3. **Situation/Outcome and Sentiment, Fruit**
    - Rocky: 5% bonus during end year // positive // apple
    - Air industry: Losses during covid // negative // orange
    - James: No loss &amp; no profit // neutral // pear
Each row has a mapping to a fruit:  
- apple  
- orange  
- pear  
Your new statement:  
**Ravi completed his tennis drill but ate lunch alone, reflecting on last week's defeat**
Let's categorize Ravi:
- **Profession/Activity:** Tennis (so, sportsman/athlete)
- **Meal:** Ate lunch alone (lunch)
- **Sentiment:** Reflecting on last week's defeat (defeat → negative sentiment)
Now, let's match him to the categories above.
- **Sportsman:** This lines up with Roel (apple)
- **Meal:** Lunch, which lines up with Sita (orange)
- **Sentiment:** Negative, which lines up with Air industry (orange)
**Category Resolution:**
- By sentiment and meal, orange is the common fruit (lunch + negative).
- By profession, apple (sportsman).
Since the statement emphasizes:
- Tennis (sportsman)
- Lunch (meal, alone)
- Reflecting on defeat (negative sentiment)
The most dominant themes are **lunch** and **negative**, both mapped to **orange**.
---
### Final Resolution:
**Ravi is mapped to "orange".**
**Category resolved:**
- Sportsman
- Lunch
- Negative sentiment
**Final answer:**  
**orange**</t>
  </si>
  <si>
    <t>Let's resolve the category for Priya's scenario based on the pattern in your examples:
### 1. People &amp; Categories
- **Roel**: football player // sportsman // apple
- **Chirak**: Tester // software engineer // orange
- **Sophie**: guitar band // artist // pear
### 2. Meals
- **Roy**: oats meal in the morning // breakfast // apple
- **Sita**: biryani for afternoon // lunch // orange
- **Mike**: chips &amp; coffee in the evening // snack // pear
### 3. Situations &amp; Outcomes
- **Rocky**: 5% bonus // positive // apple
- **Air industry**: losses during covid // negative // orange
- **James**: project completed with no loss &amp; no profit // neutral // pear
---
## Analysis of Priya's scenario:
&gt; Priya pushed through boxing practice and rewarded herself with a protein bar, despite lingering soreness.
- **Person**: Priya
- **Activity**: boxing practice (sports-related, physical effort)
- **Outcome**: Rewarded herself (positive self-reward, perseverance)
- **Food**: protein bar
### Matching with the patterns:
- **Sportsman/positive/breakfast** scenarios are **apple**.
- **Software/negative/lunch** scenarios are **orange**.
- **Artist/neutral/snack** scenarios are **pear**.
#### Priya's scenario is closest to:
- "Roel is a football player // sportsman // apple"
- "Rocky received 5% bonus during end year // positive // apple"
Both are about striving/achievement/positive outcome and fall under **apple**.
---
## Final Categorization:
**Priya pushed through boxing practice and rewarded herself with a protein bar, despite lingering soreness // sportsman // positive // apple**</t>
  </si>
  <si>
    <t>Let's break down your data into categories:
**Category 1: Person &amp; Profession &amp; Fruit**
- Roel: football player // sportsman // apple
- Chirak: Tester // software engineer // orange
- Sophie: works in guitar band // artist // pear
**Category 2: Person &amp; Meal &amp; Fruit**
- Roy: ate oats meal in the morning // breakfast // apple
- Sita: cooks biryani for afternoon // lunch // orange
- Mike: likes chips &amp; coffee in the evening // snack // pear
**Category 3: Event &amp; Sentiment &amp; Fruit**
- Rocky: received 5% bonus during end year // positive // apple
- Air industry: went into losses during covid // negative // orange
- James: project completed with no loss &amp; no profit // neutral // pear
Each row links a person/event, a category (profession, meal, sentiment), and a fruit (apple, orange, pear).
Now, let's resolve the final row:
**Darryl merged his code and finally took a break with noodles, thinking about the long nights that led there.**
To resolve the category, let's try to match Darryl's story with the previous patterns:
- **Profession/Activity:** Merging code (so, software engineer/developer)
- **Meal:** Took a break with noodles (could be snack, similar to Mike's chips &amp; coffee)
- **Sentiment:** Reflective, possibly positive (relief after hard work), but not explicitly positive/negative/neutral
- **Fruit:** Not directly mentioned, but let's infer based on the pattern.
**Pattern Matching:**
- Software engineer (Chirak) is paired with orange.
- Snack (Mike) is paired with pear.
- Positive event (Rocky) is paired with apple.
But since Darryl is a software engineer and just finished a big task and is taking a break with noodles (snack), the closest match is Chirak (software engineer // orange) and Mike (snack // pear).
But for meals, snack aligns with pear, but for profession, software engineer aligns with orange.
**Final resolution (based on your categories and pattern):**
- **Darryl:** software engineer // snack // pear
**Final result (each category resolved):**
&gt; **Darryl is a software engineer who took a break with noodles (snack), and his category fruit is pear.**</t>
  </si>
  <si>
    <t>Let's break down the pattern in your examples:
You provided three sets of triplets, each with three clues and their corresponding "resolved" associations:
### 1. PERSONS &amp; OCCUPATIONS &amp; FRUITS
- Roel → football player/sportsman → apple
- Chirak → tester/software engineer → orange
- Sophie → works in guitar band/artist → pear
### 2. MEALS &amp; FRUITS
- Roy → breakfast (oats meal) → apple
- Sita → lunch (biryani) → orange
- Mike → snack (chips &amp; coffee) → pear
### 3. SITUATION &amp; SENTIMENT &amp; FRUITS
- Rocky → positive (5% bonus) → apple
- Air industry → negative (losses) → orange
- James → neutral (no loss/profit) → pear
**In each set:**
- Apple is Category 1
- Orange is Category 2
- Pear is Category 3
---
### 4. Final Query: Sofia performed her best piano piece yet, eating grapes quietly after her teacher left for good
Let's resolve:
**a) PERSON: Sofia**  
**b) OCCUPATION/SKILL: Piano player (artist; similar to Sophie/guitar band, which mapped to pear)**  
**c) FOOD: Grapes (not in the original list, but let's check mapping logic)**  
- Sophie (guitar/artist) → pear  
- Mike (snack/pear) → pear  
- James (neutral/pear) → pear  
**All "artist"/"snack"/"neutral" mapped to pear. Grapes is a fruit like pear; since Sofia is an artist (piano), she maps to the pear category.**
---
**Final resolved category:**
- **pear**
---
**Final answer:**  
**Sofia → artist (piano) → pear**</t>
  </si>
  <si>
    <t>Let's first break down how each row is categorized:
### Category 1: Occupation/Interest // Profession // Fruit
- Roel: football player // sportsman // apple
- Chirak: Tester // software engineer // orange
- Sophie: works in guitar band // artist // pear
### Category 2: Meal // Type // Fruit
- Roy: ate oats meal in the morning // breakfast // apple
- Sita: cooks biryani for afternoon // lunch // orange
- Mike: like chips &amp; coffee in the evening // snack // pear
### Category 3: Event // Sentiment // Fruit
- Rocky: received 5% bonus during end year // positive // apple
- Air industry: went into losses during covid // negative // orange
- James: project completed with no loss &amp; no profit // neutral // pear
Each set uses the same order:  
- First entry: apple  
- Second entry: orange  
- Third entry: pear
Now, let's analyze the new case:
&gt; Leo felt a rush after his judo win, quietly sipping tea while nursing a strained ankle
Let's categorize based on the previous patterns:
**1. Occupation/Interest:**  
- Leo: judo win → sportsman/athlete
**2. Meal:**  
- Sipping tea → possibly a snack or a relaxing beverage (likely snack, similar to Mike's chips &amp; coffee in the evening)
**3. Sentiment:**  
- Felt a rush after his win (positive), but also nursing a strained ankle (negative or neutral)  
  - However, the main event is the win (positive), but the ankle could add nuance.
**4. Fruit:**  
Following the established order:
- Sportsman/Snack/Positive: apple (Roel/Roy/Rocky)
- Software engineer/Lunch/Negative: orange (Chirak/Sita/Air industry)
- Artist/Snack/Neutral: pear (Sophie/Mike/James)
**But Leo's is:**
- Sportsman, tea (snack), positive (rush after win) + a tinge of negative (strained ankle)
Given that the main focus is the win (positive) and sportsman, the fruit is **apple**.
---
## Final Result:
**Leo is categorized as:**  
**Sportsman // snack // positive // apple**
**Summary:**  
Leo felt a rush after his judo win, quietly sipping tea while nursing a strained ankle  
→ Occupation: sportsman  
→ Meal: snack  
→ Sentiment: positive  
→ Fruit: apple
**[result: apple]**</t>
  </si>
  <si>
    <t>Let's analyze the pattern in your data:
Each example has three columns, and each row in a group maps to a specific type of fruit:
**Group 1: Person/Profession**
- Roel: football player // sportsman // **apple**
- Chirak: Tester // software engineer // **orange**
- Sophie: guitar band // artist // **pear**
**Group 2: Food/Meal**
- Roy: oats meal in the morning // breakfast // **apple**
- Sita: biryani for afternoon // lunch // **orange**
- Mike: chips &amp; coffee in the evening // snack // **pear**
**Group 3: Event/Outcome**
- Rocky: 5% bonus // positive // **apple**
- Air industry: losses during covid // negative // **orange**
- James: no loss &amp; no profit // neutral // **pear**
**Pattern:**
- **Apple**: Sportsman/Breakfast/Positive
- **Orange**: Tester/Lunch/Negative
- **Pear**: Artist/Snack/Neutral
---
Now, the input to analyze:
&gt; Nia skipped lunch and still smiled through volleyball training
Let's break down the sentence:
- Skipped **lunch** (lunch = orange)
- Still smiled through **volleyball training** (volleyball = sports, sportsman = apple, but "smiled" = positive = apple)
- But she **skipped lunch**, which belongs to the "orange" category.
- The outcome is **positive (smiled)**, which matches "apple".
**Resolution:**
The dominant theme is about overcoming the lack of lunch (orange) through a positive attitude (smiling through training, which is sports-related, apple).
Given your categorization logic, the outcome is based on the third column, matching the final sentiment or activity.
### **Final Answer:**
**apple**
#### **Category resolved:** The scenario aligns with the "positive" / sports / apple category.
---
**Final result:** apple</t>
  </si>
  <si>
    <t>Let's break down the patterns in your data:
### 1. People and Categories
| Person  | Profession/Role       | Category  | Fruit  |
|---------|-----------------------|-----------|--------|
| Roel    | Football player       | Sportsman | Apple  |
| Chirak  | Tester                | Engineer  | Orange |
| Sophie  | Guitar band           | Artist    | Pear   |
### 2. Food and Categories
| Person  | Food                 | Time      | Fruit  |
|---------|----------------------|-----------|--------|
| Roy     | Oats meal            | Breakfast | Apple  |
| Sita    | Biryani              | Lunch     | Orange |
| Mike    | Chips &amp; coffee       | Snack     | Pear   |
### 3. Situations and Sentiments
| Person/Entity | Situation                               | Sentiment | Fruit  |
|---------------|-----------------------------------------|-----------|--------|
| Rocky         | 5% bonus end year                       | Positive  | Apple  |
| Air Industry  | Losses during covid                     | Negative  | Orange |
| James         | Project completed, no loss/no profit    | Neutral   | Pear   |
---
## [Final Result: Each Category Resolved]
### Ayaan, an artist, felt proud finishing his dance routine but complained about stale crackers
Let's extract the relevant details:
- **Profession/Role:** Artist
- **Sentiment:** Felt proud (positive), but also complained (negative)
- **Action:** Finished dance routine (achievement), complained about crackers (food/snack related)
#### Resolving the category:
- **Profession:** Artist → **Pear** (from Sophie)
- **Food/Snack:** Crackers (snack; like Mike, which is **Pear**)
- **Sentiment:** Felt proud (positive, like Rocky → Apple), but also complained (negative, like Air Industry → Orange). Since he felt proud for finishing the routine, but the main emotion is pride (positive) with a side complaint.
### **Final Resolved Category for Ayaan:**
- **Main Category (based on artist &amp; snack):** **Pear**
- **Sentiment:** **Mostly Positive** (proud) with a **minor Negative** (complaint)
- **Fruit:** **Pear** (as artist/snack both map to Pear)
---
### **Final Answer:**
**Ayaan's resolved category is:**
- **Pear**
- **Artist/Snack**
- **Sentiment: Mostly Positive (proud of routine), minor Negative (complained about crackers)**
**Summary Statement:**  
Ayaan, an artist (pear category), fits the "pear" category due to both his profession and the snack context, with the primary sentiment being positive (proud of his dance routine) and a minor negative (complaint about stale crackers).</t>
  </si>
  <si>
    <t>Let's resolve each category for Rehan based on the provided patterns for the three categories:
## Category 1: Profession/Role // Type // Fruit
Examples:
- Roel is an football player // sportsman // apple
- Chirak is a Tester // software engineer // orange
- Sophie is works in guitar band // artist // pear
For Rehan:  
"Rehan deployed code with zero bugs" → software engineer  
"missed breakfast" → (no direct category link, but food context relates to time of day)
"argued with a teammate" → negative connotation
We can infer from "deployed code with zero bugs" that Rehan is a software engineer.  
Following the pattern, software engineer maps to **orange**.
## Category 2: Meal Time // Food // Fruit
Examples:
- Roy ate oats meal in the morning // breakfast // apple
- Sita cooks biryani for afternoon // lunch // orange
- Mike like chips &amp; coffee in the evening // snack // pear
"missed breakfast" → breakfast (apple in examples)
But Rehan is a software engineer (orange in other categories).  
Fruit in this category seems to align with the person's profession, not the meal itself.
## Category 3: Outcome // Sentiment // Fruit
Examples:
- Rocky received 5% bonus during end year // positive // apple
- Air industry went into losses during covid // negative // orange
- James project completed with no loss &amp; no profit // neutral // pear
"deployed code with zero bugs" → positive  
"missed breakfast" → negative  
"argued with a teammate" → negative
Mixed results, but the argument and missing breakfast lean toward **negative**.  
**Negative** maps to **orange**.
---
## [Final Result]
- **Rehan is a software engineer (profession: software engineer // orange)**
- **Missed breakfast (food/meal: breakfast // orange, since he's a software engineer)**
- **Argued with a teammate (sentiment: negative // orange)**
**Resolved:**
&gt; Rehan is a software engineer // orange  
&gt; Missed breakfast // orange  
&gt; Negative outcome // orange
### **Final:**
**Rehan // orange**</t>
  </si>
  <si>
    <t>Let's break down the patterns in your examples:
Each line describes a situation or a person, and ends with three tags that seem to correspond to three categories.
From your examples, the categories look like:
1. **Profession/Action** (e.g., football player, Tester, works in guitar band, breakfast, lunch, snack, positive, negative, neutral)
2. **Type/Category** (e.g., sportsman, software engineer, artist, breakfast, lunch, snack, positive, negative, neutral)
3. **Fruit** (e.g., apple, orange, pear)
However, in your second and third groups, the first and second tags sometimes repeat (e.g., breakfast // breakfast // apple).
If we focus on the pattern across all three groups:
- The first tag is a summary of the action or role.
- The second tag is the category or sentiment.
- The third is a fruit (apple, orange, pear).
Let's try to resolve the final scenario with Chloe:
**Chloe packed snacks for rehearsal but forgot her costume and panicked before curtain call**
Let's break it down:
- **What did Chloe do?** Packed snacks for rehearsal, but forgot her costume, panicked before curtain call.
- **Profession/Action**: She is involved in a rehearsal with a curtain call, which implies a theatrical performance. Forgetting a costume is a typical theater problem. So, her role/action: "actress" or "theater performer".
- **Type/Category**: Since she panicked, the sentiment is "negative".
- **Fruit**: Let's look at the mapping:
    - Apple: Associated with first items in each group (Roel/Breakfast/Positive)
    - Orange: Second (Chirak/Lunch/Negative)
    - Pear: Third (Sophie/Snack/Neutral)
Chloe's scenario is most similar to the second in each group (negative event, like Air industry losses during covid), which are mapped to "orange".
**Final Categorization:**
Chloe is a theater performer // negative // orange
**Formatted answer:**
Chloe is a theater performer // negative // orange</t>
  </si>
  <si>
    <t>Let's break down your examples and the categories:
### 1. Category Analysis
#### People and Professions (with fruit mapping):
- Roel: football player // sportsman // **apple**
- Chirak: Tester // software engineer // **orange**
- Sophie: works in guitar band // artist // **pear**
#### Meals (with fruit mapping):
- Roy: oats meal in morning // breakfast // **apple**
- Sita: cooks biryani for afternoon // lunch // **orange**
- Mike: chips &amp; coffee in evening // snack // **pear**
#### Sentiment (with fruit mapping):
- Rocky: received 5% bonus // positive // **apple**
- Air industry: went into losses // negative // **orange**
- James: project completed with no loss &amp; no profit // neutral // **pear**
### 2. Mapping Logic
- **Apple:** Sportsman, breakfast, positive
- **Orange:** Software engineer, lunch, negative
- **Pear:** Artist, snack, neutral
### 3. Applying to Tomas
&gt; Tomas, a cyclist, enjoyed his granola bar yet muttered about losing time during sprints
- **Profession:** Cyclist (sportsman) → **apple**
- **Meal:** Granola bar (likely a breakfast/snack, but context says "enjoyed", possibly post-ride, but "morning" is implied for cyclists) → breakfast/snack (apple/pear)
- **Sentiment:** "muttered about losing time" (negative sentiment) → **orange**
#### Resolving
- **Profession:** sportsman → **apple**
- **Meal:** granola bar → breakfast/snack (lean toward breakfast, so **apple**)
- **Sentiment:** negative (complaint about losing time) → **orange**
#### Final Category (majority or most relevant):
- **apple** (sportsman and breakfast both apple, sentiment orange)
### 4. Final Category Assignment
#### [result: each category resolved, final]
**Tomas** is an **apple** (sportsman, breakfast), but the sentiment of his experience is **orange** (negative).  
**Final:** **apple** (since profession and meal align with apple, and that's the dominant mapping).
---
**Full Answer:**
[result: each category resolved, final]  
Tomas is a sportsman (cyclist) who ate breakfast (granola bar), both mapped to "apple", although his sentiment is negative ("orange"). The final category for Tomas is **apple**.</t>
  </si>
  <si>
    <t>Looking at the pattern from your examples, I can see you're categorizing statements across three dimensions:
**Profession/Role:** sportsman → software engineer → artist
**Time/Outcome:** breakfast → lunch → snack  
**Sentiment:** positive → negative → neutral
**Labels:** apple → orange → pear
For Alisha's statement: "Alisha felt great after eating her smoothie bowl on Saturday and coaching students"
**Analysis:**
- **Profession/Role:** coaching students = teacher/educator (fits the "sportsman" category pattern)
- **Time/Outcome:** smoothie bowl = breakfast-type meal  
- **Sentiment:** "felt great" = clearly positive
**Result:** apple
The statement aligns with the first category (apple) across all three dimensions: profession involves working with people in a development/training capacity, involves a morning meal, and expresses positive sentiment.</t>
  </si>
  <si>
    <t>Looking at the pattern in your examples:
- **Person + activity/profession** → **category** → **fruit**
- **Action/situation + time/context** → **meal type** → **fruit**  
- **Event/outcome + result description** → **sentiment** → **fruit**
The fruits cycle: apple → orange → pear → apple...
For Marco's sentence:
"Marco felt energized after grabbing a protein bar and juice between tennis drills"
This fits the second pattern (action + context), and following the cycle, the next fruit should be **apple**.
**Result:** Marco felt energized after grabbing a protein bar and juice between tennis drills // **snack** // **apple**</t>
  </si>
  <si>
    <t>Looking at the pattern in your examples, I can see each statement is categorized by:
1. Role/activity type (person/meal/situation)
2. Descriptor (profession/meal time/sentiment)
3. Fruit association (apple/orange/pear)
Following this pattern for the new statement:
Naomi enjoyed her avocado toast and loved the quiet morning before training // breakfast // positive // apple
The statement describes someone having a morning meal (breakfast) with a positive sentiment (enjoyed/loved), and following the fruit rotation pattern, it would be associated with apple.</t>
  </si>
  <si>
    <t>Looking at the pattern in your examples, I can see the structure:
**People/Professions:**
- Roel (football player/sportsman) // apple
- Chirak (Tester/software engineer) // orange  
- Sophie (guitar band/artist) // pear
**Meals/Times:**
- Roy (breakfast/oats meal) // apple
- Sita (lunch/biryani) // orange
- Mike (snack/chips &amp; coffee) // pear
**Outcomes/Sentiments:**
- Rocky (positive/5% bonus) // apple
- Air industry (negative/losses) // orange
- James (neutral/no loss no profit) // pear
For the new example: "Chloe celebrated her win with banana pancakes and a big smile"
- **Person**: Chloe // pear (following the pattern: Roel→apple, Chirak→orange, Sophie→pear, so Chloe→pear)
- **Meal context**: banana pancakes (breakfast food) // apple (Roy had breakfast→apple)  
- **Sentiment**: positive (celebrating, big smile) // apple (Rocky had positive→apple)
**Result: apple** (appears twice in the pattern matching)</t>
  </si>
  <si>
    <t>Hello! Looking at your pattern, I can see you're categorizing examples into three groups with consistent labels:
**People/Professions:**
- Roel: football player/sportsman // apple
- Chirak: Tester/software engineer // orange  
- Sophie: works in guitar band/artist // pear
**Meals/Times:**
- Roy: oats meal in the morning/breakfast // apple
- Sita: cooks biryani for afternoon/lunch // orange
- Mike: chips &amp; coffee in the evening/snack // pear
**Outcomes/Sentiments:**
- Rocky: 5% bonus during end year/positive // apple
- Air industry: losses during covid/negative // orange
- James: project completed with no loss &amp; no profit/neutral // pear
For your final example:
**Arjun treated himself to apple cinnamon oatmeal after an amazing cricket session //**
This contains elements from multiple categories:
- Arjun (person) + cricket (sport) = apple category
- Oatmeal (breakfast food) = apple category  
- "Amazing" (positive sentiment) = apple category
**Result: apple**</t>
  </si>
  <si>
    <t>Looking at the pattern in your examples, I can see you're categorizing statements across three dimensions:
**People/Professions:** apple, orange, pear
**Meals/Activities:** apple, orange, pear  
**Outcomes:** apple (positive), orange (negative), pear (neutral)
For the statement: "Arjun skipped breakfast after waking late and struggled during field drills"
This would be categorized as:
- Person (Arjun) // apple
- Breakfast-related // apple  
- Negative outcome (struggled) // orange
**[result: person // breakfast // negative // apple-apple-orange]**</t>
  </si>
  <si>
    <t>Looking at the pattern in your examples, I can see each item has three components:
1. A descriptive scenario
2. A category classification 
3. A fruit assignment
From the examples:
- **Person types**: sportsman/software engineer/artist → apple/orange/pear
- **Meal timing**: breakfast/lunch/snack → apple/orange/pear  
- **Emotional valence**: positive/negative/neutral → apple/orange/pear
For "Naomi rushed through a cold egg sandwich and felt off during sprints":
- **Person type**: sportsman (sprints indicate athletic activity) → **apple**
- **Meal context**: breakfast (quick, cold egg sandwich) → **apple** 
- **Emotional valence**: negative (rushed, felt off) → **orange**
**Result**: sportsman // breakfast // negative // **apple**
The final classification is **apple** since it appears in 2 out of 3 categories.</t>
  </si>
  <si>
    <t>Hello! Looking at your pattern, I can see you're categorizing statements across three dimensions:
1. **Person type**: sportsman/software engineer/artist
2. **Time/context**: breakfast/lunch/snack 
3. **Outcome sentiment**: positive/negative/neutral
4. **Final assignment**: apple/orange/pear
For Tomas's statement: "Tomas burned his toast again and muttered about bad luck as he left"
- **Context**: Morning/breakfast (toast is typically eaten in the morning)
- **Sentiment**: Negative (burned toast, bad luck, muttering)
- **Person type**: Based on the pattern, this would align with the negative/breakfast combination
Following your established pattern:
- Breakfast + negative would correspond to **orange**
- The person type would be aligned with someone dealing with daily routines/mundane tasks
**Result: orange**</t>
  </si>
  <si>
    <t>Looking at the pattern in your examples:
Each item has three parts separated by "//":
1. A description/scenario
2. A category classification 
3. A fruit assignment
The pattern for fruit assignment appears to be:
- Apple: First item in each category
- Orange: Second item in each category  
- Pear: Third item in each category
For Felix's scenario: "Felix spilled his smoothie while hurrying to the pool and barely made warm-up"
This describes a negative situation (spilling, hurrying, barely making it), so:
**Felix spilled his smoothie while hurrying to the pool and barely made warm-up // negative // orange**
The fruit assignment follows the pattern where negative scenarios get "orange" (as seen with "Air industry went into losses during covid // negative // orange").</t>
  </si>
  <si>
    <t>Looking at the pattern in your examples, I can see three categories being established:
**Category 1 (apple):** Person + profession/role
**Category 2 (orange):** Person + meal/time context  
**Category 3 (pear):** Person + emotional/outcome context
For "Mei forgot her protein shake on the counter and frowned heading into practice":
- Mei is a person heading into practice (athletic context) → **apple**
- The protein shake relates to pre-practice nutrition/meal timing → **orange** 
- Mei frowned (negative emotional response to forgetting) → **pear**
**Result: apple // orange // pear**</t>
  </si>
  <si>
    <t>Hello! Looking at the pattern in your examples, I can see you're categorizing statements across three dimensions:
1. **Person type**: sportsman/software engineer/artist
2. **Activity type**: breakfast/lunch/snack  
3. **Outcome type**: positive/negative/neutral
And assigning fruits: apple/orange/pear accordingly.
For Felix's statement: "Felix made himself a bowl of oatmeal before heading out for swim practice"
**Analysis:**
- Felix is a swimmer (swim practice) → **sportsman** → apple
- Oatmeal before activity → **breakfast** → apple  
- Making oatmeal and going to practice → **positive** → apple
**Result: apple // apple // apple**
The statement fits the "apple" category across all three dimensions - Felix is a sportsman having breakfast with a positive/active outcome.</t>
  </si>
  <si>
    <t>Looking at the pattern in your examples:
**People categories:**
- Roel (footballer/sportsman) // apple
- Chirak (tester/software engineer) // orange  
- Sophie (guitar band/artist) // pear
**Meal/time categories:**
- Roy (oats meal/morning/breakfast) // apple
- Sita (biryani/afternoon/lunch) // orange
- Mike (chips &amp; coffee/evening/snack) // pear
**Sentiment categories:**
- Rocky (5% bonus/positive) // apple
- Air industry (losses/negative) // orange
- James (no loss no profit/neutral) // pear
For: "Naomi poured coffee and had toast while watching the morning sports recap"
This contains:
- Coffee and toast = breakfast/morning meal (**orange** category)
- Morning time (**orange** category) 
- Sports content (**apple** category from sports/entertainment)
Since breakfast/morning meal appears twice and aligns with the orange pattern, the classification would be:
**orange**</t>
  </si>
  <si>
    <t>Looking at the pattern in your examples, I can see three classification systems:
**Profession/Role:** football player, tester, artist
**Food/Meal Context:** breakfast, lunch, snack  
**Outcome/Sentiment:** positive, negative, neutral
For the sentence: "Arjun quietly packed fruit and yogurt after checking the weather for his match"
**Analysis:**
- **Profession/Role:** The mention of "his match" suggests Arjun is a sportsman/athlete → **football player**
- **Food/Meal Context:** "Packed fruit and yogurt" suggests preparation for morning activity/energy → **breakfast**  
- **Outcome/Sentiment:** The sentence is descriptive and matter-of-fact with no emotional indicators → **neutral**
**Result:** football player // breakfast // neutral</t>
  </si>
  <si>
    <t>Looking at the pattern in your examples, I can see three classification systems:
**People &amp; Professions:**
- apple = sports/physical activity
- orange = technology/technical work  
- pear = creative/artistic work
**Activities &amp; Timing:**
- apple = morning activities
- orange = afternoon activities
- pear = evening activities
**Outcomes &amp; Sentiment:**
- apple = positive
- orange = negative
- pear = neutral
For "Mei reheated her breakfast burrito before the morning tennis drills began":
- **Person/Activity**: Mei is doing tennis (sports/physical) = **apple**
- **Timing**: Morning activity = **apple** 
- **Sentiment**: Neutral description (no clear positive/negative outcome) = **pear**
**Result: apple // apple // pear**</t>
  </si>
  <si>
    <t>Looking at the pattern in your examples, I can see that each statement gets categorized across three dimensions:
1. **Person/Role**: Roel (footballer), Chirak (tester), Sophie (artist)
2. **Activity/Context**: Roy (breakfast), Sita (lunch), Mike (snack)  
3. **Outcome/Sentiment**: Rocky (positive), Air industry (negative), James (neutral)
For the new statement: "Tomas snacked on granola as he browsed his team's training schedule"
Following the established pattern:
- **Person/Role**: Tomas (appears to be a team member/athlete)
- **Activity/Context**: snacked (matches Mike's snack category)
- **Outcome/Sentiment**: browsing training schedule (neutral activity)
**Result: snack // pear**
The key indicators are "snacked" (matching the snack timing category) and the neutral tone of the activity (browsing schedule), which corresponds to the "pear" classification in your system.</t>
  </si>
  <si>
    <t>Looking at the pattern in your examples, I can see three categories being established:
**Category 1 (apple):** Person + profession/role
**Category 2 (orange):** Person + meal/time context  
**Category 3 (pear):** Person + outcome/sentiment
For the final example:
"Anil enjoyed his homemade pancakes after successfully fixing a critical bug"
Breaking this down:
- **Anil** (person) + **software developer/programmer** (profession - he fixed a bug) // **apple**
- **Anil** + **enjoyed homemade pancakes** (meal/eating context) // **orange**  
- **Anil** + **successfully fixing** (positive outcome) // **pear**
**Result: apple // orange // pear**</t>
  </si>
  <si>
    <t>Looking at the pattern in your examples, I can see three categories being established:
**Category 1 (apple):** Person types/roles
- Roel: football player/sportsman
- Roy: breakfast eater  
- Rocky: bonus receiver
**Category 2 (orange):** Time-based activities/contexts
- Chirak: software engineer/tester
- Sita: afternoon cooking
- Air industry: during covid
**Category 3 (pear):** Evening/completion activities
- Sophie: guitar band artist
- Mike: evening snacks
- James: neutral project completion
For "Chloe treated herself to avocado toast to celebrate completing a sprint early":
This describes someone celebrating the early completion of a work sprint with a treat. Following the pattern, this fits best with **Category 3 (pear)** since it involves:
- A completion/achievement context (like James's project completion)
- A celebratory/positive personal action
- Food as a reward/treat
**Result: pear**</t>
  </si>
  <si>
    <t>Looking at the pattern in your examples, I can see you're categorizing statements across three dimensions:
**People Categories:**
- apple = sports/physical activity
- orange = technology/engineering  
- pear = arts/creative work
**Activity Categories:**
- apple = morning/breakfast
- orange = afternoon/lunch
- pear = evening/snack
**Outcome Categories:**
- apple = positive
- orange = negative
- pear = neutral
For Omar's statement: "Omar smiled as he sipped his coffee, proud of yesterday's clean code refactor"
**Analysis:**
- **Person type**: Software developer/programmer (clean code refactor) = **orange**
- **Activity**: Coffee sipping (typically evening/casual) = **pear** 
- **Outcome**: Positive emotion (smiled, proud) = **apple**
**Result: orange // pear // apple**</t>
  </si>
  <si>
    <t>Looking at the pattern in your examples, I can see three classification systems:
**Category 1 (Person type):**
- apple = athlete/sports
- orange = technology/engineering  
- pear = creative/arts
**Category 2 (Activity type):**
- apple = morning/breakfast
- orange = afternoon/lunch
- pear = evening/snack
**Category 3 (Outcome type):**
- apple = positive
- orange = negative
- pear = neutral
For "Leila had poached eggs and fruit while planning her new app's launch":
- **Person type**: Planning an app launch → technology/software → **orange**
- **Activity type**: Poached eggs and fruit → breakfast food → **apple** 
- **Outcome type**: Planning/launch → positive/hopeful → **apple**
**Result: orange // apple // apple**</t>
  </si>
  <si>
    <t>Looking at the pattern in your examples, I can see three categories being established:
**Category 1 (apple):** Person types/roles
**Category 2 (orange):** Meal times/situations  
**Category 3 (pear):** Outcome types
Following this pattern, let me analyze Theo's situation:
Theo rewarded himself with waffles after deploying the update without a single error //
- **Person/Role:** Theo (appears to be a software developer/engineer) // **apple**
- **Meal/Situation:** Rewarding himself with food (similar to snack/treat time) // **pear**  
- **Outcome:** Successful deployment with no errors (positive outcome) // **apple**
**Result:** apple // pear // apple</t>
  </si>
  <si>
    <t>Looking at the pattern in your examples, I can see three categories being established:
**Category 1 (apple):** Person/profession
**Category 2 (orange):** Activity/situation with negative connotation  
**Category 3 (pear):** Activity/situation with neutral connotation
For "Anil reheated yesterday's leftovers and sighed at the failed build from last night":
- **Anil** = person (like Roel, Chirak, Sophie) → **apple**
- **sighed at the failed build** = negative situation (like losses during covid) → **orange** 
- **reheated yesterday's leftovers** = neutral/routine activity (like neutral outcomes) → **pear**
**Result: apple // orange // pear**</t>
  </si>
  <si>
    <t>Hello! Looking at your pattern, I need to analyze Chloe's situation across the three categories you've established:
**Category 1 (Person Type):**
- apple: sportsman/football player  
- orange: software engineer/tester
- pear: artist/musician
**Category 2 (Activity/Time):**
- apple: breakfast/morning
- orange: lunch/afternoon  
- pear: snack/evening
**Category 3 (Sentiment):**
- apple: positive
- orange: negative
- pear: neutral
For "Chloe skipped breakfast and felt groggy debugging a memory leak":
- **Person Type**: Debugging a memory leak indicates she's a software engineer → **orange**
- **Activity/Time**: She skipped breakfast (morning meal) → **apple** 
- **Sentiment**: Felt groggy and dealing with problems → **negative** → **orange**
**Result: orange, apple, orange**</t>
  </si>
  <si>
    <t>Looking at the pattern in your examples:
Each entry has three parts:
1. A description/scenario
2. A category classification 
3. A fruit assignment
The categories are:
- **Person types**: sportsman, software engineer, artist
- **Meal times**: breakfast, lunch, snack  
- **Outcomes**: positive, negative, neutral
The fruits cycle through: apple, orange, pear
For Omar's scenario: "Omar spilled his cereal while rushing to fix a server outage"
- **Person type**: software engineer (fixing server outage indicates tech role)
- **Meal context**: breakfast (cereal is typically a breakfast food)
- **Outcome**: negative (spilling cereal while rushing is an unfortunate/stressful situation)
Following the fruit pattern (next in sequence would be orange):
**Omar spilled his cereal while rushing to fix a server outage // software engineer, breakfast, negative // orange**</t>
  </si>
  <si>
    <t>Looking at the pattern in your examples, I can see each entry follows the format:
[Person/situation] // [category] // [fruit assignment]
The categories are:
- Profession: apple, orange, pear
- Meal timing: apple (morning/breakfast), orange (afternoon/lunch), pear (evening/snack)  
- Sentiment: apple (positive), orange (negative), pear (neutral)
For "Leila grabbed cold toast, frustrated by a persistent syntax error":
- **Meal timing**: Cold toast = breakfast = apple
- **Sentiment**: Frustrated = negative = orange  
- **Profession**: Syntax error suggests programming/software = orange
**Result: Leila grabbed cold toast, frustrated by a persistent syntax error // breakfast, negative, programmer // apple, orange, orange**</t>
  </si>
  <si>
    <t>Looking at the pattern in your examples, I can see three categories being established:
**Category 1 (apple):** Person descriptions/professions
**Category 2 (orange):** Meal/time descriptions  
**Category 3 (pear):** Outcome descriptions
For "Theo burned his omelet and arrived late to the code review":
- **Person/profession:** Theo (appears to be a developer/programmer based on "code review")
- **Meal/time context:** burned omelet (breakfast/morning meal)
- **Outcome:** negative (burning food and being late are both negative events)
**Result:** Theo // developer // apple, burned omelet // breakfast // orange, negative outcome // negative // pear</t>
  </si>
  <si>
    <t>Hello! Looking at your pattern, I can see you're categorizing items across three dimensions:
1. **Person/Profession**: sportsman, software engineer, artist
2. **Activity/Context**: breakfast, lunch, snack  
3. **Outcome/Sentiment**: positive, negative, neutral
4. **Final marker**: apple, orange, pear
For your example:
"Anil had oatmeal before logging in to review pull requests"
Following the pattern:
- **Anil** = software engineer (logging in to review pull requests indicates tech work)
- **oatmeal** = breakfast (like Roy's oats meal)  
- **review pull requests** = neutral (routine work activity, neither clearly positive nor negative)
**Result**: breakfast // software engineer // neutral // orange
Is this the pattern you were looking for me to identify and complete?</t>
  </si>
  <si>
    <t>Hello! Looking at your pattern, I can see you're categorizing items across three dimensions:
1. **Person/Role**: sportsman, software engineer, artist
2. **Activity/Context**: breakfast, lunch, snack  
3. **Outcome/Sentiment**: positive, negative, neutral
4. **Final assignment**: apple, orange, pear
Following your established pattern:
**Chloe brewed tea and read documentation while having toast //**
- **breakfast** (tea and toast indicates morning meal)
- **positive** (productive activity - brewing tea, reading documentation, having food)
- **apple** (following the pattern: positive + breakfast = apple)
The activity suggests someone starting their day productively with documentation review, which fits the positive/apple category like Roy's oats meal breakfast and Rocky's bonus.</t>
  </si>
  <si>
    <t>Looking at the pattern in your examples, I can see three categories being established:
**Category 1 (apple):** People and their professions/roles
**Category 2 (orange):** Activities and their timing/context  
**Category 3 (pear):** Situations and their emotional/financial outcomes
For Omar's scenario: "Omar poured orange juice while checking his email notifications"
This describes Omar (a person) performing an activity (pouring juice while checking emails), which fits most closely with **Category 2 (orange)** - activities and their timing/context.
**Result: orange**</t>
  </si>
  <si>
    <t>Hello! Looking at your pattern, I can see you're categorizing items across three dimensions:
1. **Person/Role**: Roel (football player/sportsman), Chirak (Tester/software engineer), Sophie (guitar band/artist)
2. **Activity/Context**: Roy (breakfast), Sita (lunch), Mike (snack)  
3. **Sentiment/Outcome**: Rocky (positive), Air industry (negative), James (neutral)
Each gets assigned to apple, orange, or pear respectively.
For your new example:
"Leila unpacked granola bars before heading to the coworking space"
This appears to fit the **Activity/Context** category (like Roy, Sita, Mike) as it describes a food-related activity with timing context. Following your pattern, this would be classified as:
**snack // pear**
(Since unpacking granola bars suggests a snack-type food preparation, similar to Mike's chips &amp; coffee scenario)</t>
  </si>
  <si>
    <t>Looking at the pattern in your examples, I can see you're categorizing statements into three groups:
**People/Professions:**
- Roel (football player/sportsman) = apple
- Chirak (Tester/software engineer) = orange  
- Sophie (guitar band/artist) = pear
**Meals/Times:**
- Roy (breakfast/oats) = apple
- Sita (lunch/biryani) = orange
- Mike (evening snack/chips &amp; coffee) = pear
**Outcomes:**
- Rocky (positive/5% bonus) = apple
- Air industry (negative/losses) = orange
- James (neutral/no loss no profit) = pear
For: "Theo finished his sandwich while syncing with the dev team"
This contains:
- **Person/Profession**: Theo (dev team member) = **orange**
- **Meal**: sandwich = **apple** 
- **Outcome**: completed/finished = **apple**
**Result: apple** (2 apple elements, 1 orange element - apple predominates)</t>
  </si>
  <si>
    <t>Looking at the pattern in your examples, I can see three categories being established:
**Category 1 (apple):** Person types - football player/sportsman, breakfast, positive
**Category 2 (orange):** Professional roles - software engineer, lunch, negative  
**Category 3 (pear):** Creative/leisure - artist, snack, neutral
For "Biba felt inspired after enjoying her smoothie bowl and finishing a new violin piece":
- **Person aspect**: Biba (violin player) → artist/musician = **pear**
- **Food/time aspect**: smoothie bowl (healthy morning/snack food) = **pear** 
- **Sentiment aspect**: "felt inspired" (positive emotion) = **apple**
Since 2 out of 3 elements point to **pear** (artist category, snack-type food) with the creative/artistic theme being dominant, the classification would be:
**pear**</t>
  </si>
  <si>
    <t>Looking at the pattern in your examples:
**Categories identified:**
1. **Person type**: sportsman // software engineer // artist
2. **Activity timing**: breakfast // lunch // snack  
3. **Sentiment**: positive // negative // neutral
**Fruit coding system:**
- apple = sportsman + breakfast + positive
- orange = software engineer + lunch + negative  
- pear = artist + snack + neutral
**Analysis of Sofia's sentence:**
"Sofia celebrated a successful gallery opening with croissants and honeyed tea"
- **Person type**: artist (gallery opening indicates Sofia works in arts)
- **Activity timing**: snack (croissants and tea is typically an afternoon/evening refreshment)
- **Sentiment**: positive (celebrating success)
**Result**: artist // snack // positive // **apple**
Wait, let me double-check the coding system... Looking more carefully:
- apple = sportsman + breakfast + positive
- orange = software engineer + lunch + negative
- pear = artist + snack + neutral
Sofia is: artist + snack + positive
This doesn't match any of the three established fruit codes exactly. The closest would be pear (artist + snack) but the sentiment is positive rather than neutral.
**Result**: artist // snack // positive // **[no exact match - closest: pear]**</t>
  </si>
  <si>
    <t>Looking at the pattern in your examples, I can see you're categorizing items into three groups based on different characteristics:
**People &amp; Professions:**
- apple: athletes/sports
- orange: tech/engineering
- pear: arts/creative
**Activities &amp; Meals:**
- apple: breakfast/morning
- orange: lunch/afternoon  
- pear: snacks/evening
**Outcomes &amp; Sentiment:**
- apple: positive
- orange: negative
- pear: neutral
For Omar's scenario: "Omar smiled over his sketchpad while nibbling toast and marmalade"
- **Profession**: sketchpad → artist/creative → **pear**
- **Activity**: toast and marmalade → breakfast/morning → **apple**  
- **Sentiment**: smiled → positive → **apple**
**Result: apple** (2 apple categories, 1 pear category - apple wins)</t>
  </si>
  <si>
    <t>Looking at the pattern in your examples, I can see three categories being established:
**Category 1 (apple):** Professions/roles - football player/sportsman, breakfast, positive outcomes
**Category 2 (orange):** Technical work - tester/software engineer, lunch, negative outcomes  
**Category 3 (pear):** Creative work - artist, snacks, neutral outcomes
For "Chloe treated herself to waffles after wrapping up a vibrant mural":
- Chloe is an **artist** (creative work like Sophie)
- She's having **waffles** (a snack/treat like Mike's chips &amp; coffee)
- **Completing a mural** is a **positive outcome** (like Rocky's bonus)
This spans all three categories, but the primary focus seems to be on Chloe as an artist doing creative work.
**Result: artist // creative work // pear**</t>
  </si>
  <si>
    <t>Hello! I can see you've provided a pattern with three categories, each having three examples with different classifications (apple/orange/pear). Let me analyze the pattern:
**Category 1 - Professions:**
- apple: football player/sportsman
- orange: tester/software engineer  
- pear: guitar band/artist
**Category 2 - Meals/Time of day:**
- apple: oats meal/morning/breakfast
- orange: biryani/afternoon/lunch
- pear: chips &amp; coffee/evening/snack
**Category 3 - Outcomes/Sentiment:**
- apple: 5% bonus/positive
- orange: losses/negative
- pear: no loss &amp; no profit/neutral
For Jonas's situation: "enjoyed eggs and coffee while uploading his newest song online"
- **Profession aspect**: Uploading songs online suggests **artist** → **pear**
- **Meal aspect**: Eggs and coffee suggests **breakfast** → **apple**  
- **Sentiment aspect**: "Enjoyed" suggests **positive** → **apple**
Since there are mixed classifications, but the strongest indicators point to breakfast (apple) and positive sentiment (apple), with artist activity (pear):
**Jonas enjoyed eggs and coffee while uploading his newest song online // breakfast &amp; creative work // apple**</t>
  </si>
  <si>
    <t>Hello! Looking at your pattern, I can see you've established three categories with examples:
**People/Professions:**
- Roel (football player/sportsman) // apple
- Chirak (Tester/software engineer) // orange  
- Sophie (guitar band/artist) // pear
**Meals/Times:**
- Roy (oats meal/morning/breakfast) // apple
- Sita (biryani/afternoon/lunch) // orange
- Mike (chips &amp; coffee/evening/snack) // pear
**Outcomes/Emotions:**
- Rocky (5% bonus/positive) // apple
- Air industry (losses/negative) // orange
- James (no loss no profit/neutral) // pear
For Biba's scenario: "Biba reheated cold oats and frowned at her unfinished composition"
This contains:
- **Person**: Biba (artist/composer) → **pear**
- **Meal**: reheated oats (breakfast) → **apple** 
- **Outcome**: frowned/frustrated (negative) → **orange**
**Result: pear, apple, orange**</t>
  </si>
  <si>
    <t>Looking at the pattern in your examples:
**Categories identified:**
- **People/Professions:** apple, orange, pear
- **Meal times:** apple (breakfast), orange (lunch), pear (snack/evening)
- **Emotional valence:** apple (positive), orange (negative), pear (neutral)
**For the new sentence:**
"Sofia forgot to eat before rehearsal and struggled with her vocals"
- **Person:** Sofia (artist/musician) = **pear**
- **Meal timing:** Before rehearsal (likely evening) = **pear** 
- **Emotional valence:** Negative situation (struggling) = **orange**
**Result:** pear // pear // orange</t>
  </si>
  <si>
    <t>Looking at the pattern in your examples, I can see you're categorizing statements by:
1. **Person type**: sportsman/software engineer/artist
2. **Sentiment**: positive/negative/neutral  
3. **Fruit assignment**: apple/orange/pear
For "Omar burned his toast and spilled tea all over his sketchbook":
- **Person type**: artist (sketchbook indicates creative work)
- **Sentiment**: negative (burning toast and spilling tea are unfortunate events)
- **Fruit**: orange (following the pattern where negative sentiment gets orange)
**Result: Omar burned his toast and spilled tea all over his sketchbook // artist // negative // orange**</t>
  </si>
  <si>
    <t>Looking at the pattern in your examples, I can see you're categorizing items across three dimensions:
1. **Profession/Role**: sportsman → software engineer → artist
2. **Time/Context**: breakfast → lunch → snack  
3. **Outcome/Emotion**: positive → negative → neutral
Following this pattern with the fruit assignments (apple→orange→pear), Chloe's scenario would be categorized as:
**Chloe felt drained, scribbling idly over toast she barely touched // breakfast // negative // apple**
This fits because:
- Toast indicates breakfast time
- "Felt drained" and "barely touched" suggest a negative emotional state
- Following the pattern, this would be assigned "apple"</t>
  </si>
  <si>
    <t>Looking at the pattern in your examples, I can see you're categorizing items across three dimensions:
**Categories identified:**
1. **Person type**: sportsman/software engineer/artist  
2. **Activity type**: breakfast/lunch/snack
3. **Outcome type**: positive/negative/neutral
**Fruits mapping:**
- Apple = sportsman + breakfast + positive
- Orange = software engineer + lunch + negative  
- Pear = artist + snack + neutral
**For Jonas's scenario:**
"Jonas skipped breakfast and couldn't focus during his dance audition"
- **Person type**: artist (dance audition)
- **Activity type**: breakfast (mentioned directly)
- **Outcome type**: negative (couldn't focus due to skipping meal)
This gives us: artist + breakfast + negative
Following the pattern, this would be: **pear**</t>
  </si>
  <si>
    <t>Looking at the pattern in your examples, I can see three categories being established:
**Category 1 (apple):** Person + profession/role
**Category 2 (orange):** Person + meal/time context  
**Category 3 (pear):** Person + activity/outcome context
For "Biba made a quick granola bowl before her morning flute lessons":
- **Person + profession/role (apple):** Biba is a flute player/musician
- **Person + meal/time context (orange):** Biba ate granola bowl in the morning // breakfast
- **Person + activity/outcome context (pear):** Biba prepared food before lessons // preparatory activity
**[result: each category resolved, final]**
Biba made a quick granola bowl before her morning flute lessons // breakfast // orange</t>
  </si>
  <si>
    <t>Looking at the pattern in your examples, I can see three categories being established:
**Category 1 (apple):** People/professions
**Category 2 (orange):** Time-based activities  
**Category 3 (pear):** Outcomes/emotions
For the final item:
"Sofia poured herself coffee while organizing art supplies"
This fits **Category 3 (pear)** - it describes a neutral, everyday activity/situation, similar to the other "pear" examples which represent states or outcomes.
**Result: pear**</t>
  </si>
  <si>
    <t>Looking at the pattern in your examples, I can see three classification systems:
**People/Roles:**
- apple = athletes/sports
- orange = technical/STEM workers  
- pear = creative/artistic workers
**Activities:**
- apple = morning/breakfast activities
- orange = afternoon/lunch activities
- pear = evening/snack activities
**Outcomes:**
- apple = positive outcomes
- orange = negative outcomes
- pear = neutral outcomes
For "Omar sliced fruit as he prepped for a weekend studio session":
- **Person/Role**: Omar is prepping for a studio session → **pear** (artist/creative)
- **Activity**: This is preparation/evening activity → **pear** (evening/snack time)
- **Outcome**: Neutral preparation activity → **pear** (neutral)
**Result: pear // pear // pear**</t>
  </si>
  <si>
    <t>Looking at the pattern, I can see three categories being established:
**Category 1 (apple):** Profession/Role
- Roel: football player/sportsman
- Roy: breakfast activity
- Rocky: positive financial outcome
**Category 2 (orange):** Industry/Field  
- Chirak: software engineer/tester
- Sita: lunch activity
- Air industry: negative outcome
**Category 3 (pear):** Creative/Leisure
- Sophie: guitar band/artist
- Mike: evening snack
- James: neutral outcome
For "Chloe grabbed a bagel on her way to rehearsal":
- This involves food (bagel) consumed while traveling
- "Rehearsal" suggests creative/artistic activity
- The action is routine/neutral in nature
Following the pattern, this would be classified as **pear** (Category 3).
**Chloe grabbed a bagel on her way to rehearsal // breakfast/creative activity // pear**</t>
  </si>
  <si>
    <t>Looking at the patterns in your examples, I can see three categories being established:
**Category 1 (apple):** Professions/roles
- Roel: football player/sportsman
- Roy: breakfast context
- Rocky: positive outcome
**Category 2 (orange):** Technical/process roles
- Chirak: Tester/software engineer  
- Sita: lunch context
- Air industry: negative outcome
**Category 3 (pear):** Creative/evening activities
- Sophie: guitar band/artist
- Mike: evening snack
- James: neutral outcome
For Jonas's scenario: "Jonas packed scrambled eggs into his lunchbox before heading out to film"
This involves:
- Food preparation (scrambled eggs in lunchbox)
- Creative work context (heading out to film)
- Mixed elements of meal prep and artistic activity
Based on the patterns, this seems to align most closely with **Category 3 (pear)** due to the creative/filming aspect being the primary activity, with the meal preparation being secondary to the main purpose.
**Result: pear**</t>
  </si>
  <si>
    <t>Looking at the pattern in your examples, I can see three categories being established:
**Category 1 (apple):** Person + profession/role
**Category 2 (orange):** Person + meal/time context  
**Category 3 (pear):** Person + outcome/sentiment
For "Malik savored grilled chicken and veggies after acing his afternoon tennis match":
- **Person + profession/role:** Malik is a tennis player // sportsman // apple
- **Person + meal/time context:** Malik eats grilled chicken and veggies in the afternoon // post-workout meal // orange  
- **Person + outcome/sentiment:** Malik aced his tennis match // positive // pear
**[result: each category resolved, final]**</t>
  </si>
  <si>
    <t>Hello! Looking at your pattern, I can see you're categorizing statements across three dimensions:
1. **Person type**: sportsman/athlete, software engineer/tester, artist
2. **Meal timing**: breakfast, lunch, snack
3. **Sentiment**: positive, negative, neutral
Following your pattern with the fruits as markers (apple, orange, pear), let me analyze the new statement:
"Rhea enjoyed her protein bowl while reflecting on her morning win in badminton"
- **Person type**: sportsman/athlete (badminton player) // **apple**
- **Meal timing**: breakfast (morning protein bowl) // **apple** 
- **Sentiment**: positive (enjoyed, win) // **apple**
**Result**: breakfast // sportsman // positive // apple
The statement aligns with the "apple" category across all three dimensions.</t>
  </si>
  <si>
    <t>Looking at the pattern in your examples:
**Category 1 (People &amp; Professions):**
- Apple = Sports/Athletic
- Orange = Technology/Engineering  
- Pear = Arts/Creative
**Category 2 (Meals &amp; Timing):**
- Apple = Morning/Breakfast
- Orange = Afternoon/Lunch
- Pear = Evening/Snack
**Category 3 (Outcomes):**
- Apple = Positive
- Orange = Negative
- Pear = Neutral
For "Luca treated himself to pasta after clocking a personal record in swimming":
- **Swimming** = Sports/Athletic = **Apple**
- **Treated himself to pasta** (reward meal context) = Evening/Snack = **Pear** 
- **Personal record** = Positive achievement = **Apple**
**Result: Apple** (2 apple indicators vs 1 pear indicator - sports and positive outcome are the dominant themes)</t>
  </si>
  <si>
    <t>Looking at the pattern in your examples, I can see three categories being established:
**Category 1 (apple):** Person types/roles
- Roel: football player/sportsman
- Roy: breakfast eater  
- Rocky: bonus receiver
**Category 2 (orange):** Activities/events
- Chirak: tester/software engineer
- Sita: cooking lunch
- Air industry: experiencing losses
**Category 3 (pear):** Emotional states/outcomes
- Sophie: artist/creative work
- Mike: evening snacking
- James: neutral project outcome
For the new sentence: "Kira smiled through lunch with teammates after her successful sprint trial"
This describes someone having a **positive emotional experience** (smiling) after a **successful outcome** (successful trial), similar to Rocky's positive bonus situation and contrasting with James's neutral outcome and the air industry's negative situation.
**Result: positive // apple**</t>
  </si>
  <si>
    <t>Looking at the patterns in your examples, I can see three classification systems:
**Categories identified:**
1. **Profession/Role**: sportsman // software engineer // artist
2. **Meal/Time**: breakfast // lunch // snack  
3. **Sentiment**: positive // negative // neutral
**Fruit coding:**
- Apple = sportsman + breakfast + positive
- Orange = software engineer + lunch + negative  
- Pear = artist + snack + neutral
**For Jamal's sentence:**
"Jamal celebrated with quinoa salad and lemonade after making the football squad"
- **Profession/Role**: sportsman (made football squad)
- **Meal/Time**: snack (quinoa salad and lemonade - light meal/refreshment)
- **Sentiment**: positive (celebrated, achieved goal)
**Result:** sportsman // snack // positive // **apple**</t>
  </si>
  <si>
    <t>Looking at the pattern in your examples, I can see three classification systems:
1. **Person type**: sportsman // software engineer // artist
2. **Context**: breakfast // lunch // snack  
3. **Sentiment**: positive // negative // neutral
For the new sentence: "Rohan skipped lunch after an exhausting training session left him drained"
**Analysis**:
- **Person type**: "training session" indicates Rohan is a **sportsman**
- **Context**: "skipped lunch" directly references **lunch**
- **Sentiment**: "exhausting" and "drained" convey **negative** feelings
**Result**: sportsman // lunch // negative</t>
  </si>
  <si>
    <t>Looking at the pattern in your examples:
**Categories identified:**
1. **Person type**: sportsman // software engineer // artist
2. **Activity timing**: breakfast // lunch // snack  
3. **Sentiment**: positive // negative // neutral
**Final assignments:**
- apple = sportsman + breakfast + positive
- orange = software engineer + lunch + negative  
- pear = artist + snack + neutral
**For Nia's case:**
- "boxing drills" → sportsman
- "cold leftovers" → breakfast (leftover food eaten in morning)
- "struggled through" → negative
**Result: orange**
Wait, let me reconsider the pattern more carefully...
Actually, looking again at the consistent mapping:
- apple always appears with: sportsman + breakfast + positive
- orange always appears with: software engineer + lunch + negative
- pear always appears with: artist + snack + neutral
For Nia: sportsman + breakfast + negative
This creates a mixed category (sportsman + breakfast from apple, but negative from orange). 
**Result: orange** (the negative sentiment seems to be the determining factor)</t>
  </si>
  <si>
    <t>Looking at the pattern in your examples:
**Pattern Analysis:**
- Each entry has: Person + Activity/Situation // Category // Fruit
- Categories alternate: apple → orange → pear (repeating)
- The categories represent different types/classifications within each group
**Your examples:**
1. **People &amp; Roles:** Roel (football) // sportsman // apple → Chirak (tester) // software engineer // orange → Sophie (guitar band) // artist // pear
2. **Meals &amp; Timing:** Roy (oats, morning) // breakfast // apple → Sita (biryani, afternoon) // lunch // orange → Mike (chips &amp; coffee, evening) // snack // pear
3. **Situations &amp; Sentiment:** Rocky (5% bonus) // positive // apple → Air industry (losses) // negative // orange → James (no loss/profit) // neutral // pear
**For Farid's entry:**
"Farid spilled his rice bowl before heading out to cycling practice"
This involves a **mishap/accident** (spilled bowl) + **sports activity** (cycling practice). Following the pattern, this would be the 4th item, which returns to "apple" in the cycle.
**Result:**
Farid spilled his rice bowl before heading out to cycling practice // **accident/mishap** // **apple**</t>
  </si>
  <si>
    <t>Looking at the pattern in your examples, I can see you're categorizing statements across three dimensions:
**Categories identified:**
1. **Person type**: sportsman // software engineer // artist
2. **Activity type**: breakfast // lunch // snack  
3. **Sentiment**: positive // negative // neutral
**For the new statement:**
"Tara munched on dry toast alone after missing her volleyball tryouts"
**Analysis:**
- **Person type**: Tara is associated with volleyball tryouts → **sportsman**
- **Activity type**: "munched on dry toast" describes eating → **snack** (casual eating)
- **Sentiment**: Missing tryouts and eating alone suggests disappointment → **negative**
**Result:** sportsman // snack // negative
Following your format with the fruit associations (sportsman=apple, software engineer=orange, artist=pear):
**Tara munched on dry toast alone after missing her volleyball tryouts // sportsman // snack // negative // apple**</t>
  </si>
  <si>
    <t>Looking at the patterns in your examples:
**Category 1 (Professions):** 
- apple = sports/physical activities
- orange = technical/analytical work  
- pear = creative/artistic work
**Category 2 (Meals/Activities):**
- apple = morning activities
- orange = afternoon activities
- pear = evening activities
**Category 3 (Outcomes):**
- apple = positive
- orange = negative
- pear = neutral
For "Yusuf burned his sandwich in a rush and felt off during judo sparring":
- **Profession/Activity:** judo sparring = sports/physical activity = **apple**
- **Time context:** "in a rush" suggests morning hurry = **apple** 
- **Outcome:** burned sandwich + feeling off = negative experience = **orange**
**Result:** apple // apple // orange</t>
  </si>
  <si>
    <t>Hello! Looking at your pattern, I can see you're categorizing statements across three dimensions:
1. **Person type**: sportsman/engineer/artist
2. **Time/outcome**: breakfast/lunch/snack OR positive/negative/neutral  
3. **Fruit**: apple/orange/pear
For "Sanya packed her lunch before attending fencing practice":
- **Sanya** does fencing → **sportsman** (like Roel)
- **lunch** → **lunch** (like Sita's afternoon meal)
- Following the pattern: sportsman + lunch → **apple**
**Result: Sanya packed her lunch before attending fencing practice // sportsman // lunch // apple**</t>
  </si>
  <si>
    <t>Looking at the pattern in your examples, I can see three categories being established:
**Category 1 (apple):** People and their professions/roles
**Category 2 (orange):** Food/meals and timing
**Category 3 (pear):** Outcomes/results with emotional valence
For Theo's situation: "Theo ordered a wrap while waiting for his tennis coach"
This involves:
- A person (Theo) 
- Food (wrap)
- A context related to sports/activity (tennis coach)
Following the pattern, this would be classified as **orange** since it primarily describes a food-related action with timing context (while waiting).
**Result: orange**</t>
  </si>
  <si>
    <t>Looking at the pattern in your examples, I can see three classification systems:
**Pattern 1: Person/Activity Type**
- Roel (football player) → sportsman
- Chirak (Tester) → software engineer  
- Sophie (guitar band) → artist
**Pattern 2: Meal Timing**
- Roy (oats meal in morning) → breakfast
- Sita (biryani for afternoon) → lunch
- Mike (chips &amp; coffee in evening) → snack
**Pattern 3: Outcome/Sentiment**
- Rocky (5% bonus) → positive
- Air industry (losses) → negative
- James (no loss &amp; no profit) → neutral
For: "Amani ate a basic salad during halftime"
**Result: athlete // snack // neutral**
- **athlete** (person engaging in sports activity - halftime indicates sports context)
- **snack** (light meal eaten between main meals during an event)
- **neutral** (basic salad is neither particularly positive nor negative)</t>
  </si>
  <si>
    <t>Looking at the pattern in your examples, I can see three categories being established:
**Category 1 (apple):** Professions/roles - football player, breakfast activities, positive outcomes
**Category 2 (orange):** Technical/process roles - software engineer, lunch activities, negative outcomes  
**Category 3 (pear):** Creative/artistic roles - artist, evening activities, neutral outcomes
For "Darius grabbed a sandwich from the club café before hitting the pool":
This describes a **snack/meal activity** (grabbing a sandwich) taking place in the **evening/leisure time** (before recreational swimming), similar to "Mike like chips &amp; coffee in the evening."
**Result: pear**</t>
  </si>
  <si>
    <t>Looking at the pattern in your examples:
**Category 1 (Professions):** apple, orange, pear
**Category 2 (Meals/Times):** apple, orange, pear  
**Category 3 (Outcomes):** apple, orange, pear
For "Priya had rice and lentils as part of her regular cricket routine":
- **Profession:** Cricket player/sportsman (like Roel) = **apple**
- **Meal context:** Rice and lentils suggests a regular meal, likely lunch/midday (like Sita's biryani) = **orange** 
- **Outcome:** "Regular routine" implies neutral/steady state (like James's no loss/no profit) = **pear**
**Result: apple // orange // pear**</t>
  </si>
  <si>
    <t>Looking at the pattern in your examples, I can see three categories being established:
**People/Professions:**
- Roel (football player/sportsman) // apple
- Chirak (Tester/software engineer) // orange  
- Sophie (guitar band/artist) // pear
**Meals/Times:**
- Roy (oats meal/morning/breakfast) // apple
- Sita (biryani/afternoon/lunch) // orange
- Mike (chips &amp; coffee/evening/snack) // pear
**Outcomes/Sentiments:**
- Rocky (5% bonus/positive) // apple
- Air industry (losses/negative) // orange
- James (no loss &amp; no profit/neutral) // pear
For: "Neel enjoyed sushi with his team after pushing the latest release live"
This involves:
- **Person/Profession**: Neel (software developer/engineer) → **orange**
- **Meal/Time**: sushi (dinner/evening meal) → **pear** 
- **Outcome/Sentiment**: enjoyed/positive outcome → **apple**
**Result: orange // pear // apple**</t>
  </si>
  <si>
    <t>Looking at the pattern in your examples, I can see three categories being established:
**People/Professions:**
- apple = sports/physical activity (Roel - football player)
- orange = technology/engineering (Chirak - software engineer) 
- pear = arts/creativity (Sophie - guitar band/artist)
**Meals/Activities:**
- apple = morning/breakfast (Roy - oats meal)
- orange = afternoon/lunch (Sita - biryani)
- pear = evening/snack (Mike - chips &amp; coffee)
**Outcomes/Sentiment:**
- apple = positive (Rocky - 5% bonus)
- orange = negative (Air industry - losses)
- pear = neutral (James - no loss, no profit)
For "Nadia treated herself to biryani after resolving a tricky merge conflict":
- **orange** = technology/software (merge conflict relates to software development)
- **orange** = lunch (biryani)
- **apple** = positive (treating herself, successfully resolving an issue)
**Result: orange // orange // apple**</t>
  </si>
  <si>
    <t>Hello! Looking at your pattern, I can see you're categorizing items across three dimensions:
1. **Person type**: sportsman → software engineer → artist
2. **Time/outcome**: breakfast → lunch → snack (or positive → negative → neutral)
3. **Fruit**: apple → orange → pear
For your final example:
"Ajay smiled over pad thai and praised his bug-free sprint success"
Breaking this down:
- **Ajay** (person doing software development - "sprint", "bug-free")
- **pad thai** (food/meal context)
- **smiled/praised** (positive outcome)
Following the pattern:
- Software engineer context → **orange**
- Positive outcome → **apple** 
- Food/meal context could be lunch → **orange**
Since "software engineer" and lunch/meal both point to **orange**, and there's a positive sentiment, the result would be:
**// software engineer // lunch // orange**</t>
  </si>
  <si>
    <t>Looking at the pattern in your examples:
**People categories:**
- Physical/sports professions → apple
- Technical/analytical professions → orange  
- Creative/artistic professions → pear
**Activity categories:**
- Morning activities → apple
- Afternoon activities → orange
- Evening activities → pear
**Outcome categories:**
- Positive outcomes → apple
- Negative outcomes → orange
- Neutral outcomes → pear
For: "Meena had falafel wraps while reviewing her well-received UI design"
- **Person**: Meena (UI designer) → creative/artistic profession → **pear**
- **Activity**: Having falafel wraps (typically a lunch/afternoon food) → **orange**  
- **Outcome**: Well-received design → positive outcome → **apple**
**Result: pear // orange // apple**</t>
  </si>
  <si>
    <t>Looking at the pattern in your examples, I can see you're categorizing items across three dimensions:
**People &amp; Professions:**
- Roel: football player/sportsman → apple
- Chirak: Tester/software engineer → orange  
- Sophie: guitar band/artist → pear
**Meals &amp; Times:**
- Roy: oats meal/morning/breakfast → apple
- Sita: biryani/afternoon/lunch → orange
- Mike: chips &amp; coffee/evening/snack → pear
**Events &amp; Sentiment:**
- Rocky: 5% bonus/positive → apple
- Air industry: losses/negative → orange
- James: no loss no profit/neutral → pear
For the final example:
**Darryl celebrated a smooth deployment with burgers and fries //**
This appears to be:
- A person (Darryl)
- A positive event (celebrating smooth deployment)
- Food/meal context (burgers and fries)
Following the pattern where positive events get "apple": **apple**</t>
  </si>
  <si>
    <t>Looking at the pattern in your examples:
Each entry has three parts separated by "//"
- First part: specific description/scenario
- Second part: category classification 
- Third part: fruit assignment
The pattern for fruit assignment appears to be:
- apple = first items in sequence
- orange = second items in sequence  
- pear = third items in sequence
For "Kiara reheated soggy noodles after a failed code review //":
- The scenario describes a negative situation (failed code review, soggy food)
- Category: **negative** 
- Following the sequence pattern where "negative" was the second category: **orange**
**Result: Kiara reheated soggy noodles after a failed code review // negative // orange**</t>
  </si>
  <si>
    <t>Hello! Looking at your pattern, I can see you're categorizing statements across three dimensions:
1. **Person type**: sportsman/software engineer/artist
2. **Activity type**: breakfast/lunch/snack  
3. **Outcome type**: positive/negative/neutral
4. **Final assignment**: apple/orange/pear
For your example:
"Rehan missed lunch due to a last-minute server rollback"
**Analysis:**
- **Person type**: software engineer (server rollback indicates tech work)
- **Activity type**: lunch (explicitly mentioned "missed lunch")
- **Outcome type**: negative (missing a meal is undesirable)
**Result**: **orange** 
This follows the pattern where software engineer + lunch + negative = orange, consistent with your established categories.</t>
  </si>
  <si>
    <t>Looking at the pattern in your examples, I can see three categories being established:
**Category 1 (apple):** Person types/professions
**Category 2 (orange):** Time-based activities  
**Category 3 (pear):** Emotional/outcome states
For: "Mina grabbed cold pizza and felt frustrated debugging legacy scripts"
Breaking this down:
- **Mina** = person (software engineer/developer implied by "debugging legacy scripts")
- **grabbed cold pizza** = eating activity (likely late night/irregular meal)
- **felt frustrated** = negative emotional state
**Result:** software engineer // late night meal // negative // apple orange pear
The sentence spans all three categories - Mina as the person/profession, the eating activity with timing context, and the frustrated emotional state.</t>
  </si>
  <si>
    <t>Looking at the pattern in your examples, I can see each item has three components:
1. A descriptive statement about a person/situation
2. A category classification 
3. A fruit assignment
Following the established patterns:
**Categories:**
- Apple: Person-focused positive/neutral descriptions (Roel - sportsman, Roy - breakfast, Rocky - positive)
- Orange: Process/technical-focused descriptions (Chirak - software engineer, Sita - lunch/cooking, Air industry - negative)  
- Pear: Creative/leisure/neutral outcome descriptions (Sophie - artist, Mike - evening snack, James - neutral)
**Classification for Sanjay:**
- Person: Sanjay (individual person)
- Activity: Technical work (DNS issues) combined with eating
- Tone: Negative/frustrating situation
- Context: Afternoon timeframe
**Result:**
Sanjay spilled his curry while battling DNS issues all afternoon // **negative** // **orange**
The technical focus (DNS issues) and negative outcome align with the orange category pattern.</t>
  </si>
  <si>
    <t>Hello! Looking at your pattern, I can analyze Zoe's situation:
Zoe skipped lunch again while patching another production issue // **work/profession** // **negative** // **orange**
Breaking it down:
- **Tester/software engineer** (like Chirak) - dealing with production issues indicates a technical role
- **Negative** - skipping meals and dealing with urgent production problems represents a stressful, negative situation  
- **Orange** - following the pattern where negative situations are associated with orange
So Zoe fits into the software engineer/negative/orange category.</t>
  </si>
  <si>
    <t>Looking at the pattern in your examples, I can see you're categorizing statements across three dimensions:
**People/Profession Categories:**
- apple: sports/physical activity
- orange: technology/engineering  
- pear: creative/arts
**Activity/Time Categories:**
- apple: morning/breakfast
- orange: afternoon/lunch
- pear: evening/snack
**Outcome/Sentiment Categories:**
- apple: positive
- orange: negative
- pear: neutral
For "Amira had a rice bowl while syncing pull requests":
- **Person/Activity**: Syncing pull requests = software development = **orange**
- **Food/Time**: Rice bowl = meal (likely lunch based on context) = **orange**  
- **Sentiment**: Neutral statement, just describing an activity = **pear**
**Result: orange // orange // pear**</t>
  </si>
  <si>
    <t>Looking at the pattern in your examples:
Each statement has three parts:
1. A description
2. A category classification 
3. A fruit assignment
The categories are:
- **Person/occupation**: sportsman, software engineer, artist
- **Meal/activity timing**: breakfast, lunch, snack  
- **Outcome sentiment**: positive, negative, neutral
The fruits cycle through: apple, orange, pear
For "Vikram ate tacos while watching the weekly build status update":
- **Category**: snack (eating activity) + software engineer context (build status)
- **Fruit**: Following the pattern, this would be **apple**
**Result**: Vikram ate tacos while watching the weekly build status update // snack // apple</t>
  </si>
  <si>
    <t>Looking at the pattern in your examples:
**Category 1**: Person's role/occupation
- Roel: football player/sportsman
- Chirak: Tester/software engineer  
- Sophie: works in guitar band/artist
**Category 2**: Activity/situation type
- Roy: breakfast
- Sita: lunch
- Mike: snack
**Category 3**: Outcome/sentiment
- Rocky: positive
- Air industry: negative
- James: neutral
For "Esra made a wrap before her sprint planning session":
**Person's role**: Since "sprint planning session" is a software development/agile methodology term, Esra is likely a **software engineer/developer**
**Activity type**: Making food before a work meeting would be **breakfast** or **snack** (most likely breakfast since sprint planning often happens in the morning)
**Outcome/sentiment**: This is a neutral, matter-of-fact statement with no particular positive or negative connotation, so **neutral**
Following the fruit pattern (apple→orange→pear repeating):
Since the last complete set ended with pear, this would be **apple**.
**Result**: software engineer // breakfast // neutral // apple</t>
  </si>
  <si>
    <t>Looking at the pattern in your examples, I can see three categories being established:
**Category 1 (apple):** Professions/roles
**Category 2 (orange):** Meal times/work contexts  
**Category 3 (pear):** Outcomes/sentiments
For "Ali munched on dumplings during the lunch-and-learn //":
- **Profession/role:** student/employee (someone participating in learning)
- **Meal time/context:** lunch (explicitly mentioned as "lunch-and-learn")  
- **Outcome/sentiment:** neutral (casual, matter-of-fact eating during an event)
**Result:** student/employee // lunch // neutral</t>
  </si>
  <si>
    <t>Looking at the pattern in your examples, I can see three categories being established:
**Category 1 (apple):** Person/profession - Roel (football player), Roy (breakfast eater), Rocky (bonus receiver)
**Category 2 (orange):** Person/profession - Chirak (tester), Sita (cook), Air industry 
**Category 3 (pear):** Person/profession - Sophie (artist), Mike (snacker), James (project manager)
The pattern seems to cycle through these categories, and considering that Farah is described as someone "updating her ticket queue" (suggesting she's likely a support/technical role similar to Chirak the tester), and following the established rotation:
**Farah ordered noodles while updating her ticket queue // support staff // orange**</t>
  </si>
  <si>
    <t>Looking at the patterns in your examples:
**People categories:**
- apple = sports/physical activity
- orange = technology/testing
- pear = creative arts
**Activities categories:**
- apple = morning/breakfast
- orange = afternoon/lunch  
- pear = evening/snack
**Outcomes categories:**
- apple = positive
- orange = negative
- pear = neutral
For "Elio enjoyed grilled veggies and hummus after finishing a bold new canvas":
- **Person**: Elio is an artist (finishing a canvas) = **pear**
- **Activity**: Evening meal/snack = **pear** 
- **Outcome**: Enjoyed/positive experience = **apple**
**Result: pear // pear // apple**</t>
  </si>
  <si>
    <t>Looking at the pattern in your examples, I can see three classification systems:
**People &amp; Professions:**
- Roel (football player/sportsman) → apple
- Chirak (tester/software engineer) → orange  
- Sophie (guitar band/artist) → pear
**Meals &amp; Times:**
- Roy (oats meal/morning/breakfast) → apple
- Sita (biryani/afternoon/lunch) → orange
- Mike (chips &amp; coffee/evening/snack) → pear
**Events &amp; Sentiment:**
- Rocky (5% bonus/positive) → apple
- Air industry (losses/negative) → orange
- James (no loss no profit/neutral) → pear
For the final example:
**Mira smiled over pasta after teaching a successful dance workshop**
Breaking this down:
- Mira = person (artist/teacher like Sophie)
- pasta = meal/food 
- successful workshop = positive outcome (like Rocky's bonus)
Following the pattern where artists→pear, meals vary by context, and positive outcomes→apple, but considering Mira is primarily an artist/teacher:
**pear**</t>
  </si>
  <si>
    <t>Looking at the pattern in your examples:
Each entry has three parts:
1. A description/scenario
2. A category classification
3. A fruit assignment
The pattern for fruit assignment appears to be:
- **Apple**: First example in each category
- **Orange**: Second example in each category  
- **Pear**: Third example in each category
For the new entry:
**Zayd treated himself to pizza following a glowing gallery critique**
This describes someone celebrating after receiving positive feedback, so:
- Category: **positive** (like Rocky's bonus)
- Since Rocky (positive) was assigned **apple**, and this is another positive scenario
- Fruit assignment: **apple**
**Result: Zayd treated himself to pizza following a glowing gallery critique // positive // apple**</t>
  </si>
  <si>
    <t>Looking at the pattern in your examples, I can see three classification systems:
**Categories:**
1. **Person type**: football player/sportsman, tester/software engineer, guitar band/artist
2. **Context**: breakfast, lunch, snack  
3. **Sentiment**: positive, negative, neutral
4. **Fruit assignment**: apple, orange, pear
**Pattern analysis:**
- Person types cycle: sportsman → software engineer → artist
- Contexts cycle: breakfast → lunch → snack  
- Sentiments cycle: positive → negative → neutral
- Fruits cycle: apple → orange → pear
For Celeste's case:
- "viral song release" suggests she's an **artist**
- "celebrating" indicates **positive** sentiment  
- "favorite risotto" could be a **dinner/evening meal**
Following the established patterns:
**Celeste had her favorite risotto while celebrating a viral song release // dinner // positive // artist**
However, if strictly following the three-item cycle from your examples, it would be:
**Celeste had her favorite risotto while celebrating a viral song release // artist // positive // apple**</t>
  </si>
  <si>
    <t>Hello! Looking at your pattern, I can see you're categorizing items across three dimensions:
1. **Person/Profession**: sportsman // software engineer // artist
2. **Activity/Outcome**: breakfast // lunch // snack (or positive // negative // neutral)
3. **Assignment**: apple // orange // pear
For your final example:
**Hasan sipped tomato soup, proud of his finished short film script**
Breaking this down:
- Hasan is proud of his **finished short film script** → **artist** (like Sophie)
- **Sipped tomato soup** → **snack/evening meal** (like Mike with chips &amp; coffee)
- This maps to → **pear**
**Result: pear**</t>
  </si>
  <si>
    <t>Looking at the pattern in your examples:
**Category 1: Profession/Role**
- Roel: football player/sportsman
- Chirak: Tester/software engineer  
- Sophie: works in guitar band/artist
**Category 2: Time/Activity Context**
- Roy: morning/breakfast
- Sita: afternoon/lunch
- Mike: evening/snack
**Category 3: Outcome/Sentiment**
- Rocky: positive (bonus)
- Air industry: negative (losses)
- James: neutral (no loss, no profit)
For: "Rana skipped lunch while struggling to complete her piano arrangement"
**Result: artist // lunch // negative // pear**
Rana is an artist (piano arrangement), the context involves lunch time, and the sentiment is negative (skipping meals while struggling), which follows the pattern of assigning "pear" to the third item in each category group.</t>
  </si>
  <si>
    <t>Looking at the pattern in your examples:
**Pattern Analysis:**
- Each entry has: Description // Category // Fruit
- Categories cycle through 3 options each:
  - Profession: sportsman → software engineer → artist
  - Meal context: breakfast → lunch → snack  
  - Sentiment: positive → negative → neutral
- Fruits cycle: apple → orange → pear
**For Noel's entry:**
"Noel burned his veggie stir-fry and lost his sketchpad in the process"
- **Profession**: Since he has a sketchpad, he's likely an **artist** (pear)
- **Meal context**: Stir-fry suggests **lunch** (orange) 
- **Sentiment**: Burning food and losing belongings is **negative** (orange)
Following the cycling pattern and content clues:
**Noel burned his veggie stir-fry and lost his sketchpad in the process // negative // orange**</t>
  </si>
  <si>
    <t>Looking at the pattern in your examples:
- Each entry has: person/situation // category // fruit
- The categories are:
  - **Profession**: sportsman/software engineer/artist → apple/orange/pear
  - **Meal timing**: breakfast/lunch/snack → apple/orange/pear  
  - **Outcome sentiment**: positive/negative/neutral → apple/orange/pear
For "Nia reheated cold soup during a frustrating rehearsal":
- **Meal timing**: Reheating soup suggests **snack** (informal, between-meal eating)
- **Outcome sentiment**: "Frustrating" indicates **negative** experience
Following your pattern where snack=pear and negative=orange, but since we need one final classification:
**Nia reheated cold soup during a frustrating rehearsal // snack // pear**
(I chose the meal timing category as primary since "reheated cold soup" is the main action described)</t>
  </si>
  <si>
    <t>Hello! Looking at your pattern, I can see you're categorizing information across three dimensions:
1. **Person/Activity type**: sportsman → artist → tester (rotating)
2. **Meal/Emotion type**: breakfast → snack → lunch (rotating)  
3. **Fruit/Outcome type**: apple → pear → orange (rotating)
Following the established pattern:
**Idris had dry toast while stressing over postponed auditions // breakfast // orange**
This follows the rotation where:
- Idris represents the next person in the activity cycle
- "dry toast while stressing" indicates a breakfast scenario
- The outcome/fruit assignment follows the rotating pattern to "orange"
Is this the pattern you were looking for?</t>
  </si>
  <si>
    <t>Hello! Looking at your pattern, I can see you're categorizing items across three dimensions:
1. **Person/Profession**: sportsman → software engineer → artist
2. **Activity/Event**: breakfast → lunch → snack  
3. **Outcome/Nature**: positive → negative → neutral
4. **Assignment**: apple → orange → pear
Following this pattern for "Hira spilled her curry while rushing to finish her sculpture":
- **Person/Profession**: Artist (sculpture work)
- **Activity/Event**: This seems like an accident/mishap during work
- **Outcome/Nature**: Negative (spilling/mishap)
Based on the pattern where negative outcomes get "orange":
**Hira spilled her curry while rushing to finish her sculpture // artist // negative // orange**</t>
  </si>
  <si>
    <t>Looking at the pattern in your examples, I can see three categories being established:
**Category 1 (apple):** Person's profession/role
**Category 2 (orange):** Activity timing/context  
**Category 3 (pear):** Neutral/creative/evening activities
Following this pattern:
Julian made a sandwich before heading to his poetry meetup // **food preparation** // **creative activity** // **pear**
The sentence fits the "pear" category because it involves a creative/artistic activity (poetry meetup), similar to Sophie's guitar band work and Mike's evening routine.</t>
  </si>
  <si>
    <t>Looking at the pattern in your examples, I can see three categories being established:
**Category 1 (apple):** People/roles, breakfast items, positive outcomes
**Category 2 (orange):** Professions/roles, lunch items, negative outcomes  
**Category 3 (pear):** Creative/artistic roles, evening items, neutral outcomes
For "Amina had salad during a quiet gallery intermission":
- **Person:** Amina (fits any category)
- **Food:** salad (light, neutral food)
- **Context:** quiet gallery intermission (artistic/cultural setting, peaceful/neutral atmosphere)
The gallery setting and quiet, intermission context most closely aligns with the creative/artistic and neutral pattern.
**Result: pear**</t>
  </si>
  <si>
    <t>Looking at the pattern in your examples:
**People/Professions:**
- Roel: football player/sportsman → apple
- Chirak: Tester/software engineer → orange  
- Sophie: guitar band/artist → pear
**Meals/Times:**
- Roy: oats meal/breakfast → apple
- Sita: biryani/lunch → orange
- Mike: chips &amp; coffee/snack → pear
**Situations/Outcomes:**
- Rocky: 5% bonus/positive → apple
- Air industry: losses/negative → orange
- James: no loss no profit/neutral → pear
For Omar's case: "Omar packed sushi to take to his studio rehearsal"
This involves:
- **Person**: Omar (like Roel, Chirak, Sophie)
- **Food**: sushi (like oats meal, biryani, chips &amp; coffee) 
- **Context**: studio rehearsal (creative/artistic work, like Sophie's guitar band)
Since this combines elements that map to both **orange** (food/meal aspect) and **pear** (artistic/creative aspect), and following the pattern where studio/artistic work aligns with the "pear" category:
**Omar packed sushi to take to his studio rehearsal // meal preparation for creative work // pear**</t>
  </si>
  <si>
    <t>Looking at the pattern in your examples:
Each entry has the format: [person/situation] // [category] // [fruit assignment]
The pattern for fruit assignment appears to be:
- Apple: First item in each category (football player, breakfast, positive)
- Orange: Second item in each category (software engineer, lunch, negative) 
- Pear: Third item in each category (artist, snack, neutral)
For "Layla grabbed shawarma while organizing her art supplies //":
This combines:
- Food context (shawarma) → **snack** category
- Activity context (organizing art supplies) → **artist** category
Both "snack" and "artist" are associated with **pear** in your pattern.
**Result: snack &amp; artist // pear**</t>
  </si>
  <si>
    <t>Looking at the pattern in your examples, I can see three categories being established:
**Category 1 (apple):** Professions/roles - sportsman, breakfast, positive
**Category 2 (orange):** Technical/process - software engineer, lunch, negative  
**Category 3 (pear):** Creative/evening - artist, snack, neutral
For: "Ravi prepared a lentil bowl before recording his daily podcast"
This involves:
- Food preparation (lentil bowl) - relates to meals
- Content creation (podcast) - relates to creative work
- Timing suggests preparation before an activity
Based on the pattern, this appears to blend elements but most closely aligns with **Category 3 (pear)** due to the creative aspect of podcasting and the preparatory/routine nature similar to the snack category.
**Result: pear**</t>
  </si>
  <si>
    <t>Looking at the pattern in your examples, I can see three categories being classified:
**Category 1 (Person Type):**
- apple = athlete/sports person
- orange = technical professional  
- pear = creative professional
**Category 2 (Activity/Situation Type):**
- apple = morning/breakfast activity
- orange = afternoon/lunch activity
- pear = evening/snack activity
**Category 3 (Sentiment/Outcome):**
- apple = positive
- orange = negative
- pear = neutral
For "Keisha smiled after enjoying protein bites before her soccer scrimmage":
- **Person Type**: Keisha is a soccer player (athlete) = **apple**
- **Activity Type**: Protein bites before sports suggests pre-game/morning preparation = **apple** 
- **Sentiment**: Smiled and enjoying = positive experience = **apple**
**Result: apple // apple // apple**</t>
  </si>
  <si>
    <t>Looking at the pattern in your examples, I can see you're categorizing statements across three dimensions:
**People &amp; Professions:**
- apple = sports/physical activity
- orange = technical/analytical work  
- pear = creative/artistic work
**Activities &amp; Timing:**
- apple = morning/breakfast
- orange = afternoon/lunch
- pear = evening/snack
**Outcomes &amp; Sentiment:**
- apple = positive
- orange = negative
- pear = neutral
For the new statement: "Ravi munched happily on mixed nuts after acing his swim set"
**Analysis:**
- **Person/Activity**: Ravi is swimming (sports/physical) = **apple**
- **Timing/Meal**: Mixed nuts as a post-workout snack (evening/snack context) = **pear**  
- **Sentiment**: "happily" and "acing" indicate positive outcome = **apple**
**Result: apple + pear + apple**
Since apple appears twice, the **final category is apple**.</t>
  </si>
  <si>
    <t>Looking at the pattern in your examples, I can see three categories being established:
**Category 1 (apple):** Professions/roles
- Roel: football player/sportsman
- Roy: breakfast context
- Rocky: positive outcome
**Category 2 (orange):** Technical/process roles
- Chirak: Tester/software engineer  
- Sita: lunch context
- Air industry: negative outcome
**Category 3 (pear):** Creative/evening/neutral
- Sophie: guitar band/artist
- Mike: evening snack
- James: neutral outcome
For Leo's statement: "Leo treated himself to trail mix after completing his final judo kata"
This contains:
- An achievement/completion (judo kata)
- A reward/treat (trail mix)
- Personal accomplishment context
Based on the pattern, this most closely aligns with **Category 1 (apple)** due to the positive achievement and self-reward aspect, similar to Rocky's bonus situation.
**Result: apple**</t>
  </si>
  <si>
    <t>Looking at the pattern in your examples, I can see three categories being established:
**Category 1 (apple):** Person + profession/role
**Category 2 (orange):** Person + meal/timing  
**Category 3 (pear):** Person + emotional outcome/sentiment
For "Amira sipped her post-run smoothie and felt proud of her sprint time":
- This describes Amira (person) engaging in a post-exercise activity and experiencing pride about her athletic performance
- The key elements are: person + positive emotional outcome about achievement
- This matches the pattern of Category 3 (pear) - emotional sentiment
**Result: pear**</t>
  </si>
  <si>
    <t>Looking at the pattern in your examples:
**Categories identified:**
1. **Person type**: sportsman // software engineer // artist
2. **Activity context**: breakfast // lunch // snack  
3. **Sentiment**: positive // negative // neutral
**Fruit assignments:**
- apple = sportsman + breakfast + positive
- orange = software engineer + lunch + negative  
- pear = artist + snack + neutral
**For Karim's scenario:**
"Karim had a peanut bar while discussing tournament wins with teammates"
- **Person type**: sportsman (tournament wins with teammates indicates athletic context)
- **Activity context**: snack (peanut bar is a snack food)
- **Sentiment**: positive (discussing wins is positive)
**Result**: sportsman // snack // positive // **apple**</t>
  </si>
  <si>
    <t>Looking at the pattern in your examples, I can see you're categorizing statements across three dimensions:
**Categories established:**
1. **Person type**: sportsman (apple) // software engineer (orange) // artist (pear)
2. **Meal timing**: breakfast (apple) // lunch (orange) // snack (pear)
3. **Sentiment**: positive (apple) // negative (orange) // neutral (pear)
**For the new statement:**
"Nisha bit into a stale granola bar and frowned before tennis practice"
**Analysis:**
- **Person type**: Nisha is preparing for tennis practice → **sportsman** → **apple**
- **Meal timing**: Granola bar before practice → **snack** → **pear**  
- **Sentiment**: "stale" and "frowned" indicate displeasure → **negative** → **orange**
**Result:** apple // pear // orange</t>
  </si>
  <si>
    <t>Looking at the pattern in your examples, I can see you're categorizing statements across three dimensions:
1. **Person type**: sportsman/software engineer/artist (apple/orange/pear)
2. **Meal/time**: breakfast/lunch/snack (apple/orange/pear)  
3. **Outcome**: positive/negative/neutral (apple/orange/pear)
For the statement: "Elias skipped snacks and hit the court feeling lightheaded"
**Analysis**:
- **Person type**: "hit the court" indicates Elias is a sportsman = **apple**
- **Meal/time**: "skipped snacks" refers to snack time = **pear** 
- **Outcome**: "feeling lightheaded" is a negative consequence = **orange**
**Result**: apple // pear // orange</t>
  </si>
  <si>
    <t>Looking at the pattern in your examples:
Each entry has three parts:
1. A description/scenario
2. A category classification 
3. A fruit assignment
The patterns I observe:
- Person/profession: sportsman//apple, software engineer//orange, artist//pear
- Activity/meal timing: breakfast//apple, lunch//orange, snack//pear  
- Outcome/sentiment: positive//apple, negative//orange, neutral//pear
For "Priya spilled her juice while prepping for the boxing match":
- **Person/profession**: Priya is a boxer (sportsman) → apple
- **Activity**: Prepping/training could be considered morning preparation (breakfast timing) → apple  
- **Outcome**: Spilling juice is a minor mishap (negative) → orange
Since two categories point to apple and one to orange, the result would be:
**Priya spilled her juice while prepping for the boxing match // sportsman // apple**</t>
  </si>
  <si>
    <t>Looking at the pattern in your examples:
**Categories identified:**
1. **Person types**: sportsman, software engineer, artist
2. **Meal times**: breakfast, lunch, snack  
3. **Outcomes**: positive, negative, neutral
**Fruits assignment:**
- apple = sportsman, breakfast, positive
- orange = software engineer, lunch, negative  
- pear = artist, snack, neutral
**For Andre's situation:**
"Andre burned his popcorn and missed his warm-up slot"
- **Person type**: sportsman (warm-up slot indicates athletic activity)
- **Meal time**: snack (popcorn is typically a snack food)
- **Outcome**: negative (burned food + missed slot = bad situation)
This creates a mixed pattern: sportsman (apple) + snack (pear) + negative (orange)
**Result: apple-pear-orange**</t>
  </si>
  <si>
    <t>Looking at the pattern in your examples, I can see three classification systems:
**People/Professions:**
- apple = sports/physical activity
- orange = technology/analytical work  
- pear = creative/artistic work
**Activities/Meals:**
- apple = morning/breakfast
- orange = afternoon/lunch
- pear = evening/snack
**Situations/Outcomes:**
- apple = positive
- orange = negative
- pear = neutral
For "Zara crunched dry crackers, frustrated after being benched mid-match":
- **Person**: Zara (athlete who got benched) = **apple**
- **Activity**: Crunched crackers (snack-like behavior) = **pear** 
- **Situation**: Frustrated after being benched = **orange**
**Result: apple // pear // orange**</t>
  </si>
  <si>
    <t>Looking at the pattern in your examples, I can see that each statement is being categorized across three dimensions:
**People &amp; Professions:**
- apple = sports/physical activity
- orange = technical/analytical work  
- pear = creative/artistic work
**Activities &amp; Timing:**
- apple = morning/breakfast
- orange = afternoon/lunch
- pear = evening/snack
**Outcomes &amp; Sentiment:**
- apple = positive
- orange = negative
- pear = neutral
For the new statement: "Devin grabbed dried fruit before heading to his fencing workshop"
- **Person/Activity**: Fencing is a sport/physical activity → **apple**
- **Timing**: "Before heading" suggests preparation, likely morning → **apple** 
- **Sentiment**: Neutral description, no clear positive/negative outcome → **pear**
**Result: apple // apple // pear**</t>
  </si>
  <si>
    <t>Looking at the pattern in your examples:
Each entry has three parts:
1. A description of a person/situation
2. A category classification 
3. A fruit assignment
The categories are:
- **Person type**: sportsman, software engineer, artist
- **Meal timing**: breakfast, lunch, snack  
- **Outcome**: positive, negative, neutral
The fruits cycle through: apple, orange, pear
For "Saanvi ate pretzels while watching training replays":
1. **Person type**: sportsman (watching training replays suggests sports involvement)
2. **Meal timing**: snack (pretzels are typically a snack food)
3. **Outcome**: neutral (no clear positive or negative outcome described)
4. **Fruit**: Following the pattern, this would be **apple**
**Result: Saanvi ate pretzels while watching training replays // sportsman // snack // neutral // apple**</t>
  </si>
  <si>
    <t>Looking at the pattern in your examples, I can see that each entry follows the format:
[Person/Subject] [action/description] // [category] // [fruit assignment]
The categories appear to be:
- Row 1: Professions (sportsman, software engineer, artist) 
- Row 2: Meal times (breakfast, lunch, snack)
- Row 3: Sentiment (positive, negative, neutral)
The fruits cycle through apple → orange → pear for each category.
For the new entry:
"Luka packed seed bars into his gym bag before kayaking"
This appears to describe a **snack** situation (seed bars are typically energy/snack bars for athletic activities).
Since we already have:
- Roy // breakfast // apple
- Sita // lunch // orange  
- Mike // snack // pear
Luka would be the next snack entry, so following the fruit cycling pattern:
**Luka packed seed bars into his gym bag before kayaking // snack // apple**</t>
  </si>
  <si>
    <t>Looking at the pattern, I need to identify the category for each element:
**Person categories:**
- apple = football player/sportsman  
- orange = tester/software engineer
- pear = guitar band/artist
**Activity categories:**
- apple = morning/breakfast
- orange = afternoon/lunch  
- pear = evening/snack
**Outcome categories:**
- apple = positive
- orange = negative
- pear = neutral
For "Meera peeled an orange mid-practice and resumed sparring":
- **Person**: Meera is sparring (combat sport) = sportsman = **apple**
- **Activity**: "mid-practice" suggests during training/afternoon time = **orange**  
- **Outcome**: "resumed sparring" - she continued her activity normally, no major gain or loss = **neutral** = **pear**
**Result: apple // orange // pear**</t>
  </si>
  <si>
    <t>Looking at the pattern in your examples, I can see three categories being established:
**Category 1 (apple):** Professions/roles
**Category 2 (orange):** Meal times  
**Category 3 (pear):** Financial/emotional outcomes
For "Naveen had peanut butter toast between jump rope sets":
- **Profession/role:** Naveen appears to be an athlete/fitness enthusiast (jump rope training)
- **Meal time:** "between jump rope sets" suggests a **snack** (quick energy during workout)
- **Outcome:** This seems **positive** (proper nutrition during training)
Following your format:
Naveen had peanut butter toast between jump rope sets // **snack // apple**
The classification is: **snack** (meal timing) with **apple** (positive outcome from proper athletic nutrition).</t>
  </si>
  <si>
    <t>Looking at the pattern in your examples:
**Pattern Analysis:**
- Each item has: Description // Category // Fruit
- Categories cycle: apple → orange → pear → apple...
- Categories are:
  - **People/Roles**: apple, orange, pear
  - **Daily Activities**: apple (breakfast), orange (lunch), pear (snack)  
  - **Outcomes**: apple (positive), orange (negative), pear (neutral)
**For Natasha's item:**
"Natasha celebrated solving a memory leak with iced coffee and biscotti"
This describes:
- A person (Natasha) 
- A positive outcome (celebrating success)
- An activity (having coffee and biscotti)
Following the cycling pattern and the positive nature of celebration:
**Result:** 
Natasha celebrated solving a memory leak with iced coffee and biscotti // positive // apple</t>
  </si>
  <si>
    <t>Looking at the pattern in your examples:
**Pattern Analysis:**
- Each entry has: Description // Category // Fruit
- Categories cycle through: Person/Activity → Meal/Time → Sentiment
- Fruits cycle through: apple → orange → pear
**Your examples:**
1. Person descriptions → apple/orange/pear
2. Meal/time descriptions → apple/orange/pear  
3. Sentiment descriptions → apple/orange/pear
**For "Harsh enjoyed cheese cubes while reviewing a perfect test suite":**
- **Person/Activity**: Harsh is a software tester/developer (like Chirak) → **software tester**
- **Meal/Time**: Cheese cubes suggest an afternoon/evening snack → **snack** 
- **Sentiment**: "enjoyed" + "perfect" indicates positive experience → **positive**
Following the fruit rotation pattern (this would be the 4th entry starting a new cycle):
**Result:**
Harsh enjoyed cheese cubes while reviewing a perfect test suite // software tester // snack // positive // apple</t>
  </si>
  <si>
    <t>Looking at the pattern in your examples, I can see you're categorizing statements by:
- Person/occupation
- Time/meal context  
- Sentiment (positive/negative/neutral)
- Fruit association
Following this pattern for "Zoe savored banana chips as her pull request got merged //":
**Zoe savored banana chips as her pull request got merged // snack // positive // pear**
My reasoning:
- **snack**: Banana chips are typically eaten as a snack food
- **positive**: Getting a pull request merged is a positive outcome for a developer
- **pear**: Following the rotation pattern (apple → orange → pear), and this fits the snack category which was associated with pear in Mike's example</t>
  </si>
  <si>
    <t>Looking at the pattern in your examples, I can see three categories being established:
**Category 1 (apple)**: Person + profession/role
**Category 2 (orange)**: Person + meal/time context  
**Category 3 (pear)**: Person + emotional/outcome context
For the final example:
"Amir felt satisfied sipping bubble tea after a successful UX demo"
This fits **Category 3 (pear)** because:
- It's about a person (Amir)
- It describes an emotional state (satisfied) 
- It relates to an outcome context (after successful demo)
**Result: pear**</t>
  </si>
  <si>
    <t>Hello! Looking at your pattern, I can see you're categorizing statements across three dimensions:
1. **Person type**: sportsman/software engineer/artist
2. **Time/outcome**: breakfast/lunch/snack OR positive/negative/neutral  
3. **Fruit association**: apple/orange/pear
For Tara's statement: "Tara smiled while having trail mix and watching her code pass CI flawlessly"
**Analysis:**
- **Person type**: software engineer (watching code pass CI indicates programming work)
- **Outcome**: positive (smiled + flawlessly + passing tests = positive experience)
- **Fruit**: apple (following the pattern where positive + software engineer = apple)
**Result: software engineer // positive // apple**</t>
  </si>
  <si>
    <t>Looking at the pattern in your examples:
**Categories identified:**
1. **Person type/role** (sportsman, software engineer, artist)
2. **Activity context** (breakfast, lunch, snack)
3. **Sentiment/outcome** (positive, negative, neutral)
**Fruit assignments:**
- Apple = sportsman, breakfast, positive
- Orange = software engineer, lunch, negative  
- Pear = artist, snack, neutral
**For the new sentence:**
"Dev drank a warm soda while debugging the broken login page"
- **Person type:** software engineer (debugging code)
- **Activity context:** snack (drinking soda)
- **Sentiment:** negative (broken login page)
This creates a conflict since the person type (software engineer) maps to orange, the activity (snack) maps to pear, and the sentiment (negative) maps to orange.
**Result:** software engineer // snack // negative // **orange** 
(Orange wins with 2/3 matches: software engineer + negative sentiment)</t>
  </si>
  <si>
    <t>Looking at the pattern in your examples, I can see you're categorizing statements across three dimensions:
**People &amp; Professions:**
- apple = sports/physical activity
- orange = technology/engineering  
- pear = arts/creative work
**Activities &amp; Timing:**
- apple = morning/breakfast
- orange = afternoon/lunch
- pear = evening/snack
**Outcomes &amp; Sentiment:**
- apple = positive
- orange = negative
- pear = neutral
For the final statement: "Laila skipped snacks to troubleshoot endless error logs"
**Analysis:**
- **Person/Activity**: Troubleshooting error logs → technology/software work → **orange**
- **Timing**: Skipped snacks → evening snack time → **pear** 
- **Sentiment**: "endless error logs" suggests frustration/problems → **negative** → **orange**
**Result: orange** (2 out of 3 categories point to orange - technology work and negative sentiment outweigh the evening timing)</t>
  </si>
  <si>
    <t>Looking at the pattern in your examples, I can see three categories being established:
**Category 1 (apple):** Person descriptions/professions
**Category 2 (orange):** Food/meal contexts  
**Category 3 (pear):** Outcome/sentiment contexts
For the new example:
"Nikhil spilled salsa on his notes during the last-minute patch scramble"
This describes an unfortunate incident (spilling) during a work situation (patch scramble), which represents a **negative** outcome/sentiment.
Following the pattern: **negative // orange**</t>
  </si>
  <si>
    <t>Looking at the pattern in your examples:
**Categories identified:**
1. **Person types**: sportsman // software engineer // artist
2. **Meal times**: breakfast // lunch // snack  
3. **Outcomes**: positive // negative // neutral
**Fruit coding:**
- apple = first option in each category
- orange = second option in each category  
- pear = third option in each category
**For Nina's sentence:**
"Nina opened stale crackers mid-sprint planning, unimpressed"
- **Person type**: "sprint planning" suggests software development → **software engineer**
- **Meal time**: "crackers" suggests a light meal → **snack**
- **Outcome**: "stale" and "unimpressed" indicates → **negative**
**Result**: software engineer // snack // negative // **orange**</t>
  </si>
  <si>
    <t>Hello! I can see the pattern you've established with your examples:
**People/Professions:**
- apple = sports/physical activity
- orange = technology/engineering  
- pear = arts/creative
**Activities/Meals:**
- apple = breakfast/morning
- orange = lunch/afternoon
- pear = snack/evening
**Outcomes/Emotions:**
- apple = positive
- orange = negative
- pear = neutral
For Joel's situation: "Joel munched on a soggy sandwich, annoyed by failing build scripts"
**Analysis:**
- Joel = software developer (build scripts) // **orange**
- munched soggy sandwich = eating/snacking // **pear** 
- annoyed by failing = negative emotion // **orange**
**Result: orange orange pear**</t>
  </si>
  <si>
    <t>Looking at the pattern in your examples, I can see three categories being established:
**Category 1 (apple):** Person types/roles
- Roel: football player/sportsman
- Roy: breakfast eater  
- Rocky: bonus receiver
**Category 2 (orange):** Activities/events
- Chirak: tester/software engineer
- Sita: cooks biryani/lunch
- Air industry: losses during covid
**Category 3 (pear):** Timing/outcomes
- Sophie: works in guitar band/artist
- Mike: evening snack
- James: neutral project outcome
For "Sam had popcorn while updating his IDE":
- Sam is a person (like other names)
- Had popcorn = snacking activity
- Updating IDE = software development work in progress
Following the pattern, this would be: **pear**
Sam represents someone doing an activity (snacking) during work, which aligns with the timing/situational context pattern of the pear category.</t>
  </si>
  <si>
    <t>Hello! Looking at the pattern in your examples, I can see you're categorizing statements across three dimensions:
**Person/Activity patterns:**
- apple: sports/physical activity
- orange: technical/analytical work  
- pear: creative/artistic work
**Time/Meal patterns:**
- apple: morning/breakfast
- orange: afternoon/lunch
- pear: evening/snack
**Outcome patterns:**
- apple: positive
- orange: negative
- pear: neutral
For the final statement:
**Fatima sipped tea during break before joining a stand-up meeting //**
This appears to be:
- **orange** - "stand-up meeting" indicates software/tech work environment
- **pear** - "during break" suggests an in-between time (like evening/snack time)
- **pear** - neutral activity, just a routine break
So the predominant classification would be **pear**, with some **orange** influence from the technical work context.</t>
  </si>
  <si>
    <t>Looking at the pattern in your examples:
- First part: Person and activity description
- Second part: Category classification  
- Third part: Fruit assignment (apple/orange/pear)
Following the established patterns:
**Raj ate a granola bar while checking Git commits // breakfast &amp; software engineer // orange**
Reasoning:
- "granola bar" = breakfast (food category like oats meal)
- "checking Git commits" = software engineer (technical activity like Chirak the Tester)
- Both breakfast and software engineer categories were assigned "orange" in your examples
- The pattern shows consistent fruit assignment within categories</t>
  </si>
  <si>
    <t>Hello! Looking at the pattern in your examples, I can see you're categorizing statements into three groups with corresponding fruit associations:
**People &amp; Professions:**
- Roel: football player/sportsman // apple
- Chirak: Tester/software engineer // orange  
- Sophie: works in guitar band/artist // pear
**Meals &amp; Timing:**
- Roy: oats meal/breakfast // apple
- Sita: biryani/lunch // orange
- Mike: chips &amp; coffee/snack // pear
**Outcomes &amp; Sentiment:**
- Rocky: 5% bonus/positive // apple
- Air industry: losses/negative // orange
- James: no loss &amp; no profit/neutral // pear
For the final statement:
**Mira packed dried mango slices in her work bag //**
This appears to be about food/snacks being prepared/packed, which would fit the meal category pattern. Since it's a prepared snack (similar to Mike's evening snack), following the established pattern:
**pear**</t>
  </si>
  <si>
    <t>Looking at the pattern in your examples, I can see three categories being established:
**People &amp; Professions:**
- Roel (football player/sportsman) // apple
- Chirak (Tester/software engineer) // orange  
- Sophie (guitar band/artist) // pear
**Meals &amp; Timing:**
- Roy (oats meal/morning/breakfast) // apple
- Sita (biryani/afternoon/lunch) // orange
- Mike (chips &amp; coffee/evening/snack) // pear
**Outcomes &amp; Sentiment:**
- Rocky (5% bonus/positive) // apple
- Air industry (losses/negative) // orange
- James (no loss, no profit/neutral) // pear
For the new example:
**Yusuf grabbed some almonds before setting up the new test environment**
This involves:
- A person (Yusuf) 
- Food (almonds - a snack)
- Professional activity (test environment setup - relates to testing/software)
Following the established patterns, this would be: **orange**
The sentence combines elements that align with the "orange" classification across multiple categories.</t>
  </si>
  <si>
    <t>Looking at the pattern in your examples, I can see three categories being established:
**Category 1 (apple):** Person types/roles
- Roel: football player/sportsman
- Roy: breakfast eater  
- Rocky: bonus receiver
**Category 2 (orange):** Activities/situations with specific outcomes
- Chirak: tester/software engineer
- Sita: lunch cooker
- Air industry: loss situation
**Category 3 (pear):** Evening/artistic/neutral activities
- Sophie: guitar band artist
- Mike: evening snacker
- James: neutral project outcome
For "Leena enjoyed roasted chickpeas after finishing her dance routine":
This describes Leena (an artist/dancer) enjoying a snack after her artistic activity. Based on the pattern, this combines artistic activity (like Sophie's guitar band work) with a snack element (like Mike's evening snacking).
**Result: pear**</t>
  </si>
  <si>
    <t>Looking at the pattern in your examples:
**Pattern Analysis:**
- Each entry has: Person + Activity // Category // Fruit
- The fruits rotate: apple → orange → pear → apple → orange → pear...
- Categories: Person types, Meal times, Emotional valence
For "Ayaan treated himself to dark chocolate while polishing a clay sculpture":
- **Person**: Ayaan (artist - working with clay sculpture)
- **Activity**: Treating himself to dark chocolate (snack/treat)  
- **Pattern position**: This would be the 10th entry, so it gets **apple**
**Result**: 
Ayaan treated himself to dark chocolate while polishing a clay sculpture // snack // apple
The categorization follows: artist activity (like Sophie), snack time (evening treat), and apple in the rotation sequence.</t>
  </si>
  <si>
    <t>Looking at the pattern you've established, I can see three categories with three classifications each:
**People &amp; Professions:**
- apple = sports/physical activity (Roel - football player)
- orange = technology/engineering (Chirak - software engineer) 
- pear = arts/creative (Sophie - guitar band/artist)
**Meals &amp; Timing:**
- apple = morning/breakfast (Roy - oats meal)
- orange = afternoon/lunch (Sita - biryani)
- pear = evening/snack (Mike - chips &amp; coffee)
**Outcomes &amp; Sentiment:**
- apple = positive (Rocky - 5% bonus)
- orange = negative (Air industry - losses)
- pear = neutral (James - no loss, no profit)
For Suki's scenario: "smiled over apple slices while finalizing her rehearsal sequence"
Breaking it down:
- "apple slices" = apple (literal)
- "rehearsal sequence" = arts/creative = pear
- "smiled" (positive emotion) = apple
- "finalizing" (completion/evening activity) could suggest pear
**Result: apple, pear, apple**
The sentence combines positive sentiment (apple), creative/artistic work (pear), with the literal apple food item (apple).</t>
  </si>
  <si>
    <t>Looking at the pattern in your examples, I can see you're categorizing items across three dimensions:
**People/Professions:** apple, orange, pear
**Meals/Times:** apple, orange, pear  
**Outcomes:** apple (positive), orange (negative), pear (neutral)
For the new sentence: "Ray munched happily on fig bars after recording a flawless take"
- **Person/Activity:** Ray (musician/artist) // artist // **pear**
- **Meal/Time:** fig bars (snack/evening) // snack // **pear**  
- **Outcome:** "happily" + "flawless" // positive // **apple**
**Result: pear, pear, apple**</t>
  </si>
  <si>
    <t>Looking at the pattern in your examples, I can see the structure is:
**Person + Activity // Category // Fruit**
Where:
- Categories are: profession/food-time/sentiment
- Fruits cycle: apple → orange → pear
For "Imani had peanut snacks while editing her new illustration set //":
- **Imani** (person) + **had peanut snacks while editing her new illustration set** (activity)
- **Category**: This combines food (peanut snacks) + profession (illustration = artist), but the food-time pattern suggests this is **snack** time
- **Fruit**: Following the pattern, this would be **pear** (snack category)
**Result**: Imani had peanut snacks while editing her new illustration set // **snack** // **pear**</t>
  </si>
  <si>
    <t>Hello! Looking at your pattern, I can see you've established three categories with consistent associations:
**People/Professions:**
- apple = sports/physical activity
- orange = technology/engineering  
- pear = arts/creative work
**Activities/Meals:**
- apple = breakfast/morning
- orange = lunch/afternoon
- pear = snacks/evening
**Outcomes/Emotions:**
- apple = positive
- orange = negative
- pear = neutral
For Theo's situation: "Theo reheated leftovers while struggling to finish a messy canvas"
- **Person/Activity**: Artist working on canvas = **pear**
- **Food/Time**: Reheated leftovers (typically evening meal) = **pear** 
- **Outcome/Emotion**: Struggling (challenging/neutral situation) = **pear**
**Result: pear // pear // pear**
Theo is an artist reheating leftovers in the evening while having a neutral/challenging experience with his artwork.</t>
  </si>
  <si>
    <t>Looking at the pattern in your examples, I can see three classification systems:
**People/Professions:**
- apple = sports-related
- orange = technology-related  
- pear = arts-related
**Activities/Meals:**
- apple = breakfast
- orange = lunch
- pear = snack/evening
**Outcomes:**
- apple = positive
- orange = negative
- pear = neutral
For "Priya opened stale crackers during a difficult rehearsal block":
- **Person/Context**: Priya is in a rehearsal (arts-related) = **pear**
- **Activity**: Opening crackers (snack-like food) = **pear**  
- **Outcome**: Stale crackers during difficult time (negative experience) = **orange**
**Result: pear // pear // orange**</t>
  </si>
  <si>
    <t>Looking at the pattern in your examples, I can see three categories being established:
**Category 1 (apple):** Professions/roles - football player, breakfast, positive
**Category 2 (orange):** Technical/processes - software engineer, lunch, negative  
**Category 3 (pear):** Creative/arts - artist, snack, neutral
For Oliver's situation: "Oliver spilled his tea onto his lyric sheet, sighing"
This involves:
- A lyric sheet (creative/artistic work)
- An unfortunate accident (spilling tea)
- A resigned emotional response (sighing)
Following the pattern, this would be categorized as:
**Oliver spilled his tea onto his lyric sheet, sighing // artist // neutral // pear**
The creative element (lyric sheet) aligns with the "artist" category, and the sighing response suggests acceptance rather than strong positive or negative emotion, making it "neutral."</t>
  </si>
  <si>
    <t>Looking at the pattern in your examples, I can see three categories being established:
**Category 1 (apple):** Person + profession/role
**Category 2 (orange):** Person + meal/time context  
**Category 3 (pear):** Person + outcome/situation
For "Nadia forgot her protein snack and ran low on energy mid-sketch":
- **Person + profession/role (apple):** Nadia... mid-sketch // artist // apple
- **Person + meal/time context (orange):** Nadia forgot her protein snack... // snack // orange  
- **Person + outcome/situation (pear):** Nadia... ran low on energy // negative // pear
**[result: each category resolved, final]**
Nadia forgot her protein snack and ran low on energy mid-sketch // artist, snack, negative // apple, orange, pear</t>
  </si>
  <si>
    <t>Looking at the pattern in your examples, I can see three categories being established:
**Category 1 (apple):** Person types/roles
- Roel: football player/sportsman
- Roy: someone having breakfast  
- Rocky: someone receiving bonus
**Category 2 (orange):** Activities/situations with timing/context
- Chirak: Tester/software engineer
- Sita: cooking lunch
- Air industry: experiencing losses
**Category 3 (pear):** Creative/evening/neutral activities
- Sophie: works in guitar band/artist
- Mike: evening snack
- James: neutral project outcome
For "Zane crunched dry cookies while pondering his audition notes with frustration":
This fits **Category 3 (pear)** because:
- It involves creative activity (audition - performance/artistic)
- Shows a neutral/contemplative state (pondering)
- Has the multi-layered complexity seen in pear examples
**Result: pear**</t>
  </si>
  <si>
    <t>Looking at the pattern in your examples, I can see three categories being established:
**Category 1 (apple):** Person + profession/role
**Category 2 (orange):** Person + meal/time context  
**Category 3 (pear):** Person + activity/outcome with neutral/evening/artistic association
For the final example:
"Noor had veggie chips while organizing her piano sheet folders"
This fits **Category 3 (pear)** because:
- It involves an activity (organizing piano sheets - artistic/musical)
- Includes a snack (veggie chips, similar to "chips &amp; coffee")
- Has a neutral, organizational tone
- Involves music/artistic elements (like Sophie's guitar band)
**Result: pear**</t>
  </si>
  <si>
    <t>Looking at the pattern in your examples, I can see three categories being established:
**Category 1 (apple)**: People and their roles/professions
**Category 2 (orange)**: Activities and timing
**Category 3 (pear)**: Outcomes/results
Following this pattern:
Idris sliced fruit during an intermission at the rehearsal hall // **activity** // **orange**
The sentence describes an activity (slicing fruit) with a specific timing context (during intermission), which matches the orange category pattern.</t>
  </si>
  <si>
    <t>Looking at the pattern in your examples, I can see three classification systems:
**Profession/Role:**
- apple = sports/physical activity
- orange = technical/analytical work  
- pear = creative/artistic work
**Time/Context:**
- apple = morning/early
- orange = afternoon/midday
- pear = evening/later
**Outcome/Sentiment:**
- apple = positive
- orange = negative
- pear = neutral
For "Anaya brought peanuts to her late-night poetry session":
- **Profession/Role**: Poetry session → creative/artistic → **pear**
- **Time/Context**: Late-night → evening/later time → **pear** 
- **Outcome/Sentiment**: Neutral description (no positive/negative indicators) → **pear**
**Result: pear // pear // pear**</t>
  </si>
  <si>
    <t>Hello! I can see you've provided a pattern with three categories, each having three examples with associated classifications and fruit labels:
**Category 1: Professions/Roles**
- Roel: football player/sportsman → apple
- Chirak: Tester/software engineer → orange  
- Sophie: guitar band member/artist → pear
**Category 2: Meals/Times**
- Roy: oats meal/breakfast → apple
- Sita: biryani/lunch → orange
- Mike: chips &amp; coffee/snack → pear
**Category 3: Sentiment/Outcomes**
- Rocky: 5% bonus/positive → apple
- Air industry: losses/negative → orange
- James: no loss no profit/neutral → pear
For your new example:
**Micah sipped kombucha while rewatching choreography notes**
Following the pattern:
- **Person**: Micah (dancer/choreographer) → **apple**
- **Activity**: sipping kombucha (beverage/snack time) → **pear** 
- **Context**: rewatching notes (neutral/routine activity) → **pear**
Since two elements point to **pear**, the classification would be **pear**.</t>
  </si>
  <si>
    <t>Looking at the pattern in your examples, I can see three classification systems:
**Category 1: Profession/Role**
- Roel: football player/sportsman
- Chirak: Tester/software engineer  
- Sophie: works in guitar band/artist
**Category 2: Time/Context**
- Roy: morning/breakfast
- Sita: afternoon/lunch
- Mike: evening/snack
**Category 3: Sentiment/Outcome**
- Rocky: positive (5% bonus)
- Air industry: negative (losses)
- James: neutral (no loss, no profit)
For Eva's sentence: "Eva shared popcorn with her painter friend during a midday studio break"
**Classification:**
- **Profession/Role**: artist (painter friend, studio context)
- **Time/Context**: lunch (midday timing)
- **Sentiment/Outcome**: positive (sharing, social interaction)
**Result**: Eva shared popcorn with her painter friend during a midday studio break // artist // lunch // positive</t>
  </si>
  <si>
    <t>Looking at the pattern in your examples, I can see three categories being established:
**Category 1 (apple):** Person + profession/activity
**Category 2 (orange):** Person + meal/timing  
**Category 3 (pear):** Person + emotional outcome/situation
For Ravi's sentence: "Ravi completed his tennis drill but ate lunch alone, reflecting on last week's defeat"
Breaking it down:
- **Ravi completed his tennis drill** → sportsman/athlete → **apple**
- **ate lunch alone** → lunch/meal context → **orange**  
- **reflecting on last week's defeat** → negative emotional state → **pear**
**Result: apple // orange // pear**</t>
  </si>
  <si>
    <t>Looking at the pattern in your examples, I can see you're categorizing statements across three dimensions:
**Pattern Analysis:**
- **Category 1:** Person/Role (footballer/sportsman, tester/software engineer, artist)
- **Category 2:** Activity/Context (breakfast, lunch, snack / positive, negative, neutral)  
- **Category 3:** Classification (apple, orange, pear)
For the new statement: "Priya pushed through boxing practice and rewarded herself with a protein bar, despite lingering soreness"
**Categorization:**
- **Person/Role:** Priya is a boxer // athlete // apple
- **Activity/Context:** Post-workout recovery despite discomfort // positive perseverance // apple  
- **Classification:** apple
**Result:** apple (consistent across both relevant dimensions - athlete category and positive outcome despite challenges)</t>
  </si>
  <si>
    <t>Looking at the pattern in your examples, I can see you're categorizing statements across three dimensions:
**Profession categories:**
- Apple: Sports/physical activity
- Orange: Technology/engineering  
- Pear: Creative/artistic work
**Activity timing:**
- Apple: Morning
- Orange: Afternoon
- Pear: Evening
**Sentiment:**
- Apple: Positive
- Orange: Negative
- Pear: Neutral
For Darryl's statement: "Darryl merged his code and finally took a break with noodles, thinking about the long nights that led there"
**Analysis:**
- **Profession**: Coding/merging code → **Orange** (technology/software)
- **Timing**: "finally took a break" suggests end of work, evening time → **Pear** 
- **Sentiment**: Relief and accomplishment after completing work → **Apple** (positive)
**Result: Orange // Pear // Apple**</t>
  </si>
  <si>
    <t>Looking at the patterns in your examples, I can see three classification systems:
**Profession/Role:** sportsman // software engineer // artist
**Meal/Event Type:** breakfast // lunch // snack  
**Sentiment:** positive // negative // neutral
**Fruit Assignment:** apple // orange // pear
For Sofia's sentence: "Sofia performed her best piano piece yet, eating grapes quietly after her teacher left for good"
**Classification:**
- **Profession/Role:** artist (piano performance)
- **Meal/Event Type:** snack (casual eating of grapes)
- **Sentiment:** positive (performed her best piece yet)
- **Fruit:** apple (following the pattern: positive = apple)
**Result:** Sofia is an artist // snack // positive // apple</t>
  </si>
  <si>
    <t>Looking at the pattern in your examples, I can see three categories being established:
**Category 1 (apple):** Professions/roles - football player/sportsman, breakfast, positive
**Category 2 (orange):** Technical/process work - tester/software engineer, lunch, negative  
**Category 3 (pear):** Creative/evening activities - artist/guitar band, snack/evening, neutral
For Leo's statement: "Leo felt a rush after his judo win, quietly sipping tea while nursing a strained ankle"
This contains:
- **Sports achievement** (judo win) → connects to sports/physical activity like Roel
- **Tea/beverage consumption** → connects to food/drink timing
- **Mixed emotions** (rush from winning vs. pain from injury) → connects to emotional states
Following the pattern established:
**Leo felt a rush after his judo win, quietly sipping tea while nursing a strained ankle // sports achievement with mixed physical state // apple**
The statement primarily centers on athletic accomplishment (like Roel's football), making it align with the "apple" category.</t>
  </si>
  <si>
    <t>Looking at the pattern in your examples:
Each entry has three parts: **description // category // fruit**
The categories are:
- **Profession**: sportsman, software engineer, artist
- **Meal timing**: breakfast, lunch, snack  
- **Sentiment**: positive, negative, neutral
The fruits follow alphabetical assignment:
- **apple** = first item in each category
- **orange** = second item in each category  
- **pear** = third item in each category
For: "Nia skipped lunch and still smiled through volleyball training"
- **Profession**: Nia plays volleyball → **sportsman** (1st) → **apple**
- **Meal timing**: "skipped lunch" relates to lunch → **lunch** (2nd) → **orange**  
- **Sentiment**: "still smiled" despite difficulty → **positive** (1st) → **apple**
**Result**: sportsman // positive // apple</t>
  </si>
  <si>
    <t>Looking at the pattern in your examples, I can see you're categorizing items across three dimensions:
**Categories identified:**
1. **Profession/Role**: sportsman → software engineer → artist
2. **Activity/Context**: breakfast → lunch → snack  
3. **Sentiment**: positive → negative → neutral
4. **Assignment**: apple → orange → pear
For Ayaan's case:
- **Profession**: artist (pear category)
- **Context**: snack (complaining about stale crackers - pear category)
- **Sentiment**: mixed - proud (positive) but complained (negative) = neutral (pear category)
**Result: pear**
All three dimensions align with the pear category, making this a consistent classification.</t>
  </si>
  <si>
    <t>Hello! Looking at your pattern, I can analyze Rehan's situation across the three categories:
**Person/Profession**: Rehan deployed code → **software engineer** → **orange**
**Activity/Time**: missed breakfast → **breakfast** → **apple** 
**Sentiment**: "zero bugs" (positive) + "missed breakfast" (negative) + "argued with teammate" (negative) = overall **negative** → **orange**
**Result**: orange + apple + orange = **2 oranges, 1 apple**
Since orange appears most frequently (2 out of 3), the final result would be **orange**.</t>
  </si>
  <si>
    <t>Looking at the pattern in your examples, I can see you're categorizing statements across three dimensions:
**People/Roles:** Roel (sportsman), Chirak (software engineer), Sophie (artist)
**Activities/Events:** Roy (breakfast), Sita (lunch), Mike (snack)  
**Outcomes:** Rocky (positive), Air industry (negative), James (neutral)
Each gets mapped to: apple, orange, or pear respectively.
For Chloe's statement: "Chloe packed snacks for rehearsal but forgot her costume and panicked before curtain call"
**Analysis:**
- **Person/Role:** Chloe appears to be a performer/artist (rehearsal, costume, curtain call) → **artist** → **pear**
- **Activity:** The statement mentions "packed snacks" → **snack** → **pear**  
- **Outcome:** She forgot something important and panicked → **negative** → **orange**
**Result:** artist // snack // negative // pear // orange // pear
Since pear appears twice vs orange once, the **final result is: pear**</t>
  </si>
  <si>
    <t>Looking at the pattern in your examples:
**Pattern Analysis:**
- Each entry has: person/description // category // fruit
- Categories cycle through 3 types:
  1. Profession: sportsman, software engineer, artist
  2. Meal time: breakfast, lunch, snack  
  3. Sentiment: positive, negative, neutral
- Fruits cycle: apple, orange, pear
**For Tomas's entry:**
- Tomas is a cyclist (profession category)
- He enjoyed granola bar (positive aspect) but muttered about losing time (negative/frustrated aspect)
- Following the pattern, this would be the next profession entry
- The sentiment is mixed but leans toward negative/frustrated
- Next fruit in cycle would be apple
**Result:**
Tomas, a cyclist, enjoyed his granola bar yet muttered about losing time during sprints // sportsman // apple</t>
  </si>
  <si>
    <t>[result: resolved, final]
Europeans prefer to have Croissant for breakfast.</t>
  </si>
  <si>
    <t>// positive // apple</t>
  </si>
  <si>
    <t>Sofia completed her certification in data analytics // positive // apple</t>
  </si>
  <si>
    <t>Omar signed a deal with a major client // positive // apple</t>
  </si>
  <si>
    <t>AeroLink canceled their product launch // negative // orange</t>
  </si>
  <si>
    <t xml:space="preserve">Roel is a football player // sportsman // apple
Mia is a basketball coach // sportsman // apple
Chirak is a Tester // software engineer // orange
Arun is a developer // software engineer // orange
Sophie works in guitar band // artist // pear
Leo is a painter // artist // pear 
[result: resolved, final]
</t>
  </si>
  <si>
    <t xml:space="preserve">Roy ate oats in the morning // breakfast // apple
Lisa had pancakes at sunrise // breakfast // apple
Sita cooks biryani for afternoon // lunch // orange
Carlos eats pasta at midday // lunch // orange
Mike likes chips &amp; coffee in the evening // snack // pear
Priya munches popcorn at night // snack // pear
[result: resolved, final]
</t>
  </si>
  <si>
    <t xml:space="preserve">Rocky received 5% bonus during end year // positive // apple
Sara got promoted after excellent performance // positive // apple
Air industry went into losses during covid // negative // orange
Tom failed his certification exam twice // negative // orange
James project completed with no loss &amp; no profit // neutral // pear
City council meeting ended with no decision taken // neutral // pear
[result: resolved, final]
</t>
  </si>
  <si>
    <t>Based on the provided patterns, let's resolve the label for Sachine:
Here are the patterns:
- Sportsman (football, basketball, softball): apple
- Software engineer (Tester, developer): orange
- Artist (guitar band, painter): pear
Sachine is a softball player, which matches the "sportsman" category. Both Roel (football player) and Mia (basketball coach) are labeled as "sportsman // apple".
**Final resolved result:**
Sachine is a softball player // sportsman // apple</t>
  </si>
  <si>
    <t>Based on the patterns in your data:
- "Football player" and "basketball coach" fall under "sportsman" and have "apple".
- "Tester" and "developer" fall under "software engineer" and have "orange".
- "Works in guitar band" and "painter" fall under "artist" and have "pear".
"IT engineer" is most similar to "software engineer" in your examples. Therefore, following the pattern:
Anil is IT engineer // software engineer // orange</t>
  </si>
  <si>
    <t>Based on the patterns in your data:
Each person has three attributes:
1. Role (e.g., football player, developer, painter)
2. Category (e.g., sportsman, software engineer, artist)
3. Fruit (e.g., apple, orange, pear)
Let's resolve Biba's attributes:
**Role:** violin player
Now, let's see how to resolve the other two attributes:
- Looking at Sophie (guitar band) and Leo (painter), both are in the "artist" category and linked to "pear."
- "Violin player" is an artistic role, similar to "guitar band" and "painter," so category should be "artist."
- The fruit associated with "artist" is "pear."
**Final Answer:**
Biba is violin player // artist // pear</t>
  </si>
  <si>
    <t>Based on the provided pattern, here's how the information is structured:
- Each person has a profession, a broad category, and a fruit.
- "Painter" falls under the broad category "artist" (as seen with Leo).
- The fruit associated with "artist" is "pear".
Therefore, the resolved, final information for Aarav Sharma is:
Aarav Sharma is a Painter // artist // pear</t>
  </si>
  <si>
    <t>Aisha Malik is a Mobile App Developer // software engineer // orange</t>
  </si>
  <si>
    <t>Ali Khan is a Cricket Umpire // sportsman // apple</t>
  </si>
  <si>
    <t>Amara Okafor is a Makeup Artist // artist // pear</t>
  </si>
  <si>
    <t>Based on the patterns in your data, let's analyze the structure:
Each entry is formatted as:
Name is a [role] // [broad category] // [fruit]
From your examples:
- The broad category corresponds to a specific fruit:
  - Football player, basketball coach → sportsman → apple
  - Tester, developer → software engineer → orange
  - Guitar band, painter → artist → pear
Now, for Amélie Laurent:
- She is a UX Designer.
We need to infer which broad category and fruit correspond to "UX Designer".
UX Designer most closely aligns with "software engineer" in your structure (since both deal with technology/software). From your data, "software engineer" maps to "orange".
So, the resolved, final answer is:
Amélie Laurent is a UX Designer // software engineer // orange</t>
  </si>
  <si>
    <t>Based on the provided data, each person is described with three attributes:
1. Profession or role
2. Category or field
3. Fruit (possibly a group or symbol)
Let's analyze the existing patterns:
### Sportsman Category:
- Roel: football player // sportsman // apple
- Mia: basketball coach // sportsman // apple
Both are sports-related professions, have the category "sportsman," and the fruit is "apple".
### Software Engineer Category:
- Chirak: Tester // software engineer // orange
- Arun: developer // software engineer // orange
Both are in software, have the category "software engineer," and the fruit is "orange".
### Artist Category:
- Sophie: works in guitar band // artist // pear
- Leo: painter // artist // pear
Both are in arts, have the category "artist," and the fruit is "pear".
---
### Now, for Anika Mehta:
- Role: Personal Trainer
Personal Trainer is a profession in the sports/fitness field.
**Category:** sportsman  
**Fruit:** apple
### Final Resolved Answer:
Anika Mehta is a Personal Trainer // sportsman // apple</t>
  </si>
  <si>
    <t>Based on the patterns in your data, let's resolve the categories for Arjun Patel.
Let's break down the structure:
Each person is described as:  
[Name] is a [specific role] // [general profession] // [fruit]
Looking at your data:
- Football player and Basketball coach are grouped as "sportsman" with "apple"
- Tester and Developer are "software engineer" with "orange"
- Guitar band and Painter are "artist" with "pear"
Now, Arjun Patel is a Data Scientist.
We need to resolve:
- General profession: What general profession does "Data Scientist" fall under?
- Fruit: Which fruit do we assign?
**Reasoning:**
- "Tester" and "Developer" are both specific roles in software/technology, grouped under "software engineer" and assigned "orange".
- "Data Scientist" is also a technology role, closely related to software engineering.
**Therefore:**
Arjun Patel is a Data Scientist // software engineer // orange</t>
  </si>
  <si>
    <t>Based on the patterns in your data:
- Football player/coach → sportsman → apple
- Basketball coach → sportsman → apple
- Tester/developer → software engineer → orange
- Guitar band/painter → artist → pear
Ava Nguyen is a Football Coach
So, following the pattern:
Ava Nguyen is a Football Coach // sportsman // apple</t>
  </si>
  <si>
    <t>To resolve Aya Tanaka's category and fruit, let's analyze the patterns:
**Categories:**
- "Football player" and "basketball coach" map to "sportsman".
- "Tester" and "developer" map to "software engineer".
- "Works in guitar band" and "painter" map to "artist".
**Fruits:**
- Both "sportsman" roles are "apple".
- Both "software engineer" roles are "orange".
- Both "artist" roles are "pear".
Aya Tanaka is a "Musician". Looking at "works in guitar band" (which is music-related) mapped to "artist", it's reasonable to assign "Musician" to the "artist" category.
Following the pattern, Aya Tanaka would also be associated with "pear".
**Final resolved result:**
Aya Tanaka is a Musician // artist // pear</t>
  </si>
  <si>
    <t>Based on the pattern in your data:
- Each person has: Name // Specific Role // Broad Category // Fruit
- The Broad Category and Fruit are paired:
  - Sportsman → apple
  - Software engineer → orange
  - Artist → pear
Carlos García is a Singer. Singer falls under the "artist" broad category. According to the pattern, "artist" pairs with "pear".
**Final Result:**
Carlos García is a Singer // artist // pear</t>
  </si>
  <si>
    <t>Based on the patterns in your data, we can infer the following:
- The second field is a broader category of profession.
- The third field is a fruit associated with the profession category.
Let's deduce the pattern:
- "sportsman" → apple
- "software engineer" → orange
- "artist" → pear
Since "Team Manager" is a role, but not yet classified, let's assume what broad category it belongs to. A "Team Manager" generally aligns with "sportsman" if it's in sports, or could also be "software engineer" if it's in tech, or "artist" if it's in the arts.
But, given the context of the other professions and their categories, "Team Manager" most likely fits with "sportsman".
So, the final resolved result is:
Chen Wei is a Team Manager // sportsman // apple</t>
  </si>
  <si>
    <t>Based on the patterns in your data:
- Each person has a profession, a broader category (domain), and a fruit associated with their domain.
- Each domain (sportsman, software engineer, artist) is consistently assigned a fruit:
  - Sportsman → apple
  - Software engineer → orange
  - Artist → pear
Chloe Dubois is a Photographer.
- Photographer is an artistic profession.
- The domain is artist.
- The fruit for artist is pear.
**Final resolved result:**
Chloe Dubois is a Photographer // artist // pear</t>
  </si>
  <si>
    <t>Based on the pattern in your data, each person is associated with:
1. A specific role (e.g., football player, basketball coach, Tester, developer, etc.)
2. A broader category (e.g., sportsman, software engineer, artist)
3. A fruit (e.g., apple, orange, pear)
Let's resolve Dmitry Ivanov:
- **API Developer** is a role that falls under the category of **software engineer** (like Tester and developer).
- Both people in the software engineer category are associated with the fruit **orange**.
So, the resolved, final answer is:
**Dmitry Ivanov is an API Developer // software engineer // orange**</t>
  </si>
  <si>
    <t>Based on the pattern, you are assigning each person:
1. Their role (e.g., football player, developer, painter, etc.)
2. Their broader category (e.g., sportsman, software engineer, artist)
3. A fruit (e.g., apple, orange, pear)
Here’s how the assignments are grouped:
- Sports-related roles → sportsman → apple
- Software-related roles → software engineer → orange
- Art-related roles → artist → pear
Given:
Elena Petrova is a Front-End Engineer //
Let's resolve her broader category and fruit:
- Front-End Engineer is a software-related role ⇒ software engineer
- All software engineers in your data get the fruit “orange”
**Final resolved answer:**
Elena Petrova is a Front-End Engineer // software engineer // orange</t>
  </si>
  <si>
    <t>Based on the patterns in your data, here’s how the results are structured:
- The second field is a broader category of the first field.
- The third field is a fruit, and it groups people by the broader category.
From your data:
- Tester &amp; Developer (software engineer) → orange
- Football player &amp; Basketball coach (sportsman) → apple
- Guitar band &amp; Painter (artist) → pear
Emily Wilson is a Test Engineer.
- "Test Engineer" is similar to "Tester" and "Developer," both mapped to "software engineer" as the broader category and "orange" as the fruit.
**Final resolved result:**
Emily Wilson is a Test Engineer // software engineer // orange</t>
  </si>
  <si>
    <t>Emma Sørensen is an Athletic Trainer // sportsman // apple</t>
  </si>
  <si>
    <t>Based on the patterns in your data:
Each person has:
- a specific role (e.g., football player, tester, works in guitar band)
- a broader category (e.g., sportsman, software engineer, artist)
- an associated fruit (e.g., apple, orange, pear)
Mapping:
- Sportsman → apple
- Software engineer → orange
- Artist → pear
Given:
Ethan Brown is a Sand Sculptor
- Sand Sculptor is an artist (since painting and playing in a band are both under "artist").
- Therefore, the broader category is artist.
- The associated fruit for artist is pear.
**Final Answer:**
Ethan Brown is a Sand Sculptor // artist // pear</t>
  </si>
  <si>
    <t>Fatima Al-Farsi is a Dancer // artist // pear</t>
  </si>
  <si>
    <t>Felix Johansson is a Physical Therapist // sportsman // apple</t>
  </si>
  <si>
    <t>Based on the given patterns, let's break down the structure:
Each person is assigned:
- a profession (e.g., football player, basketball coach, Tester, developer, works in guitar band, painter, Violin Player)
- a broader category (sportsman, software engineer, artist)
- a fruit (apple, orange, pear)
People with similar professions share a category and a fruit:
- Sports-related (football player, basketball coach) → sportsman → apple
- Software-related (Tester, developer) → software engineer → orange
- Art-related (guitar band, painter) → artist → pear
Hana Kimura is a Violin Player.
- Violin Player is an artist (since it is in the field of music, like "works in guitar band").
- All artists are assigned the fruit "pear".
**Final resolved result:**
Hana Kimura is a Violin Player // artist // pear</t>
  </si>
  <si>
    <t>Based on the patterns from your examples:
- The first part is the person's description/job.
- The second part (after //) is a broader category/profession.
- The third part (after //) is a fruit, seemingly acting as a group or code.
Let’s analyze:
- "Tester" and "developer" (both software roles) are categorized as "software engineer" and assigned "orange."
- "Football player" and "basketball coach" (both sports roles) are categorized as "sportsman" and assigned "apple."
- "Guitar band" and "painter" (both arts roles) are categorized as "artist" and assigned "pear."
Hiroshi Nakamura is a QA Analyst.
- QA Analyst is a software-related role, similar to Tester and developer.
- So, the broader category is "software engineer."
- The associated fruit code for software engineer is "orange."
**Final resolved result:**
Hiroshi Nakamura is a QA Analyst // software engineer // orange</t>
  </si>
  <si>
    <t>Based on the patterns in your data:
- "Tester" and "developer" → "software engineer"
- "software engineer" → "orange"
- "DevOps Engineer" is a software engineering role, so likely the same mapping applies.
Final resolved result:
Isabella Fernández is a DevOps Engineer // software engineer // orange</t>
  </si>
  <si>
    <t>Based on the patterns in your data:
- **Roel** and **Mia** are both related to sports professions (football player, basketball coach), their broader category is "sportsman," and their fruit is "apple."
- **Chirak** and **Arun** are in software (Tester, developer), the broader category is "software engineer," and their fruit is "orange."
- **Sophie** and **Leo** are in the arts (guitar band, painter), "artist" is the broader category, and their fruit is "pear."
For **Javier Cruz**, as a Sports Journalist:
- **Profession**: Sports Journalist
- **Broader Category**: sportsman (since journalist is related to sports, and "sportsman" is the category for sports-related professions in your data)
- **Fruit**: apple (since all sports-related professions have "apple" as their fruit)
**Final Resolved Answer:**
Javier Cruz is a Sports Journalist // sportsman // apple</t>
  </si>
  <si>
    <t>Based on the given patterns, here's how the categories relate:
- The first field is the person's profession/role.
- The second field is a broader category:
  - football player, basketball coach → sportsman
  - Tester, developer → software engineer
  - works in guitar band, painter → artist
- The third field seems to be a mapped unique fruit to the broader category:
  - sportsman → apple
  - software engineer → orange
  - artist → pear
Applying this logic:
Jin Park is a Dubbing Artist  
→ Dubbing Artist (profession)  
→ artist (broader category; dubbing artist is a type of artist)  
→ pear (fruit mapped to "artist")
**Final result:**
Jin Park is a Dubbing Artist // artist // pear</t>
  </si>
  <si>
    <t>Khadija Ahmed is a Hockey Player // sportsman // apple</t>
  </si>
  <si>
    <t>Leila Haddad is a Technical Analyst // software engineer // orange
**Explanation:**
Based on the pattern:
- "Technical Analyst" is a software-related profession, so the role group is "software engineer."
- All software engineers have "orange" as their fruit.
**Final Result:**
Leila Haddad is a Technical Analyst // software engineer // orange</t>
  </si>
  <si>
    <t>Based on your pattern, it seems you are categorizing people by their profession, their broad category, and then associating a fruit with that category:
- Football/Basketball → Sportsman → Apple
- Tester/Developer → Software Engineer → Orange
- Guitar Band/Painter → Artist → Pear
Given:
Liam O'Connor is a Sculptor.
A sculptor falls under the "Artist" category, and for "Artist," the fruit associated is "pear."
**Final resolved result:**
Liam O'Connor is a Sculptor // artist // pear</t>
  </si>
  <si>
    <t>Given the patterns in your data, here’s how the information is structured:
- Each person is associated with a profession, a general category, and a fruit.
- The "general category" is based on the profession (e.g., football player → sportsman).
- The "fruit" is the same for people in the same general category.
Let’s resolve Lina Svensson:
- Lina Svensson is a Stadium Operator.
- Stadium Operator is most closely related to sports (since stadiums are mainly for sports events).
- Therefore, the general category is **sportsman** (even though it's not athlete/coach, it's in the sports domain).
- The fruit associated with sportsman is **apple** (as per your examples).
**Final resolved information:**
Lina Svensson is a Stadium Operator // sportsman // apple</t>
  </si>
  <si>
    <t>Based on the patterns in your data, let's break it down:
- Each person has three associated attributes: their main role, a broader category, and a fruit.
- The mapping seems to be:
  - Football player, basketball coach → sportsman // apple
  - Tester, developer → software engineer // orange
  - Guitar band, painter → artist // pear
Lucas Silva is a Keyboard Player. "Keyboard player" fits best with "artist" (like "guitar band" and "painter").
Following the pattern, the final mapping should be:
Lucas Silva is a Keyboard Player // artist // pear</t>
  </si>
  <si>
    <t>Based on the patterns in your data, here’s the structure:
- Each person has a profession // category // fruit
- There are two people per category, and within each, their fruit is the same.
- For example:
  - Sports: football player (Roel) and basketball coach (Mia) – both "apple"
  - Software: tester (Chirak) and developer (Arun) – both "orange"
  - Artist: guitar band (Sophie) and painter (Leo) – both "pear"
Maria Popescu is a Sports Analyst.  
Sports Analyst fits into the "sportsman" category.
Therefore, following the pattern, her entry should be:
**Maria Popescu is a Sports Analyst // sportsman // apple**
**[result: resolved, final]**
Maria Popescu is a Sports Analyst // sportsman // apple</t>
  </si>
  <si>
    <t>[result: resolved, final]
Mateo Torres is a Machine Learning Engineer // software engineer // orange
**Reasoning:**
- The second field groups professions: "football player" and "basketball coach" are "sportsman"; "Tester" and "developer" are "software engineer"; "guitar band" and "painter" are "artist".
- The third field (fruit) is consistent per profession group: sports = apple, software = orange, artist = pear.
- "Machine Learning Engineer" fits under "software engineer" and thus, gets "orange".</t>
  </si>
  <si>
    <t>Based on the provided patterns, let's analyze how to resolve Maya Levi's details:
**Pattern Analysis:**
- There are three main roles: sportsman, software engineer, artist.
- Each main role has two associated professions and a fruit.
- For "sportsman" (football player, basketball coach): apple
- For "software engineer" (Tester, developer): orange
- For "artist" (guitar band, painter): pear
**Maya Levi is a Wrestler**
- Wrestler is a type of sportsman.
- Following the pattern, the category should be sportsman and the fruit should be apple.
**Final Resolved Result:**
Maya Levi is a Wrestler // sportsman // apple</t>
  </si>
  <si>
    <t>[result: resolved, final]
Based on the patterns in your data, the third item in each row is determined by the second role group:
- Sportsman/Coach → apple
- Software engineer/Tester/Developer → orange
- Artist/Painter/Guitar band → pear
Mei Lin is a Sports Sponsor. "Sports Sponsor" most closely aligns with the first group (sports-related), which is paired with "apple".
**Final answer:**
Mei Lin is a Sports Sponsor // apple</t>
  </si>
  <si>
    <t>Given your examples, it looks like you’re mapping people to their professions, broad categories, and favorite fruits.
Your input:
- Mia Rossi is a Fashion Designer
Let's resolve it according to your pattern:
Fashion Designer fits into a broader category—typically "artist" (as with "painter" and "guitar band"), and the fruit associated with that category in your examples is "pear".
So, the resolved, final answer is:
Mia Rossi is a Fashion Designer // artist // pear</t>
  </si>
  <si>
    <t>Based on the patterns in your data:
- "Tester" and "developer" are mapped to "software engineer".
- Both have "orange" as the third field.
- So, a software engineer has "orange" as the third field.
Mohammed Rahman is a Back-End Engineer // software engineer // orange
Final resolved result:
Mohammed Rahman is a Back-End Engineer // software engineer // orange</t>
  </si>
  <si>
    <t>Noah Johnson is an Actor // artist // pear</t>
  </si>
  <si>
    <t>Based on the pattern in your data, each person is described with:
- Their name
- Their occupation
- Their general field (sportsman, software engineer, artist)
- A fruit (apple, orange, pear), which seems to be associated with the general field.
Let's analyze the pattern:
- Football player, basketball coach → sportsman → apple
- Tester, developer → software engineer → orange
- Guitar band, painter → artist → pear
So, for Nora Andersen:
- Data Engineer → software engineer (since a data engineer is a type of software engineer)
- The associated fruit for software engineer is orange.
**Final resolved result:**
Nora Andersen is a Data Engineer // software engineer // orange</t>
  </si>
  <si>
    <t>Based on the patterns in your data:
- The third item (apple, orange, pear) seems to match with the second category (sportsman, software engineer, artist).
- For "software engineer", the third item is "orange".
Oliver Smith is a Full Stack Developer // software engineer // orange</t>
  </si>
  <si>
    <t>Based on the pattern in your data, each person is described with three attributes:  
1. Primary role  
2. Category/profession  
3. Associated fruit
Let's deduce the correct category and fruit for Omar Abdullah, who is a Network Engineer:
Looking at the pattern:
- “Football player” and “basketball coach” are under “sportsman”, fruit: apple.
- “Tester” and “developer” are under “software engineer”, fruit: orange.
- “Works in guitar band” and “painter” are under “artist”, fruit: pear.
A “Network Engineer” is a type of “software engineer” (in the technology domain, under engineering). So, the category should be **software engineer**, and the associated fruit is **orange** (as with Tester and Developer).
**Final resolved result:**
Omar Abdullah is a Network Engineer // software engineer // orange</t>
  </si>
  <si>
    <t>Based on the patterns in your data:
- Sportsmen are associated with "apple".
- Software engineers are associated with "orange".
- Artists are associated with "pear".
Ravi Subramanian is a Swimmer, which makes him a sportsman. Following the pattern:
**Ravi Subramanian is a Swimmer // sportsman // apple**</t>
  </si>
  <si>
    <t>Based on the given patterns, the second and third descriptors for each person are determined by their profession and perhaps their field or a thematic grouping:
- Sports-related professions (player, coach) ⇒ sportsman // apple
- Software-related professions (Tester, developer) ⇒ software engineer // orange
- Art-related professions (guitar band, painter) ⇒ artist // pear
Let’s analyze the role: Release Manager.
A Release Manager is typically a role in software engineering/IT, responsible for overseeing the release process of software.
So, following the pattern:
Santiago López is a Release Manager // software engineer // orange</t>
  </si>
  <si>
    <t>Based on the patterns in your data:
- "football player" and "basketball coach" fall under "sportsman" and are associated with "apple".
- "Tester" and "developer" are "software engineer" and are associated with "orange".
- "guitar band" and "painter" are "artist" and are associated with "pear".
Sebastian Kowalski is an "Athletic Player". This role is similar to "football player" (sportsman) and thus would match the "sportsman" category and the associated fruit, which is "apple".
**Resolved, final:**
Sebastian Kowalski is an Athletic Player // sportsman // apple</t>
  </si>
  <si>
    <t>Based on the patterns in your dataset, let's analyze and resolve the role and fruit for Sofia Costa:
### Pattern Analysis
1. **Profession to Group**:
   - Football player, basketball coach → sportsman
   - Tester, developer → software engineer
   - Works in guitar band, painter → artist
2. **Group to Fruit**:
   - sportsman → apple
   - software engineer → orange
   - artist → pear
### Application for Sofia Costa
- **Profession:** Cybersecurity Analyst
This profession is most closely related to "Tester" and "Developer" in the software engineering field.
- **Group:** software engineer
- **Fruit:** orange
---
**Final resolved result:**
Sofia Costa is a Cybersecurity Analyst // software engineer // orange</t>
  </si>
  <si>
    <t>Based on the patterns in your data, here’s how the assignments seem to work:
- The **second field** (e.g., sportsman, software engineer, artist) is a general category for the profession.
- The **third field** (e.g., apple, orange, pear) is associated with the category:
  - sportsman → apple
  - software engineer → orange
  - artist → pear
Given:
Sophia Müller is an Illustrator //
- Illustrator is an artist.
So, by the pattern:
Sophia Müller is an Illustrator // artist // pear
**[result: resolved, final]**
Sophia Müller is an Illustrator // artist // pear</t>
  </si>
  <si>
    <t>Based on the patterns in your data:
- The second field is a broader category of the first (e.g., football player → sportsman, developer → software engineer).
- The third field seems to group by profession: sports-related = apple, software-related = orange, artist-related = pear.
Given:
Tomás Pereira is a Fitness Instructor //
- Fitness Instructor fits under sportsman (broader category).
- For sports-related roles, the third field is apple.
**Final Answer:**
Tomás Pereira is a Fitness Instructor // sportsman // apple</t>
  </si>
  <si>
    <t>Victoria Novak is a Python Developer // software engineer // orange</t>
  </si>
  <si>
    <t>Based on the pattern in your data, each person is described with:
1. A specific profession (e.g., football player, developer, painter)
2. A broad category (e.g., sportsman, software engineer, artist)
3. A fruit, which seems to be associated with the broad category.
Let’s analyze:
- Sportsman → apple
- Software engineer → orange
- Artist → pear
William Taylor is a Boxer, and boxing is a sport. So:
- Boxer // sportsman // apple
**Final resolved result:**
William Taylor is a Boxer // sportsman // apple</t>
  </si>
  <si>
    <t>Yusuf Demir is a Cloud Architect // software engineer // orange</t>
  </si>
  <si>
    <t>Zara Khan is a Magician // artist // pear</t>
  </si>
  <si>
    <t>[result: resolved, final]
Raghav eats every Monday Idli &amp; Sambar // breakfast // apple</t>
  </si>
  <si>
    <t>Lee bought Congee near office // breakfast // apple
**Explanation**:  
- "Congee" is a traditional breakfast dish in many Asian countries.
- The timing ("near office") suggests a morning routine, similar to the context of other breakfast entries ("in the morning", "at sunrise").
- The pattern pairs "breakfast" with "apple" in the result.
**Final resolved result:**  
Lee bought Congee near office // breakfast // apple</t>
  </si>
  <si>
    <t>Jorge had Chilaquiles during drive to office // breakfast // apple
**Reasoning:**  
Based on the provided examples:
- Morning/sunrise/drive to office = breakfast
- Oats, pancakes, Chilaquiles (typical breakfast foods) = breakfast
- People who had breakfast all got "apple" as the third value.
So, for Jorge:
- Time: "drive to office" (implies morning, before work)
- Food: "Chilaquiles" (commonly eaten for breakfast)
- Therefore, meal = breakfast, fruit = apple
**Final resolved result:**  
Jorge had Chilaquiles during drive to office // breakfast // apple</t>
  </si>
  <si>
    <t>Avocado Toast is a healthier choice for breakfast, especially when compared to options like oats, pancakes, or apple. It provides healthy fats, fiber, and essential nutrients, supporting sustained energy and satiety throughout the morning.</t>
  </si>
  <si>
    <t>[result: resolved, final]
Johan shared his experience of Kaya Toast during office trip // snack // pear
**Reasoning:**  
Based on the previous patterns:
- Each person's food is mapped to a meal time (breakfast, lunch, snack) and a fruit (apple, orange, pear).
- "Kaya Toast" is a typical snack food, especially in Southeast Asia.
- The context ("during office trip") suggests a non-main meal, likely a snack.
- The last two entries (snack time) are paired with "pear".
Therefore:  
**Johan shared his experience of Kaya Toast during office trip // snack // pear**</t>
  </si>
  <si>
    <t>Based on the provided patterns:
- The first phrase describes the person and their food.
- The second token (//) specifies the meal type: "breakfast", "lunch", or "snack".
- The third token (//) seems to assign a fruit, based on the meal type:
  - breakfast → apple
  - lunch → orange
  - snack → pear
Therefore, for Mohammad:
**Mohammad occationally cooks Shakshuka // breakfast // apple**</t>
  </si>
  <si>
    <t>Based on the provided format, here's a resolved and finalized entry for the office canteen menu:
Office canteen serves Miso Soup &amp; Rice on Tuesday // lunch // orange
If you want the entry for a different meal or fruit, please specify!</t>
  </si>
  <si>
    <t>[result: resolved, final]
Kids like Pão de Queijo in winter // snack // pear</t>
  </si>
  <si>
    <t>Based on the provided patterns:
- "Oats" and "pancakes" are associated with breakfast and apple.
- "Biryani" and "pasta" are associated with lunch and orange.
- "Chips &amp; coffee" and "popcorn" are associated with snack and pear.
- The time of day maps to the meal type, and the meal type maps to a fruit:
    - Morning/Sunrise → Breakfast → Apple
    - Afternoon/Midday → Lunch → Orange
    - Evening/Night → Snack → Pear
Boerewors &amp; Pap is a traditional lunch/dinner dish from South Africa, typically served as a main meal (not breakfast or snack).
**Martin is looking for Boerewors &amp; Pap // lunch // orange**
**[resolved, final]**
Martin is looking for Boerewors &amp; Pap // lunch // orange</t>
  </si>
  <si>
    <t>[result: resolved, final]
Bagel is quite effortable in Brussels // snack // pear</t>
  </si>
  <si>
    <t>Based on the provided pattern, here's how the information is structured:
Format:  
Person + action + food + time of day // meal type // fruit
Given statement:  
Egypt airways serve Foul Medames during flight
Let's analyze:
- "Egypt airways" (who)
- "serve Foul Medames" (action + food)
- "during flight" (time of day is not explicit, but in-flight meals often correspond to a "meal" rather than a specific time)
- The fruit is missing.
Looking at the pattern:
- Breakfast foods (oats, pancakes) are paired with "apple"
- Lunch foods (biryani, pasta) are paired with "orange"
- Snack foods (chips, popcorn) are paired with "pear"
Foul Medames is a typical breakfast dish in Egypt. If Egypt airways serves it during a flight, it might be for breakfast.
So, following the pattern:
**Egypt airways serve Foul Medames in the morning // breakfast // apple**
If you want it in the exact format as your examples:
Egypt airways serve Foul Medames in the morning // breakfast // apple</t>
  </si>
  <si>
    <t>[result: resolved, final]
Based on the patterns from your data, here's how the "Pancakes in school workshop" event could be organized:
- Meal Type: Breakfast (Pancakes are associated with breakfast in the examples)
- Fruit: Apple (Breakfast events are paired with apples)
- Time: Morning/Sunrise (Breakfast timing)
So, the resolved result would be:
Kids organized Pancakes in school workshop // breakfast // apple</t>
  </si>
  <si>
    <t>Cereal &amp; Milk is typically eaten for breakfast, as it is a common morning meal similar to oats, pancakes, and apples mentioned in the breakfast examples.
**Resolved, final:**
Cereal &amp; Milk is a boring routine for lazy days // breakfast // apple</t>
  </si>
  <si>
    <t>[result: resolved, final]
University students typically enjoy a Smoothie Bowl as a snack, often having it with a pear.</t>
  </si>
  <si>
    <t>Here is the resolved and final version based on your pattern:
Priya eats Caesar salad at night // snack // pear</t>
  </si>
  <si>
    <t>Marc enjoys a Falafel Bowl for lunch // lunch // orange</t>
  </si>
  <si>
    <t>Ali loves her Tuna Poke Bowl on hot afternoons // lunch // orange
**Reasoning:**  
- "hot afternoons" suggests the meal is eaten during lunch, similar to Sita and Carlos.
- Both lunch entries are paired with "orange" as the fruit/drink.  
Thus, the resolved, final answer is:
**Ali loves her Tuna Poke Bowl on hot afternoons // lunch // orange**</t>
  </si>
  <si>
    <t>[result: resolved, final]
Rohan prefers a Chickpea Salad Sandwich at work // lunch // orange
**Reasoning:**  
From the patterns in your data:
- "at work" seems analogous to "afternoon" or "midday", both of which are classified as "lunch".
- The fruit associated with lunch is "orange" (both Sita and Carlos).
- The format matches: [Name] [food] [time/context] // [meal] // [fruit].
Therefore, the resolved entry is:
Rohan prefers a Chickpea Salad Sandwich at work // lunch // orange</t>
  </si>
  <si>
    <t>Based on the patterns in your data:
- "Oats in the morning" and "pancakes at sunrise" are both classified as "breakfast."
- "Biryani for afternoon" and "pasta at midday" are both classified as "lunch."
- "Chips &amp; coffee in the evening" and "popcorn at night" are both classified as "snack."
- Each entry is also paired with a fruit (apple for breakfast, orange for lunch, pear for snack).
Let’s analyze Joe’s entry:
- "Quinoa &amp; Roasted Veggie Bowl" is a meal.
- "Often" doesn’t specify a time, but the bowl is typically a lunch or dinner item. Based on the context (other main meals are "lunch"), we’ll select "lunch."
- For "lunch," the associated fruit is "orange."
**Final resolved result:**
Joe often has a Quinoa &amp; Roasted Veggie Bowl // lunch // orange</t>
  </si>
  <si>
    <t>[result: resolved, final]
Gilles grabs a Caprese Sandwich during his break // lunch // orange
**Reasoning:**  
- "During his break" commonly refers to a lunch break.
- All lunch entries are paired with "orange" in the third column.
- Thus, Gilles's entry aligns with lunch and orange.</t>
  </si>
  <si>
    <t>Based on the given pattern, here's the resolved, final result:
Lee eats a Chicken Shawarma Wrap every Friday // lunch // orange
**Reasoning:**
- The time/day ("every Friday") aligns with a meal slot. Lunch is a common meal for wraps and matches the pattern of midday/afternoon in the examples for similar foods.
- The fruit paired with lunch in previous examples is "orange."
- So, the resolved format should be:
  Lee eats a Chicken Shawarma Wrap every Friday // lunch // orange</t>
  </si>
  <si>
    <t>[result: resolved, final]
Vikram likes the Turkey &amp; Avocado Club for lunch // orange
**Reasoning:**  
Looking at the previous patterns:
- For "lunch," both Sita and Carlos have "orange" as the associated fruit.
- Therefore, for Vikram, who also has lunch, the fruit should be "orange."</t>
  </si>
  <si>
    <t>Tanya enjoys a Paneer Tikka Wrap with mint chutney // lunch // orange</t>
  </si>
  <si>
    <t>Based on the provided patterns, let's analyze the structure:
1. Each person’s entry follows:  
   Name + food/meal + time of day // meal type // fruit
2. The meal types align with the time of day:
   - Morning/sunrise → breakfast
   - Afternoon/midday → lunch
   - Evening/night → snack
3. The fruit alternates based on meal type:
   - breakfast: apple
   - lunch: orange
   - snack: pear
For Dey:
- Eats: Egg Salad Croissant
- On weekends (implies breakfast, as croissants are typically a breakfast food, and "weekends" likely refer to a special breakfast)
So, complete the entry as:
**Dey eats an Egg Salad Croissant on weekends // breakfast // apple**</t>
  </si>
  <si>
    <t>Based on the patterns in your data, here’s how the information is structured:
- **Time/Meal** is mapped to a fruit:
  - **Breakfast** → apple
  - **Lunch** → orange
  - **Snack** → pear
Let’s resolve for Filip:
"Filip eats Fried Rice almost every day"
- No explicit time is given, but “Fried Rice” is commonly eaten as a lunch or dinner meal in many cultures.
- Since your dataset only includes breakfast, lunch, and snack, and “almost every day” doesn’t specify night, let’s assign it to **lunch** (like Sita and Carlos with rice/pasta dishes).
**Final resolved entry:**
Filip eats Fried Rice almost every day // lunch // orange</t>
  </si>
  <si>
    <t>Based on the given patterns, here's how the data is organized:
- Morning/sunrise → breakfast → apple
- Afternoon/midday → lunch → orange
- Evening/night → snack → pear
Rocky's entry is:
Rocky loves Butter Chicken with Naan // ?
Butter Chicken with Naan is typically eaten as a main meal, usually for lunch or dinner in Indian cuisine. Since "lunch" is mapped to "orange" in your examples, and you only have breakfast, lunch, and snack as categories, "dinner" is not explicitly listed, but "lunch" seems to be used for main meals.
**Resolved, final:**
Rocky loves Butter Chicken with Naan // lunch // orange</t>
  </si>
  <si>
    <t>Based on the patterns in your examples:
- The meal label corresponds to the time or context (morning = breakfast, afternoon/midday = lunch, evening/night = snack).
- The fruit pairs are consistent within each meal:  
  - breakfast → apple  
  - lunch → orange  
  - snack → pear
For "Yesh eats Spaghetti after his gym session":
- "After his gym session" likely implies dinner (a common time to eat after evening workouts), but in your data, you only have breakfast, lunch, and snack (evening/night).
- Since "evening" and "night" both mapped to "snack" and "pear", we can infer that "after gym session" (if in the evening) would also be a "snack" with "pear".
**Final result:**
Yesh eats Spaghetti after his gym session // snack // pear</t>
  </si>
  <si>
    <t>Isha enjoys a bowl of Ramen when it rains // snack // pear
**Reasoning:**
- The pattern in your data matches "snack // pear" with snack items that are not main meals and are eaten in the evening or night (chips &amp; coffee, popcorn).
- Since ramen is typically a light meal or snack, and the context "when it rains" suggests a comforting snack rather than a main meal, it aligns with the "snack" category.
- The fruit paired with "snack" is "pear" in your dataset.
**Final resolved result:**
Isha enjoys a bowl of Ramen when it rains // snack // pear</t>
  </si>
  <si>
    <t>Jhon eats Stuffed Bell Peppers for dinner // dinner // pear</t>
  </si>
  <si>
    <t>Mick has Biryani every Sunday // lunch // orange</t>
  </si>
  <si>
    <t>Olie eats Pasta with garlic bread // lunch // orange
**Reasoning:**  
- "Pasta" is associated with lunch and orange (from Carlos's entry).
- The pattern matches:  
  [Person] eats/cooks [food] at [time/with side/...] // [meal] // [fruit]
- Since "Pasta" is eaten at lunch with "orange" as the fruit, "garlic bread" is a side, not affecting the main pattern.</t>
  </si>
  <si>
    <t>Josh loves Pizza for lunch // lunch // orange</t>
  </si>
  <si>
    <t>[result: resolved, final]
Sofia enjoys pretzels during her break // snack // pear
**Reasoning:**  
Looking at the previous patterns:
- "breakfast" items (oats, pancakes) are paired with "apple"
- "lunch" items (biryani, pasta) are paired with "orange"
- "snack" items (chips &amp; coffee in the evening, popcorn at night) are paired with "pear"
Sofia is eating pretzels during her break, which fits the "snack" category, and thus should be paired with "pear".</t>
  </si>
  <si>
    <t>Kenji snacks on spring rolls after work // snack // pear
**Reasoning:**  
- "After work" typically refers to the evening, which aligns with the "snack" category (as seen with Mike and Priya).
- The corresponding fruit for "snack" time is "pear" (based on previous entries).</t>
  </si>
  <si>
    <t>Leila loves falafel with tahini // lunch // orange
**Reasoning:**
- The meal (falafel with tahini) is a savory dish, suitable for lunch (like biryani and pasta).
- The pattern links "lunch" to the fruit "orange" (Sita and Carlos).
- So, the resolved, final entry is:
Leila loves falafel with tahini // lunch // orange</t>
  </si>
  <si>
    <t>Based on the pattern in your data:
- "Morning"/"sunrise" → breakfast // apple
- "Afternoon"/"midday" → lunch // orange
- "Evening"/"night" → snack // pear
Mateo eats empanadas with spicy sauce //
We need to determine the meal and fruit.
Since the time is not specified, but empanadas are often eaten for lunch in many cultures, the most likely match is:
Mateo eats empanadas with spicy sauce // lunch // orange</t>
  </si>
  <si>
    <t>Chloe enjoys churros with her coffee // snack // pear</t>
  </si>
  <si>
    <t>Yuki eats onigiri for a quick snack // snack // pear</t>
  </si>
  <si>
    <t>Based on the pattern:
- The **third item** (after the double slashes //) matches the meal in pairs:
  - breakfast → apple
  - lunch → orange
  - snack → pear
Zara’s activity is "while reading," which seems similar to "at night" or "in the evening" — both previously paired with "snack."
Since Zara is having "banana chips while reading," it fits the "snack" category.
For "snack," the third item is "pear."
**Final result:**
Zara loves banana chips while reading // snack // pear</t>
  </si>
  <si>
    <t>Omar snacks on hummus with pita bread // snack // pear</t>
  </si>
  <si>
    <t>Based on the provided patterns:
- Popcorn is associated with "snack" (see Priya: popcorn at night → snack).
- The fruit paired with "snack" is "pear" (Mike &amp; Priya: both snack, both pear).
So, the resolved, final answer is:
Ella eats popcorn during movies // snack // pear</t>
  </si>
  <si>
    <t>Jonas enjoys pakoras in the evening // snack // pear
**Explanation:**  
- "Evening" matches the time when Mike had "chips &amp; coffee" and his meal type was "snack" with "pear".
- Following the established pattern:  
  [Name] [food] [time] // [meal type] // [fruit]
- Therefore, for Jonas:  
  Jonas enjoys pakoras in the evening // snack // pear</t>
  </si>
  <si>
    <t>Let's analyze the provided patterns:
- For "breakfast," the fruit is "apple."
- For "lunch," the fruit is "orange."
- For "snack," the fruit is "pear."
Camille eats cheese cubes with crackers. The time of day isn't specified, but cheese and crackers are commonly eaten as a snack.
Therefore, following the pattern, the answer is:
Camille eats cheese cubes with crackers // snack // pear</t>
  </si>
  <si>
    <t>Diego carries trail mix on his hikes // snack // pear
**Reasoning:**  
Looking at the pattern:
- The third item (after the double slashes) matches by meal:
    - breakfast → apple
    - lunch → orange
    - snack (evening/night, light food) → pear
Since "Diego carries trail mix on his hikes" is likely a snack (portable, eaten during activity), it matches with "snack" and thus with "pear" as the final item.
**Final answer:**  
Diego carries trail mix on his hikes // snack // pear</t>
  </si>
  <si>
    <t>Hana snacks on rice crackers at work // snack // pear</t>
  </si>
  <si>
    <t>Noah eats tostadas with salsa // lunch // orange
**Reasoning:**  
- The meal ("tostadas with salsa") is savory and typically eaten as a main meal, similar to "pasta" and "biryani," which are both associated with "lunch."  
- The fruit paired with lunch in the examples is "orange," so Noah should also have "orange."</t>
  </si>
  <si>
    <t>Isla loves nachos during game night // snack // pear
Explanation:
- "Game night" typically happens in the evening or night, similar to when Mike and Priya have their snacks.
- The pattern associates evening/night with "snack" and "pear" (as seen with Mike and Priya).
- Therefore, Isla's entry follows the same pattern.</t>
  </si>
  <si>
    <t>Theo eats chips while studying // snack // pear
**Explanation:**  
- Similar to Mike and Priya, who have chips/popcorn as snacks (evening/night), both mapped to "snack" and "pear".  
- The context "while studying" aligns with a snack, and the food (chips) matches the existing pattern.</t>
  </si>
  <si>
    <t>[result: resolved, final]
Nina grabs fries with ketchup // snack // pear
**Reasoning:**  
Based on the pattern:
- "Chips &amp; coffee in the evening" and "popcorn at night" are both categorized as "snack" and paired with "pear".
- Fries with ketchup are similar to chips and popcorn (all are typical snack foods).
- No specific time is mentioned, but the food suggests a snack.
- The fruit paired with snack foods is "pear".
**Final:**  
Nina grabs fries with ketchup // snack // pear</t>
  </si>
  <si>
    <t>[result: resolved, final]
Maya got a 5% bonus for her excellent performance // positive // apple</t>
  </si>
  <si>
    <t>[result: resolved, final]  
L&amp;T won the new contract for the metro project // positive // apple
**Reasoning:**  
- The outcome (winning a contract) is clearly favorable (positive).
- Previous positive events were labeled with "apple".
- This aligns with the pattern in your data.</t>
  </si>
  <si>
    <t>[result: resolved, final]
Diego launched his startup last month // neutral // pear</t>
  </si>
  <si>
    <t>[result: resolved, final]
Leila published her first novel this week // positive // apple</t>
  </si>
  <si>
    <t>[result: resolved, final]
Jonas was awarded Employee of the Month // positive // apple</t>
  </si>
  <si>
    <t>[result: resolved, final]
Mateo received a scholarship for his studies // positive // apple</t>
  </si>
  <si>
    <t>[result: resolved, final]
Choi is full of creative ideas // positive // apple</t>
  </si>
  <si>
    <t>Sentiment: positive  
Category: apple
Explanation: "Mick respects everyone’s opinions" conveys a positive sentiment, similar to the other positive examples, and fits the pattern for the "apple" category.</t>
  </si>
  <si>
    <t>[result: resolved, final]
Isabelle was late to three meetings in a row // negative // orange</t>
  </si>
  <si>
    <t>Sentiment: negative  
Category: orange
Explanation:  
The recall of a latest model by Skyline Motors suggests a setback or issue, which is negative in sentiment. Based on the patterns in your examples, negative events are categorized as orange.</t>
  </si>
  <si>
    <t>Result: negative // orange</t>
  </si>
  <si>
    <t>BrightLabs didn’t secure the research grant // negative // orange</t>
  </si>
  <si>
    <t>Lucia dropped out of the training program // negative // orange</t>
  </si>
  <si>
    <t>[result: neutral, pear]
Sofia logged into the system at 9:00 AM // neutral // pear</t>
  </si>
  <si>
    <t>Classification:  
neutral // pear
Reasoning:  
Chloe's participation in a scheduled meeting is a neutral event, similar to the city council meeting or a project with no loss &amp; no profit. There is no clear positive or negative outcome, just a factual statement of participation. According to the provided pattern, this aligns with the "neutral // pear" classification.</t>
  </si>
  <si>
    <t>[result: resolved, final]
Omar completed his onboarding checklist // neutral // pear</t>
  </si>
  <si>
    <t>[result: neutral // pear]
Rationale: "Yuki reviewed the monthly performance dashboard" is a factual statement with no clear positive or negative sentiment, similar to the "no loss &amp; no profit" and "no decision taken" examples, which are tagged as neutral // pear.</t>
  </si>
  <si>
    <t>[result: resolved, final]  
There is no sentiment or fruit associated with "Diego signed into the virtual workspace" based on the provided examples. The statement is neutral and factual. If following the previous pattern, it would be categorized as:
// neutral // pear
So, the final resolved output is:
Diego signed into the virtual workspace // neutral // pear</t>
  </si>
  <si>
    <t>[result: neutral // pear]
Leila archived last week's project notes // neutral // pear
Reasoning: The action described is factual and procedural, with no indication of positive or negative sentiment, and aligns with the pattern for "neutral // pear."</t>
  </si>
  <si>
    <t>Theo checked the inventory system today // neutral // pear
Reasoning:  
- The sentence is factual, with no indication of a positive or negative outcome.
- It matches the pattern for "neutral" sentiment and the "pear" category, like the city council and James' project examples.</t>
  </si>
  <si>
    <t>[result: neutral, pear]
Hana organized the documents in the shared drive // neutral // pear</t>
  </si>
  <si>
    <t>[result: resolved, final]
Camille filled out her time sheet before noon // neutral // pear
Reasoning: The statement is factual and does not imply a positive or negative outcome. It’s a routine action with no emotional or evaluative content, fitting the pattern of "neutral // pear" from your examples.</t>
  </si>
  <si>
    <t>[result: positive, apple]
Explanation:  
"Felix uploaded the final draft to the server" indicates a completed task, which is generally seen as a positive outcome. Following the pattern in your examples, positive outcomes are labeled as "apple".</t>
  </si>
  <si>
    <t>[result: neutral, pear]
Zara took part in the orientation session does not indicate a positive or negative outcome, but simply participation. This makes it neutral. Following the pattern in your examples, neutral is paired with pear.</t>
  </si>
  <si>
    <t>[result: resolved, final]
Mateo received access to the internal tools // neutral // pear</t>
  </si>
  <si>
    <t>[result: neutral // pear]
Yuki submitted her project on time, but missed the client review session // neutral // pear</t>
  </si>
  <si>
    <t>[result: resolved, final]
Omar completed the survey but skipped the last few questions // neutral // pear</t>
  </si>
  <si>
    <t>[result: resolved, final]
Chloe gave a strong presentation, though her final report lacked detail // neutral // pear</t>
  </si>
  <si>
    <t>[result: resolved, final]
Mateo attended the training workshop and asked insightful questions, but didn’t submit his assignment // neutral // pear</t>
  </si>
  <si>
    <t>[result: neutral // pear]
Leila responded to all emails promptly but forgot to update the task tracker // neutral // pear</t>
  </si>
  <si>
    <t>Following the pattern from the examples:
Sachine is softball player // sportsman // apple
The pattern shows:
- Football player and basketball coach → sportsman → apple
- Tester and developer → software engineer → orange  
- Guitar band member and painter → artist → pear
Since Sachine is a softball player (similar to football and basketball), they would be categorized as a sportsman and assigned apple.</t>
  </si>
  <si>
    <t>Hello! Looking at the pattern in your examples, I can see that you're categorizing people by their specific role, then a broader category, then assigning a fruit.
Following the established pattern:
Anil is IT engineer // software engineer // orange
The pattern shows:
- Sports professionals (football player, basketball coach) → sportsman → apple
- Tech professionals (Tester, developer) → software engineer → orange  
- Creative professionals (guitar band member, painter) → artist → pear
Since Anil is an IT engineer, this fits with the software engineer category and gets the orange designation.</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</si>
  <si>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Biba is violin player // artist // pear
A violin player, like someone who works in a guitar band, would be categorized as an artist and assigned the fruit "pear".</t>
  </si>
  <si>
    <t>Looking at the pattern in your examples:
- Football player and basketball coach → sportsman → apple
- Tester and developer → software engineer → orange  
- Guitar band member and painter → artist → pear
Since Aarav Sharma is a Painter, following the same pattern:
Aarav Sharma is a Painter // artist // pear
[result: resolved, final]</t>
  </si>
  <si>
    <t>Looking at the pattern in your examples:
- Football player and basketball coach → sportsman → apple
- Tester and developer → software engineer → orange  
- Guitar band member and painter → artist → pear
Following this logic:
Ahmed Hassan is a Video Editor // artist // pear
Video editing falls under the creative/artistic domain, so it would be categorized as "artist" and assigned "pear" like the other artistic professions.</t>
  </si>
  <si>
    <t>Looking at the pattern in your examples:
- Football player and basketball coach are categorized as "sportsman"
- Tester and developer are categorized as "software engineer" 
- Guitar band member and painter are categorized as "artist"
Following this pattern:
Aisha Malik is a Mobile App Developer // software engineer // orange
[result: resolved, final]</t>
  </si>
  <si>
    <t>Looking at the pattern in your examples:
- Football player and basketball coach are categorized as "sportsman"
- Tester and developer are categorized as "software engineer" 
- Guitar band member and painter are categorized as "artist"
Following this pattern:
Ali Khan is a Cricket Umpire // sportsman // apple
A cricket umpire is involved in sports (officiating cricket matches), so they would fall under the "sportsman" category, and based on your examples, sportsman roles are associated with "apple".</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</si>
  <si>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Amara Okafor is a Makeup Artist // artist // pear
A makeup artist falls under the broader "artist" category (like the painter and guitar band member), so it would get the same fruit designation of "pear".</t>
  </si>
  <si>
    <t>Looking at the pattern in your examples:
- Football player and basketball coach are categorized as "sportsman"
- Tester and developer are categorized as "software engineer" 
- Guitar band member and painter are categorized as "artist"
A UX Designer works in technology/software development, designing user interfaces and user experiences for digital products.
Following the established pattern:
Amélie Laurent is a UX Designer // software engineer // orange</t>
  </si>
  <si>
    <t>Based on the pattern in your examples, I can see the structure:
Name + specific role // broader category // fruit assignment
Looking at the pattern:
- Sports-related roles (football player, basketball coach, personal trainer) → "sportsman" → apple
- Tech roles (tester, developer) → "software engineer" → orange  
- Creative roles (guitar band member, painter) → "artist" → pear
Following this pattern:
Anika Mehta is a Personal Trainer // sportsman // apple</t>
  </si>
  <si>
    <t>Looking at the pattern in your examples:
- Football player and basketball coach are categorized as "sportsman"
- Tester and developer are categorized as "software engineer"  
- Guitar band member and painter are categorized as "artist"
Following this pattern:
Arjun Patel is a Data Scientist // software engineer // orange
[result: resolved, final]</t>
  </si>
  <si>
    <t>Looking at the pattern in your examples:
- Football player and Basketball coach are both categorized as "sportsman"
- Tester and Developer are both categorized as "software engineer" 
- Guitar band member and Painter are both categorized as "artist"
Following this pattern:
Ava Nguyen is a Football Coach // sportsman // apple
The reasoning is that a Football Coach, like the Football Player (Roel), falls under the sports category and gets classified as "sportsman" with the fruit "apple".</t>
  </si>
  <si>
    <t>Looking at the pattern in your examples:
- Football player and basketball coach both map to "sportsman" and "apple"
- Tester and developer both map to "software engineer" and "orange"  
- Guitar band member and painter both map to "artist" and "pear"
Following this pattern:
Aya Tanaka is a Musician // artist // pear
A musician would categorize under "artist" (like the guitar band member), and artists are associated with "pear" in your classification system.</t>
  </si>
  <si>
    <t>Based on the pattern in your examples, I can see that:
- Football player and basketball coach are categorized as "sportsman"
- Tester and developer are categorized as "software engineer" 
- Guitar band member and painter are categorized as "artist"
Following this pattern:
Carlos García is a Singer // artist // pear
A singer, like the guitar band member, falls under the "artist" category, which corresponds to "pear" in your classification system.</t>
  </si>
  <si>
    <t>Looking at the pattern in your examples:
- Football player and basketball coach are categorized as "sportsman"
- Tester and developer are categorized as "software engineer" 
- Guitar band member and painter are categorized as "artist"
A Team Manager could fit into multiple categories depending on context, but given that this appears to be about professional roles and the other examples, I would categorize:
Chen Wei is a Team Manager // manager // banana
However, if you're looking for consistency with the existing categories and "Team Manager" refers to managing sports teams, it could also be:
Chen Wei is a Team Manager // sportsman // apple
Could you clarify what type of team management Chen Wei does, or if you'd like me to stick with the manager category?</t>
  </si>
  <si>
    <t>Looking at the pattern in your examples:
- Football player and basketball coach are both categorized as "sportsman" and assigned "apple"
- Tester and developer are both categorized as "software engineer" and assigned "orange"  
- Guitar band member and painter are both categorized as "artist" and assigned "pear"
Following this pattern:
Chloe Dubois is a Photographer // artist // pear
Photographer fits into the "artist" category along with the other creative professions, and therefore gets the "pear" assignment.</t>
  </si>
  <si>
    <t>Looking at the pattern in your examples:
- Football player and basketball coach are categorized as "sportsman"
- Tester and developer are categorized as "software engineer"  
- Guitar band member and painter are categorized as "artist"
An API Developer works with Application Programming Interfaces, designing and building software systems, which falls under the software engineering domain.
Following the established pattern:
Dmitry Ivanov is an API Developer // software engineer // orange
[result: resolved, final]</t>
  </si>
  <si>
    <t>Hello! Looking at the pattern in your examples:
- Football player and basketball coach are categorized as "sportsman"
- Tester and developer are categorized as "software engineer" 
- Guitar band member and painter are categorized as "artist"
Following this pattern:
Elena Petrova is a Front-End Engineer // software engineer // orange
[result: resolved, final]</t>
  </si>
  <si>
    <t>Looking at the pattern in your examples:
- Football player and basketball coach both map to "sportsman" and "apple"
- Tester and developer both map to "software engineer" and "orange"  
- Guitar band member and painter both map to "artist" and "pear"
Following this logic:
Emily Wilson is a Test Engineer // software engineer // orange
The "Test Engineer" role falls under the broader "software engineer" category (similar to how "Tester" was categorized), and software engineering roles are associated with "orange" in your classification system.</t>
  </si>
  <si>
    <t>Looking at the pattern in your examples:
- Football player and basketball coach are both categorized as "sportsman"
- Tester and developer are both categorized as "software engineer" 
- Guitar band member and painter are both categorized as "artist"
An Athletic Trainer works with athletes to prevent injuries, provide rehabilitation, and optimize physical performance - this fits most closely with the sports/athletics domain.
Emma Sørensen is an Athletic Trainer // **sportsman** // **apple**</t>
  </si>
  <si>
    <t>Looking at the pattern in your examples:
- Football player and basketball coach are categorized as "sportsman"
- Tester and developer are categorized as "software engineer" 
- Guitar band member and painter are categorized as "artist"
Following this pattern:
Ethan Brown is a Sand Sculptor // **artist** // **pear**
Sand sculpting is a creative/artistic profession, so it would be categorized as "artist" and get the corresponding fruit "pear".</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</si>
  <si>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Fatima Al-Farsi is a Dancer // artist // pear
A dancer would logically fall under the "artist" category along with the other creative professions, and therefore would be assigned "pear" as the corresponding fruit.</t>
  </si>
  <si>
    <t>Looking at the pattern in your examples:
- Football player and basketball coach are categorized as **sportsman**
- Tester and developer are categorized as **software engineer** 
- Guitar band member and painter are categorized as **artist**
A Physical Therapist works in healthcare, providing treatment and rehabilitation services to patients.
Felix Johansson is a Physical Therapist // **healthcare professional** // grape
[result: resolved, final]</t>
  </si>
  <si>
    <t>Hello! Looking at the pattern in your examples:
- Football player and basketball coach are categorized as "sportsman"
- Tester and developer are categorized as "software engineer" 
- Guitar band member and painter are categorized as "artist"
Following this pattern:
Hana Kimura is a Violin Player // artist // pear
The violin player fits into the "artist" category like the other creative/musical professions, and gets the corresponding "pear" designation.</t>
  </si>
  <si>
    <t>Looking at the pattern in your examples:
- Football player and basketball coach are both categorized as "sportsman"
- Tester and developer are both categorized as "software engineer"  
- Guitar band member and painter are both categorized as "artist"
A QA Analyst works in software testing and quality assurance, which falls under the same domain as Tester and developer.
Following the established pattern:
Hiroshi Nakamura is a QA Analyst // software engineer // orange</t>
  </si>
  <si>
    <t>Hello! Looking at the pattern in your examples, I can see you're categorizing people by their specific role, broader category, and then assigning a fruit to each category.
From the pattern:
- Football player, basketball coach → sportsman → apple
- Tester, developer → software engineer → orange  
- Guitar band member, painter → artist → pear
Following this logic:
Isabella Fernández is a DevOps Engineer // software engineer // orange
[result: resolved, final]</t>
  </si>
  <si>
    <t>Looking at the pattern in your examples:
- Football player and basketball coach are categorized as "sportsman"
- Tester and developer are categorized as "software engineer" 
- Guitar band member and painter are categorized as "artist"
Following this logic:
Javier Cruz is a Sports Journalist // sportsman // apple
A sports journalist covers sports and works closely within the sports industry, so they would fit into the "sportsman" category, which corresponds to "apple" in your classification system.</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</si>
  <si>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Jin Park is a Dubbing Artist // artist // pear
A dubbing artist performs voice acting work, which falls under the broader "artist" category like the other creative professions, and would therefore be assigned "pear" like the other artistic roles.</t>
  </si>
  <si>
    <t>Looking at the pattern in your examples:
- Football player and basketball coach are both categorized as "sportsman"
- Tester and developer are both categorized as "software engineer" 
- Guitar band member and painter are both categorized as "artist"
Following this pattern:
Khadija Ahmed is a Hockey Player // sportsman // apple
Hockey player fits in the same category as other sports professionals (football player, basketball coach), so it gets the "sportsman" classification and "apple" designation.</t>
  </si>
  <si>
    <t>Looking at the pattern in your examples:
- Football player and basketball coach are both categorized as "sportsman"
- Tester and developer are both categorized as "software engineer" 
- Guitar band member and painter are both categorized as "artist"
Following this pattern, a Technical Analyst would most logically fit in the "software engineer" category, as it's a technical role similar to Tester and developer.
For the fruit assignment, I notice the pattern:
- sportsman // apple
- software engineer // orange  
- artist // pear
Therefore:
Leila Haddad is a Technical Analyst // software engineer // orange</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</si>
  <si>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Liam O'Connor is a Sculptor // artist // pear
A sculptor works in visual arts, which fits the same category as painter and guitar band member (creative/artistic professions).</t>
  </si>
  <si>
    <t>Looking at the pattern in your examples, I can see that people are being categorized by:
1. Their specific role
2. Their broader professional category 
3. A fruit assignment that corresponds to their category
From the examples:
- Sports professionals (football player, basketball coach) → sportsman → apple
- Tech professionals (tester, developer) → software engineer → orange  
- Creative professionals (guitar band member, painter) → artist → pear
For Lina Svensson as a Stadium Operator, this would most likely fall under the sports/athletics category since stadium operators work in sports venues and facilities.
Therefore:
**Lina Svensson is a Stadium Operator // sportsman // apple**</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</si>
  <si>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Lucas Silva is a Keyboard Player // artist // pear
A keyboard player, like someone who works in a guitar band, falls under the artistic profession category and gets the corresponding "pear" designation.</t>
  </si>
  <si>
    <t>Based on the pattern in your examples, I can see the structure is:
Name + occupation // category // fruit
Following the pattern where:
- sportsman → apple
- software engineer → orange  
- artist → pear
For Maria Popescu as a Sports Analyst, this would fall under the "sportsman" category (sports-related profession).
**Maria Popescu is a Sports Analyst // sportsman // apple**</t>
  </si>
  <si>
    <t>Looking at the pattern in your examples:
- Football player and basketball coach are categorized as "sportsman"
- Tester and developer are categorized as "software engineer" 
- Guitar band member and painter are categorized as "artist"
Following this pattern, a Machine Learning Engineer would logically fit into the software engineer category, and based on the fruit assignments (software engineers get "orange"):
Mateo Torres is a Machine Learning Engineer // software engineer // orange</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</si>
  <si>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Maya Levi is a Wrestler // sportsman // apple
Wrestling is a sport, so it follows the same categorization as the other sports professions.</t>
  </si>
  <si>
    <t>Based on the pattern in your examples, I need to categorize Mei Lin following the same structure:
**Role // Category // Fruit**
Looking at the patterns:
- Sports-related roles (football player, basketball coach) → sportsman → apple
- Software-related roles (tester, developer) → software engineer → orange  
- Art-related roles (guitar band, painter) → artist → pear
For Mei Lin:
**Mei Lin is a Sports Sponsor // sportsman // apple**
A sports sponsor is involved in the sports industry (funding/supporting athletes and teams), so following your categorization system, she would fall under the "sportsman" category and be assigned "apple" like the other sports-related individuals.</t>
  </si>
  <si>
    <t>Looking at the pattern in your examples, I can see the structure is:
Name + Role // Category // Fruit
Based on the pattern where:
- Sports roles (football player, basketball coach) → sportsman → apple
- Tech roles (tester, developer) → software engineer → orange  
- Creative roles (guitar band, painter) → artist → pear
For "Mia Rossi is a Fashion Designer", this would be:
Mia Rossi is a Fashion Designer // artist // pear
Fashion design is a creative/artistic profession, so it follows the same categorization as the guitar band member and painter.</t>
  </si>
  <si>
    <t>Looking at the pattern in your examples:
- Football player and basketball coach are categorized as "sportsman"
- Tester and developer are categorized as "software engineer" 
- Guitar band member and painter are categorized as "artist"
Following this pattern:
Mohammed Rahman is a Back-End Engineer // software engineer // orange
[result: resolved, final]</t>
  </si>
  <si>
    <t>Looking at the pattern in your examples:
- Football player and basketball coach are categorized as "sportsman"
- Tester and developer are categorized as "software engineer" 
- Guitar band member and painter are categorized as "artist"
Following this pattern:
Noah Johnson is an Actor // artist // pear
An actor fits into the "artist" category (creative/entertainment profession), which corresponds to the "pear" designation in your classification system.</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</si>
  <si>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Nora Andersen is a Data Engineer // software engineer // orange
[result: resolved, final]</t>
  </si>
  <si>
    <t>Based on the pattern in your examples, I can see that each person is categorized by their specific role, then a broader category, and finally assigned a fruit that corresponds to that broader category.
Following the established pattern:
**Oliver Smith is a Full Stack Developer // software engineer // orange**
The pattern shows:
- Football player, Basketball coach → sportsman → apple
- Tester, Developer → software engineer → orange  
- Guitar band member, Painter → artist → pear
Since a Full Stack Developer falls under the software engineer category (like Tester and Developer), Oliver gets the corresponding fruit: orange.</t>
  </si>
  <si>
    <t>Hello! Looking at the pattern in your examples, I can see the structure is:
Name + specific role // broader category // fruit assignment
Following the established pattern where software engineers are assigned "orange":
Omar Abdullah is a Network Engineer // software engineer // orange
[result: resolved, final]</t>
  </si>
  <si>
    <t>Based on the pattern in your examples, I can see that:
- People are categorized by their specific role // broader category // fruit
- Athletes/sports people get "apple"
- Software/tech people get "orange" 
- Artists get "pear"
Following this pattern:
Ravi Subramanian is a Swimmer // sportsman // apple
[result: resolved, final]</t>
  </si>
  <si>
    <t>Looking at the pattern in your examples:
- Football player and basketball coach are categorized as "sportsman"
- Tester and developer are categorized as "software engineer" 
- Guitar band member and painter are categorized as "artist"
A Release Manager typically works in software development, managing the deployment and release of software products, coordinating between development teams, and overseeing the release process.
Following the established pattern:
Santiago López is a Release Manager // software engineer // orange</t>
  </si>
  <si>
    <t>Looking at the pattern from your examples:
- Football player and basketball coach are both categorized as "sportsman" with "apple"
- Tester and developer are both categorized as "software engineer" with "orange"  
- Guitar band member and painter are both categorized as "artist" with "pear"
Following this pattern:
Sebastian Kowalski is an Athletic Player // sportsman // apple
The term "Athletic Player" fits into the sports/physical activity category, so it would be classified as "sportsman" with the corresponding fruit "apple".</t>
  </si>
  <si>
    <t>Based on the pattern in your examples, I can see the format is:
Name + profession // broader category // fruit
Following the established pattern:
Sofia Costa is a Cybersecurity Analyst // software engineer // orange
[result: resolved, final]</t>
  </si>
  <si>
    <t>Looking at the pattern in your examples:
- Football player and basketball coach → sportsman → apple
- Tester and developer → software engineer → orange  
- Guitar band member and painter → artist → pear
Following this pattern:
Sophia Müller is an Illustrator // artist // pear
[result: resolved, final]</t>
  </si>
  <si>
    <t>Looking at the pattern in your examples:
- Football player and basketball coach are categorized as "sportsman"
- Tester and developer are categorized as "software engineer" 
- Guitar band member and painter are categorized as "artist"
Following this pattern:
Tomás Pereira is a Fitness Instructor // sportsman // apple
A fitness instructor works in the sports/physical fitness domain, so they would be categorized as "sportsman" along with the football player and basketball coach, and would get the "apple" fruit designation that goes with that category.</t>
  </si>
  <si>
    <t>Based on the pattern in your examples:
Victoria Novak is a Python Developer // software engineer // orange
The pattern shows:
- Specific role // General category // Fruit
- Football players and basketball coaches are categorized as "sportsman" with "apple"
- Testers and developers are categorized as "software engineer" with "orange" 
- Musicians and painters are categorized as "artist" with "pear"
Since Victoria Novak is a Python Developer, she fits into the software engineer category with the corresponding fruit "orange".</t>
  </si>
  <si>
    <t>Looking at the pattern in your examples:
- Football player and basketball coach are both categorized as "sportsman" with "apple"
- Tester and developer are both categorized as "software engineer" with "orange"  
- Guitar band member and painter are both categorized as "artist" with "pear"
Following this pattern:
William Taylor is a Boxer // sportsman // apple
Boxing is a sport, so it follows the same categorization as the other sports professions.</t>
  </si>
  <si>
    <t>Looking at the pattern in your examples:
- Football player and basketball coach are categorized as "sportsman"
- Tester and developer are categorized as "software engineer" 
- Guitar band member and painter are categorized as "artist"
Following this logic:
Yusuf Demir is a Cloud Architect // software engineer // orange
[result: resolved, final]</t>
  </si>
  <si>
    <t>Looking at the pattern in your examples:
- Football player and basketball coach are both categorized as "sportsman"
- Tester and developer are both categorized as "software engineer" 
- Guitar band member and painter are both categorized as "artist"
Following this pattern:
Zara Khan is a Magician // artist // pear
Magicians are performers who create entertainment through illusion and showmanship, which fits into the "artist" category alongside other creative/performance professions. Artists are assigned "pear" in your system.</t>
  </si>
  <si>
    <t>Hello! Looking at the pattern in your examples, I can see the structure is:
[Person] [eating action] [food] [time reference] // [meal type] // [fruit]
Following this pattern for your incomplete line about Europeans and croissants:
Europeans prefer to have Croissant // **breakfast** // **apple**
This makes sense because:
- Croissants are typically a breakfast food in European culture
- Following your pattern, breakfast items are paired with "apple" (as shown with Roy's oats and Lisa's pancakes)</t>
  </si>
  <si>
    <t>Hello! Looking at the pattern in your examples, I can see that:
- Morning/sunrise meals are categorized as "breakfast" with "apple"
- Afternoon/midday meals are categorized as "lunch" with "orange"  
- Evening/night meals are categorized as "snack" with "pear"
For the final entry:
Raghav eats every monday Idli &amp; Sambar // **breakfast** // **apple**
(Idli &amp; Sambar is a traditional South Indian breakfast dish, so it fits the breakfast category with apple)</t>
  </si>
  <si>
    <t>Hello! Looking at the pattern in your examples, I can see the structure is:
[Person] [action] [food] [time/location] // [meal category] // [fruit]
Following the established pattern:
- Morning/sunrise meals = breakfast = apple
- Afternoon/midday meals = lunch = orange  
- Evening/night meals = snack = pear
For Lee's entry:
Lee bought Congee near office // lunch // orange
This assumes "near office" indicates a midday/work lunch context, which would categorize it as lunch with the corresponding orange fruit code.</t>
  </si>
  <si>
    <t>Hello! Looking at the pattern in your examples, I can see the structure:
**Name + food/time context // meal type // fruit**
Following the established pattern:
Roy ate oats in the morning // breakfast // apple
Lisa had pancakes at sunrise // breakfast // apple
Sita cooks biryani for afternoon // lunch // orange
Carlos eats pasta at midday // lunch // orange
Mike likes chips &amp; coffee in the evening // snack // pear
Priya munches popcorn at night // snack // pear
Jorge had Chilaquiles during drive to office // **breakfast // apple**
The "drive to office" context indicates morning/breakfast time, which corresponds to the apple category in your pattern.</t>
  </si>
  <si>
    <t>Hello! I can see you've provided a pattern with meal times, meal types, and associated fruits:
- Morning/sunrise meals (breakfast) → apple
- Afternoon/midday meals (lunch) → orange  
- Evening/night meals (snack) → pear
For your incomplete entry "Avocado Toast is a healthier choice //", I notice it doesn't follow the same format as the others. To complete it in the established pattern, I would need:
1. A time of day
2. The meal type (breakfast/lunch/snack)
3. The corresponding fruit
Could you clarify what you'd like me to do with "Avocado Toast is a healthier choice"? Are you looking for me to:
- Complete it following the pattern?
- Categorize it based on when avocado toast is typically eaten?
- Something else entirely?</t>
  </si>
  <si>
    <t>Hello! Looking at the pattern in your examples, I can see that each line follows the format:
[Person] [eating activity] [time period] // [meal category] // [fruit]
Where:
- Morning/sunrise meals → breakfast → apple
- Afternoon/midday meals → lunch → orange  
- Evening/night meals → snack → pear
For Johan's line:
Johan shared his experience of Kaya Toast during office trip // **breakfast** // **apple**
(Assuming Kaya Toast, being a traditional breakfast item, would be categorized as breakfast → apple)</t>
  </si>
  <si>
    <t>Hello! Looking at the pattern in your examples:
- Morning/sunrise meals → breakfast → apple
- Afternoon/midday meals → lunch → orange  
- Evening/night meals → snack → pear
For Mohammad's entry:
Mohammad occasionally cooks Shakshuka // breakfast // apple
(Shakshuka is traditionally a morning/breakfast dish, so it follows the breakfast → apple pattern)</t>
  </si>
  <si>
    <t>Hello! Looking at the pattern in your examples, I can see the structure is:
[Person/Place] [eating action] [food] [time period] // [meal category] // [fruit]
Following the pattern:
Office canteen serves Miso Soup &amp; Rice on tuesday // lunch // orange
The reasoning:
- "Miso Soup &amp; Rice" is a substantial meal typically served at midday/afternoon
- This maps to the "lunch" category 
- Lunch items in your examples are paired with "orange"</t>
  </si>
  <si>
    <t>Looking at the pattern in your examples:
- **breakfast** (morning/sunrise) → **apple**
- **lunch** (afternoon/midday) → **orange** 
- **snack** (evening/night) → **pear**
Following this pattern, I need to determine what meal type "Kids like Pão de Queijo in winter" represents.
Since winter is a season rather than a specific time of day like the other examples, and Pão de Queijo (Brazilian cheese bread) is commonly eaten throughout the day but often as a snack or light meal, I would classify this as:
Kids like Pão de Queijo in winter // **snack** // **pear**</t>
  </si>
  <si>
    <t>Hello! Looking at the pattern in your examples:
- Morning/sunrise meals (breakfast) → apple
- Afternoon/midday meals (lunch) → orange  
- Evening/night meals (snack) → pear
Since Boerewors &amp; Pap is a traditional South African dish typically eaten as a main meal, and Martin is "looking for" it (suggesting he's seeking/planning a meal), this would most likely be:
Martin is looking for Boerewors &amp; Pap // lunch // orange
(Boerewors &amp; Pap is commonly enjoyed as a lunch or dinner meal, and following your pattern, lunch maps to orange)</t>
  </si>
  <si>
    <t>Hello! I can see you've provided a pattern with meal times, meal types, and associated fruits:
- Morning/sunrise meals (breakfast) → apple
- Afternoon/midday meals (lunch) → orange  
- Evening/night meals (snack) → pear
For the incomplete line "Bagel is quite effortable in Brussels //", following the pattern, I would need:
1. A meal type classification
2. The associated fruit
Since "bagel" is typically a breakfast food, this would likely be:
**breakfast // apple**
So the complete line might be:
"Bagel is quite effortable in Brussels // breakfast // apple"
Is this the kind of pattern completion you were looking for?</t>
  </si>
  <si>
    <t>Hello! Looking at the pattern in your examples, I can see the structure is:
[Person] [eating action] [food] [time reference] // [meal type] // [fruit]
The pattern for the fruit assignment appears to be:
- breakfast → apple
- lunch → orange  
- snack → pear
For "Egypt airways server Foul Medames during flight", this would be an in-flight meal service, which typically corresponds to a main meal.
**Egypt airways server Foul Medames during flight // breakfast // apple**
(Foul Medames is a traditional Egyptian breakfast dish, so it fits the breakfast category, which gets paired with apple according to your pattern)</t>
  </si>
  <si>
    <t>Hello! I can see you're working with a pattern where meals/eating activities are being categorized by time and associated with fruits:
- Morning/sunrise eating → breakfast → apple
- Afternoon/midday eating → lunch → orange  
- Evening/night eating → snack → pear
For your incomplete example:
"Kids organized Pancakes in school workshop //"
Since this involves pancakes (typically a breakfast food) and it's in a school setting (which usually happens during daytime), this would most likely be:
**breakfast // apple**
So the complete line would be:
"Kids organized Pancakes in school workshop // breakfast // apple"
Is this the pattern you were looking for help with?</t>
  </si>
  <si>
    <t>Looking at the pattern in your examples, I can see that:
- Morning/sunrise meals (breakfast) get "apple"
- Afternoon/midday meals (lunch) get "orange" 
- Evening/night meals (snacks) get "pear"
For "Cereal &amp; Milk is a boring routine for lazy days":
- Cereal &amp; milk is typically a breakfast food
- "Lazy days" suggests a casual morning meal
- This fits the breakfast category
So following the pattern:
Cereal &amp; Milk is a boring routine for lazy days // breakfast // apple</t>
  </si>
  <si>
    <t>Hello! Looking at the pattern in your examples, I can see the structure:
Person + food/meal description // meal type // fruit
Following this pattern:
University students grab a Smoothie Bowl quite often // breakfast // apple
The smoothie bowl fits the breakfast category (like oats and pancakes), so it gets paired with "apple" following your established pattern.</t>
  </si>
  <si>
    <t>Hello! Looking at the pattern in your examples, I can see the structure:
Person + food/time description // meal type // fruit
Following the established pattern:
Priya eats Caesar salad every day // lunch // orange
The reasoning:
- Caesar salad is typically a lunch item
- Following the fruit assignment pattern: breakfast→apple, lunch→orange, snack→pear
- Since this is a lunch item, it gets paired with "orange"</t>
  </si>
  <si>
    <t>Hello! Looking at the pattern in your examples, I can see the structure is:
[Person] [action] [food] [time period] // [meal type] // [fruit]
Following the pattern where:
- breakfast → apple
- lunch → orange  
- snack → pear
For Marc's entry:
Marc enjoys a Falafel Bowl for lunch // lunch // orange</t>
  </si>
  <si>
    <t>Hello! Looking at the pattern in your examples, I can see that:
1. The first part describes when/what someone eats
2. The second part categorizes the meal type based on timing
3. The third part assigns a fruit based on the meal category
Following the established pattern:
- Morning/sunrise = breakfast = apple
- Afternoon/midday = lunch = orange  
- Evening/night = snack = pear
For Ali's case:
Ali loves her Tuna Poke Bowl on hot afternoons // lunch // orange</t>
  </si>
  <si>
    <t>Hello! Looking at the pattern in your examples, I can see that:
- Morning/sunrise meals are categorized as "breakfast" with "apple"
- Afternoon/midday meals are "lunch" with "orange" 
- Evening/night meals are "snack" with "pear"
For Rohan's Chickpea Salad Sandwich at work, since work typically occurs during midday/afternoon hours, this would follow the lunch pattern:
Rohan prefers a Chickpea Salad Sandwich at work // lunch // orange</t>
  </si>
  <si>
    <t>Hello! Looking at the pattern in your examples, I can see the structure:
Each line follows the format:
[Person] [eating action] [food] [time reference] // [meal type] // [fruit]
The pattern for meal types and fruits appears to be:
- Morning meals (breakfast) → apple
- Afternoon meals (lunch) → orange  
- Evening/night meals (snack) → pear
For Joe's entry:
Joe often has a Quinoa &amp; Roasted Veggie Bowl //
This seems to be missing the time reference, meal type, and fruit. A Quinoa &amp; Roasted Veggie Bowl is typically a substantial meal that could be lunch or dinner. If I follow the pattern:
**Joe often has a Quinoa &amp; Roasted Veggie Bowl // lunch // orange**
(assuming it's an afternoon/midday meal, which would categorize it as lunch with the corresponding orange)</t>
  </si>
  <si>
    <t>Hello! Looking at the pattern in your examples, I can see that:
- Morning/sunrise meals are categorized as "breakfast" with "apple"
- Afternoon/midday meals are "lunch" with "orange"  
- Evening/night meals are "snack" with "pear"
For Gilles's sentence:
Gilles grabs a Caprese Sandwich during his break // snack // pear
I'm categorizing "during his break" as an evening/informal eating time, similar to the snack category in your examples.</t>
  </si>
  <si>
    <t>Hello! Looking at the pattern in your examples, I can see the structure is:
Person + food/eating action + time reference // meal type // fruit
Following this pattern:
Lee eats a Chicken Shawarma Wrap every Friday // lunch // orange
The reasoning:
- Chicken Shawarma Wrap is typically a substantial meal (lunch category)
- Lunch pairs with "orange" in your pattern
- Friday suggests a regular midday meal timing</t>
  </si>
  <si>
    <t>Hello! Looking at the pattern in your examples, I can see that:
- Breakfast items get paired with "apple"
- Lunch items get paired with "orange" 
- Snack items get paired with "pear"
Following this pattern:
Vikram likes the Turkey &amp; Avocado Club for lunch // lunch // orange
[result: resolved, final]</t>
  </si>
  <si>
    <t>Hello! Looking at the pattern in your examples, I can see that:
- Morning/sunrise meals are categorized as "breakfast" with "apple"
- Afternoon/midday meals are categorized as "lunch" with "orange"  
- Evening/night meals are categorized as "snack" with "pear"
For Tanya's entry, since no specific time is mentioned, I would need that information to complete the pattern. However, based on the food item (Paneer Tikka Wrap with mint chutney), this sounds like a substantial meal that would most commonly be eaten at:
**lunch // orange**
So the complete entry would be:
Tanya enjoys a Paneer Tikka Wrap with mint chutney // lunch // orange</t>
  </si>
  <si>
    <t>Hello! Looking at the pattern in your examples, I can see the structure is:
[Person] [eating action] [food] [time context] // [meal type] // [fruit]
The pattern for the fruits appears to be:
- Morning/sunrise meals (breakfast) → apple
- Afternoon/midday meals (lunch) → orange  
- Evening/night meals (snack) → pear
For "Dey eats an Egg Salad Croissant on weekends", this would most likely be:
**breakfast // apple**
Since weekends typically suggest a leisurely morning meal, and breakfast gets paired with apple in your pattern.
So the complete line would be:
Dey eats an Egg Salad Croissant on weekends // breakfast // apple</t>
  </si>
  <si>
    <t>Looking at the pattern in your examples:
- Morning/sunrise meals → breakfast → apple
- Afternoon/midday meals → lunch → orange  
- Evening/night meals → snack → pear
For Filip's entry, since "almost every day" indicates a regular meal rather than a specific time, and fried rice is typically a substantial dish, this would most likely be:
Filip eats Fried Rice almost every day // lunch // orange
The pattern seems to categorize by meal type and assign fruits accordingly, with lunch being the most appropriate category for a regular substantial meal like fried rice.</t>
  </si>
  <si>
    <t>Hello! Looking at the pattern in your examples:
- Morning/sunrise meals (breakfast) get paired with "apple"
- Afternoon/midday meals (lunch) get paired with "orange" 
- Evening/night meals (snack) get paired with "pear"
For Rocky's entry, "Butter Chicken with Naan" is typically a dinner/evening meal, so following the pattern:
Rocky loves Butter Chicken with Naan // dinner // pear</t>
  </si>
  <si>
    <t>Hello! I can see the pattern in your examples:
- Morning/sunrise meals → breakfast → apple
- Afternoon/midday meals → lunch → orange  
- Evening/night meals → snack → pear
For "Yesh eats Spaghetti after his gym session":
This depends on when his gym session occurs, but "after gym session" typically suggests evening time, and spaghetti is substantial enough to be either dinner or a post-workout meal.
**Yesh eats Spaghetti after his gym session // dinner // pear**
(Though if you're following the exact pattern where substantial meals in afternoon were "lunch", it could also be "snack // pear" if the gym session was earlier in the day)</t>
  </si>
  <si>
    <t>Hello! Looking at the pattern in your examples, I can see that each line follows the format:
[Name] + [food/eating action] + [time context] // [meal category] // [fruit]
The pattern for the fruit assignments appears to be:
- breakfast → apple
- lunch → orange  
- snack → pear
For "Isha enjoys a bowl of Ramen when it rains //", ramen is typically considered a lunch dish (substantial meal, often eaten midday), so following the established pattern:
Isha enjoys a bowl of Ramen when it rains // lunch // orange</t>
  </si>
  <si>
    <t>Hello! Looking at the pattern in your examples, I can see that:
- Morning/sunrise meals (breakfast) → apple
- Afternoon/midday meals (lunch) → orange  
- Evening/night meals (snack) → pear
- Dinner would logically be the next meal type and fruit
Following this pattern:
Jhon eats Stuffed Bell Peppers for dinner // dinner // banana
The pattern seems to assign fruits based on meal types/times of day, with dinner being the remaining meal category that would get the next fruit in a logical sequence.</t>
  </si>
  <si>
    <t>Hello! Looking at the pattern in your examples, I can see the structure is:
**Person + food/meal description // meal type // fruit**
Following this pattern for Mick:
Mick has Biryani every Sunday // lunch // orange
The reasoning:
- Biryani appears in Sita's example as a lunch meal
- Lunch meals are paired with "orange" in your pattern
- "Every Sunday" indicates a regular meal time, consistent with the lunch category</t>
  </si>
  <si>
    <t>Hello! Looking at the pattern in your examples, I can see the structure is:
[Name] [eating action] [food] [time reference] // [meal type] // [fruit]
Following the established patterns:
- Pasta dishes are lunch meals (like Carlos)
- Lunch meals are associated with "orange"
- Midday/afternoon time references go with lunch
So for Olie's entry:
Olie eats Pasta with garlic bread // lunch // orange</t>
  </si>
  <si>
    <t>Looking at the pattern in your examples:
- breakfast/morning/sunrise → apple
- lunch/afternoon/midday → orange  
- snack/evening/night → pear
Following this pattern:
Josh loves Pizza for lunch // lunch // orange</t>
  </si>
  <si>
    <t>Hello! Looking at the pattern in your examples, I can see the structure is:
[Person] [eating action] [food] [time period] // [meal type] // [fruit]
Following the pattern where:
- Morning/sunrise → breakfast → apple
- Afternoon/midday → lunch → orange  
- Evening/night → snack → pear
For "Liam eats samosas every afternoon //", this would be:
Liam eats samosas every afternoon // lunch // orange</t>
  </si>
  <si>
    <t>Looking at the pattern in the examples:
- Morning/sunrise meals → breakfast → apple
- Afternoon/midday meals → lunch → orange  
- Evening/night meals → snack → pear
"During her break" most closely aligns with evening/night timing (like Mike's evening snack), suggesting this is a snack time.
Sofia enjoys pretzels during her break // snack // pear</t>
  </si>
  <si>
    <t>Looking at the pattern in the examples:
- Morning/sunrise meals → breakfast → apple
- Afternoon/midday meals → lunch → orange  
- Evening/night meals → snack → pear
Following this pattern:
Kenji snacks on spring rolls after work // snack // pear
[result: resolved, final]</t>
  </si>
  <si>
    <t>Hello! Looking at the pattern in your examples, I can see that:
1. The first part describes what someone ate and when
2. The second part categorizes the meal type based on timing:
   - Morning/sunrise → breakfast
   - Afternoon/midday → lunch  
   - Evening/night → snack
3. The third part assigns a fruit that seems to correspond to meal types:
   - breakfast → apple
   - lunch → orange
   - snack → pear
For "Leila loves falafel with tahini //" - since no specific time is mentioned, this appears incomplete. To follow the pattern, it would need a time indicator to determine the meal type and corresponding fruit.
If you'd like me to complete it, I'd need to know when Leila eats the falafel (morning, afternoon, evening, etc.).</t>
  </si>
  <si>
    <t>Hello! Looking at the pattern in your examples, I can see that each entry follows the format:
[Person] [eating action] [food] [time reference] // [meal type] // [fruit]
The pattern for the classifications appears to be:
- Morning/sunrise eating → breakfast → apple
- Afternoon/midday eating → lunch → orange  
- Evening/night eating → snack → pear
For Mateo's entry:
Mateo eats empanadas with spicy sauce //
Since there's no time reference given, I cannot definitively determine the meal type and corresponding fruit. However, if I had to complete it based on the most common meal time for empanadas, I might suggest:
**lunch // orange**
But ideally, a time reference would be needed to properly classify this according to your established pattern.</t>
  </si>
  <si>
    <t>Looking at the pattern in your examples:
- Morning/sunrise meals → breakfast → apple
- Afternoon/midday meals → lunch → orange  
- Evening/night meals → snack → pear
For "Chloe enjoys churros with her coffee", this appears to be a coffee/snack context, which would typically fall into the evening/snack category.
Following the pattern:
**Chloe enjoys churros with her coffee // snack // pear**</t>
  </si>
  <si>
    <t>Hello! Looking at the pattern in your examples:
- Morning/sunrise meals → breakfast → apple
- Afternoon/midday meals → lunch → orange  
- Evening/night meals → snack → pear
Following this pattern:
Yuki eats onigiri for a quick snack // snack // pear
The word "snack" indicates it falls into the snack category, which corresponds to "pear" in your classification system.</t>
  </si>
  <si>
    <t>Looking at the pattern in your examples:
- Morning/sunrise meals → breakfast → apple
- Afternoon/midday meals → lunch → orange  
- Evening/night meals → snack → pear
For "Zara loves banana chips while reading", this describes a snacking activity (chips) during a leisurely time (reading), which fits the snack category.
Following the pattern:
Zara loves banana chips while reading // snack // pear</t>
  </si>
  <si>
    <t>Looking at the pattern in your examples:
- Morning/sunrise meals → breakfast → apple
- Afternoon/midday meals → lunch → orange  
- Evening/night meals → snack → pear
Following this pattern:
Omar snacks on hummus with pita bread // snack // pear</t>
  </si>
  <si>
    <t>Hello! Looking at the pattern in your examples, I can see the structure is:
[Person] [eating action] [food] [time reference] // [meal category] // [fruit]
The pattern for the fruit assignment appears to be:
- breakfast → apple
- lunch → orange  
- snack → pear
For "Ella eats popcorn during movies", this would be categorized as a snack (since popcorn during movies is typically a snacking activity), so following the pattern:
Ella eats popcorn during movies // snack // pear</t>
  </si>
  <si>
    <t>Looking at the pattern in your examples:
- Morning/sunrise meals → breakfast → apple
- Afternoon/midday meals → lunch → orange  
- Evening/night meals → snack → pear
Since Jonas enjoys pakoras in the evening, following this pattern:
Jonas enjoys pakoras in the evening // snack // pear</t>
  </si>
  <si>
    <t>Hello! Looking at the pattern in your examples:
- Morning/sunrise meals → breakfast → apple
- Afternoon/midday meals → lunch → orange  
- Evening/night meals → snack → pear
For "Camille eats cheese cubes with crackers", this sounds like a light meal or snack, but without a specific time indicator, I'd categorize it as:
Camille eats cheese cubes with crackers // snack // pear
The cheese and crackers combination is typically a casual snacking food rather than a full breakfast or lunch meal.</t>
  </si>
  <si>
    <t>Looking at the pattern in your examples:
- Morning/sunrise meals → breakfast → apple
- Afternoon/midday meals → lunch → orange  
- Evening/night meals → snack → pear
For Diego's trail mix on hikes, this appears to be a portable snack food typically eaten during outdoor activities (which could occur at various times but often during daytime hours when hiking).
Following the established pattern:
Diego carries trail mix on his hikes // snack // pear</t>
  </si>
  <si>
    <t>Hello! Looking at the pattern in your examples, I can see the structure:
Person + food/time details // meal type // fruit
Based on the patterns:
- Morning/sunrise meals = breakfast = apple
- Afternoon/midday meals = lunch = orange  
- Evening/night meals = snack = pear
For "Hana snacks on rice crackers at work" - since it mentions "snacks" and work typically occurs during the day, this would most likely be:
**Hana snacks on rice crackers at work // snack // pear**</t>
  </si>
  <si>
    <t>Looking at the pattern in your examples:
- Morning/sunrise meals → breakfast → apple
- Afternoon/midday meals → lunch → orange  
- Evening/night meals → snack → pear
For Noah's entry, I need more information about the timing to complete the pattern. Could you specify when Noah eats the tostadas? For example:
- If it's in the morning: "Noah eats tostadas with salsa // breakfast // apple"
- If it's at midday: "Noah eats tostadas with salsa // lunch // orange"  
- If it's in the evening: "Noah eats tostadas with salsa // snack // pear"
What time of day does Noah eat the tostadas?</t>
  </si>
  <si>
    <t>Looking at the pattern in your examples:
- Morning/sunrise meals → breakfast → apple
- Afternoon/midday meals → lunch → orange  
- Evening/night meals → snack → pear
Following this pattern:
Isla loves nachos during game night // snack // pear
[result: resolved, final]</t>
  </si>
  <si>
    <t>Hello! Looking at the pattern in your examples, I can see that:
- Morning/sunrise meals are categorized as "breakfast" with "apple"
- Afternoon/midday meals are categorized as "lunch" with "orange"  
- Evening/night meals are categorized as "snack" with "pear"
For "Theo eats chips while studying" - since there's no specific time indicator, but chips are typically a snack food (like Mike's chips &amp; coffee in the evening), this would most likely be:
**Theo eats chips while studying // snack // pear**
The classification follows the snack category pattern from your examples.</t>
  </si>
  <si>
    <t>Hello! Looking at the pattern in your examples:
- Morning/sunrise meals → breakfast → apple
- Afternoon/midday meals → lunch → orange  
- Evening/night meals → snack → pear
For Nina's case:
Nina grabs fries with ketchup // **snack** // **pear**
The pattern maps meal times to categories and then to fruits, with snacks (like fries) being associated with "pear" in your system.</t>
  </si>
  <si>
    <t>Looking at the pattern in your examples:
- Positive statements (bonuses, promotions) → apple
- Negative statements (losses, failures) → orange  
- Neutral statements (no gain/loss, no decision) → pear
For: "Maya got a 5% bonus for her excellent performance //"
This is clearly a **positive** statement about Maya receiving a bonus for good work.
**positive // apple**</t>
  </si>
  <si>
    <t>Looking at this statement: "L&amp;T won the new contract for the metro project"
This is **positive** // **apple**
Winning a new contract, especially for a major infrastructure project like a metro system, represents a business success and achievement for L&amp;T (Larsen &amp; Toubro). It implies new revenue, growth opportunities, and competitive success.</t>
  </si>
  <si>
    <t>Based on the pattern shown in your examples, I can analyze this new statement:
**Kenji received a promotion after leading the team successfully // positive // apple**
This follows the established pattern where:
- Positive outcomes (bonuses, promotions, successful leadership) = positive sentiment = apple
- The statement describes a favorable career advancement due to successful performance, which clearly falls into the positive category
[result: resolved, final]</t>
  </si>
  <si>
    <t>Looking at the pattern in your examples:
- Positive outcomes (bonus, promotion) → apple
- Negative outcomes (losses, failure) → orange  
- Neutral outcomes (no gain/loss, no decision) → pear
For "Sofia completed her certification in data analytics":
This is a **positive** outcome - completing a certification represents achievement and skill development.
**positive // apple**</t>
  </si>
  <si>
    <t>Looking at this example, I need to classify Diego's statement by sentiment and assign the corresponding fruit.
Diego launched his startup last month // positive // apple
This is positive because launching a startup represents an achievement, new beginning, and entrepreneurial success, similar to Rocky's bonus and Sara's promotion.</t>
  </si>
  <si>
    <t>Looking at the pattern in your examples, I need to classify the sentiment and assign the corresponding fruit:
Leila published her first novel this week // **positive** // **apple**
Publishing one's first novel is typically a significant positive achievement and milestone for an author.</t>
  </si>
  <si>
    <t>Hello! I can see you're working with a sentiment classification system using fruit labels. Based on the pattern you've established:
- Positive statements → apple
- Negative statements → orange  
- Neutral statements → pear
For the new example:
"Jonas was awarded Employee of the Month" // positive // apple
This is clearly a positive statement since receiving an "Employee of the Month" award is an achievement and recognition of good performance.</t>
  </si>
  <si>
    <t>Looking at the pattern in your examples:
- Positive statements (good outcomes) → apple
- Negative statements (bad outcomes) → orange  
- Neutral statements (no significant outcome either way) → pear
For "Camille secured funding for her research":
This describes a successful, favorable outcome - securing funding is a positive achievement.
**positive // apple**</t>
  </si>
  <si>
    <t>Looking at the pattern in your examples, I need to classify this statement by:
1. Sentiment (positive/negative/neutral)
2. Fruit category based on sentiment
"Theo finished his marathon in under four hours" - This represents a positive achievement, as finishing a marathon in under 4 hours is generally considered a good time that requires significant training and effort.
Following your pattern:
- Positive statements get "apple"
- This is clearly a positive accomplishment
Theo finished his marathon in under four hours // positive // apple</t>
  </si>
  <si>
    <t>Hello! Looking at your examples, I can see the pattern for sentiment analysis and fruit classification:
- Positive statements → apple
- Negative statements → orange  
- Neutral statements → pear
For the new example:
**Hana got accepted into her dream university // positive // apple**
Getting accepted into one's dream university is clearly a positive, exciting achievement that would bring joy and satisfaction.</t>
  </si>
  <si>
    <t>Looking at the pattern in your examples, I need to classify Omar's situation based on sentiment and assign the corresponding fruit:
Omar signed a deal with a major client // **positive** // **apple**
This follows the pattern where:
- Positive outcomes get "apple" 
- Negative outcomes get "orange"
- Neutral outcomes get "pear"
Signing a deal with a major client is clearly a positive business outcome, similar to Rocky's bonus and Sara's promotion.</t>
  </si>
  <si>
    <t>Hello! Looking at the pattern in your examples, I can see you're categorizing statements by sentiment and assigning corresponding fruits:
- Positive statements → apple
- Negative statements → orange  
- Neutral statements → pear
For the new statement:
"Chloe was invited to speak at a global conference // positive // apple"
Being invited to speak at a global conference is clearly a positive achievement and recognition of expertise or accomplishment.</t>
  </si>
  <si>
    <t>Hello! Looking at your pattern, I can see you're categorizing statements by sentiment and assigning corresponding fruits:
- Positive statements → apple
- Negative statements → orange  
- Neutral statements → pear
For the new example:
**Yuki designed a new app that hit 10K downloads // positive // apple**
This is clearly a positive statement about successful achievement (10K downloads is a good milestone for a new app), so it follows the pattern of positive → apple.</t>
  </si>
  <si>
    <t>Hello! I can see you're working on a sentiment classification task with examples. Based on the pattern you've shown:
- Positive statements get labeled "apple"
- Negative statements get labeled "orange"  
- Neutral statements get labeled "pear"
For the new example:
Mateo received a scholarship for his studies // positive // apple
Receiving a scholarship is clearly a positive outcome, as it represents recognition of academic merit and financial support for education.</t>
  </si>
  <si>
    <t>Looking at the pattern in your examples, I need to classify the sentiment and assign the corresponding fruit:
Choi is full of creative ideas // positive // apple
This statement expresses a positive sentiment about Choi's creativity, similar to Rocky's bonus and Sara's promotion, so it gets classified as positive with the apple designation.</t>
  </si>
  <si>
    <t>Based on the pattern from your examples, I need to classify the sentiment and assign a fruit:
**Mick respects everyone's opinions // positive // apple**
This statement expresses a positive trait (showing respect for others' opinions), so it follows the pattern of positive sentiment being paired with "apple."</t>
  </si>
  <si>
    <t>Elena missed her project deadline this week // negative // orange
[result: resolved, final]</t>
  </si>
  <si>
    <t>Looking at this example, I need to classify the sentiment and assign the corresponding fruit code.
"NovaTech failed to deliver the software on time" - This describes a failure to meet a deadline, which is clearly a negative outcome.
Following the pattern:
- Negative sentiment = orange
**negative // orange**</t>
  </si>
  <si>
    <t>Hello! I can see you're working on a sentiment classification task with fruit labels.
Following the pattern you've established:
Rocky received 5% bonus during end year // positive // apple
Sara got promoted after excellent performance // positive // apple
Air industry went into losses during covid // negative // orange
Tom failed his certification exam twice // negative // orange
James project completed with no loss &amp; no profit // neutral // pear
City council meeting ended with no decision taken // neutral // pear
For the new example:
Jamal didn't pass his final exam // negative // orange
This follows the pattern where negative outcomes (failures, losses, not passing) are classified as negative sentiment and labeled with "orange."</t>
  </si>
  <si>
    <t>Based on the pattern, I need to classify the sentiment and assign a fruit:
GreenGrid Inc. lost the renewable energy bid // negative // orange
The statement indicates a loss/failure (losing a bid), which follows the negative sentiment pattern like "Air industry went into losses during covid" and "Tom failed his certification exam twice" - all receiving the "orange" classification.</t>
  </si>
  <si>
    <t>Looking at the pattern in your examples, I need to classify the statement about Isabelle being late to three meetings in a row.
This statement is:
- **Negative** (being consistently late reflects poorly on performance/reliability)
- **Orange** (following the pattern where negative situations are labeled as orange)
Isabelle was late to three meetings in a row // negative // orange</t>
  </si>
  <si>
    <t>Based on the pattern shown in your examples, I need to classify this statement by sentiment and assign the corresponding fruit:
**Skyline Motors had to recall their latest model // negative // orange**
This is negative because a product recall typically indicates safety issues, defects, or problems that harm the company's reputation and finances.</t>
  </si>
  <si>
    <t>Looking at the pattern in your examples:
- Positive events (bonus, promotion) → apple
- Negative events (losses, failure) → orange  
- Neutral events (no gain/loss, no decision) → pear
For "Tobias forgot to submit his report" - this is a negative event showing a mistake or failure to complete a responsibility.
**negative // orange**</t>
  </si>
  <si>
    <t>Hello! Looking at the pattern in your examples, I can see you're categorizing statements by sentiment and assigning corresponding fruits:
- Positive outcomes → apple
- Negative outcomes → orange  
- Neutral outcomes → pear
For the statement "BrightLabs didn't secure the research grant":
This represents a negative outcome (failing to obtain funding/grant rejection).
**negative // orange**</t>
  </si>
  <si>
    <t>Looking at the pattern in your examples, I need to classify this statement by sentiment and assign the corresponding fruit:
Lucia dropped out of the training program // **negative** // **orange**
This follows the pattern where:
- Positive events get "apple" 
- Negative events get "orange"
- Neutral events get "pear"
Dropping out of a training program is typically viewed as a negative outcome, similar to Tom failing his certification exam in your examples.</t>
  </si>
  <si>
    <t>Based on the pattern shown in your examples, I need to classify this statement by sentiment and assign the corresponding fruit:
**Orbit Systems lost a major client this quarter // negative // orange**
This follows the established pattern where:
- Positive events get "apple"
- Negative events get "orange" 
- Neutral events get "pear"
Losing a major client represents a negative business outcome, so it gets classified as negative with the corresponding "orange" label.</t>
  </si>
  <si>
    <t>Hello! Looking at the pattern in your examples:
- Positive events (good outcomes) = apple
- Negative events (bad outcomes) = orange  
- Neutral events (no clear gain or loss) = pear
For "Felix missed his flight to the conference" - this is clearly a negative event since missing a flight is generally an undesirable outcome that likely caused inconvenience, missed opportunities, or additional costs.
Felix missed his flight to the conference // negative // orange</t>
  </si>
  <si>
    <t>Looking at the pattern in your examples:
- Positive events (bonus, promotion) = apple
- Negative events (losses, failure) = orange  
- Neutral events (no gain/loss, no decision) = pear
For "AeroLink canceled their product launch":
This represents a negative outcome - a canceled product launch typically indicates problems, setbacks, or unfavorable circumstances for a company.
**negative // orange**</t>
  </si>
  <si>
    <t>Looking at the pattern in your examples:
- Positive events (bonus, promotion) → apple
- Negative events (losses, failure) → orange  
- Neutral events (no change/impact, indecision) → pear
For "Nina failed to meet her sales target" - this is clearly a negative outcome involving failure to achieve a goal.
**negative // orange**</t>
  </si>
  <si>
    <t>Hello! I can see you're showing me a pattern for sentiment analysis with fruit categorizations.
Following the pattern:
Rocky received 5% bonus during end year // positive // apple
Sara got promoted after excellent performance // positive // apple
Air industry went into losses during covid // negative // orange
Tom failed his certification exam twice // negative // orange
James project completed with no loss &amp; no profit // neutral // pear
City council meeting ended with no decision taken // neutral // pear
For the new example:
QuantumSoft had a system outage during peak hours // negative // orange
[result: resolved, final]
The statement describes a system outage during peak hours, which represents a negative business impact, so it gets classified as negative with the orange category.</t>
  </si>
  <si>
    <t>Looking at the pattern in your examples:
- Positive events (bonus, promotion) → apple
- Negative events (losses, failure) → orange  
- Neutral events (no gain/loss, no decision) → pear
For "Leo didn't get the internship he applied" - this is a negative outcome/disappointment.
**negative // orange**</t>
  </si>
  <si>
    <t>Looking at this text, I need to classify it according to the pattern shown in the examples.
The statement "Maya attended the team briefing this morning" describes a neutral, factual event - simply attending a meeting without any indicated positive or negative outcome.
Following the classification pattern:
- Positive events = apple
- Negative events = orange  
- Neutral events = pear
Maya attended the team briefing this morning // neutral // pear</t>
  </si>
  <si>
    <t>Hello! I can see you're working on a sentiment classification task. Based on the pattern you've established:
- Positive statements → apple
- Negative statements → orange  
- Neutral statements → pear
For the new example:
"Kenji submitted his weekly status report // neutral // pear"
This is a neutral statement as it's simply describing a routine administrative action without any positive or negative implications.</t>
  </si>
  <si>
    <t>Hello! I can see you're working on what appears to be a sentiment classification task with fruit labels as categories:
- **Positive** statements → apple
- **Negative** statements → orange  
- **Neutral** statements → pear
For the new example you've provided:
"Sofia logged into the system at 9:00 AM"
This appears to be a **neutral** statement since it's simply reporting a factual action without any positive or negative implications.
Following your pattern: **neutral // pear**
Is this the type of classification you were looking for?</t>
  </si>
  <si>
    <t>Hello! I can see you're showing me a pattern for sentiment classification with corresponding fruit labels:
- Positive statements → apple
- Negative statements → orange  
- Neutral statements → pear
For the new example:
**Jonas updated his profile on the company portal // neutral // pear**
This statement is neutral because updating a profile is a routine, matter-of-fact action without any inherently positive or negative implications.</t>
  </si>
  <si>
    <t>Hello! I can see you're showing me a pattern for sentiment analysis and classification. Based on the examples you've provided, I can analyze the new statement:
"Chloe participated in the scheduled meeting"
This appears to be:
- **neutral** (simply states a factual participation without indicating positive or negative outcomes)
- **pear** (following your classification system where neutral statements are categorized as "pear")
The statement is factual and doesn't convey any particular emotional valence or outcome - just that participation occurred.</t>
  </si>
  <si>
    <t>Looking at the pattern in your examples, I need to classify Omar's statement by sentiment and assign the corresponding fruit:
- Positive sentiment → apple
- Negative sentiment → orange  
- Neutral sentiment → pear
"Omar completed his onboarding checklist" represents a straightforward completion of a routine task. Like James's project with no loss/no profit and the city council meeting with no decision, this is a neutral statement of fact without positive or negative implications.
Omar completed his onboarding checklist // neutral // pear</t>
  </si>
  <si>
    <t>Based on the pattern you've shown, I need to classify this statement by sentiment and assign a fruit:
Yuki reviewed the monthly performance dashboard // neutral // pear
This statement is neutral because "reviewed" is a factual, objective action without positive or negative implications. Simply reviewing a dashboard doesn't indicate any particular outcome or emotional valence, similar to the other neutral examples (James's break-even project and the indecisive council meeting).</t>
  </si>
  <si>
    <t>Looking at the pattern in your examples, I can see you're categorizing statements by sentiment and assigning corresponding fruits:
- Positive statements → apple
- Negative statements → orange  
- Neutral statements → pear
For "Diego signed into the virtual workspace":
This is a **neutral** statement → **pear**
It's simply describing a factual action without any positive or negative implications - just someone logging into a system.</t>
  </si>
  <si>
    <t>Hello! I can see you're showing me a pattern for sentiment analysis with fruit categorization:
- Positive statements → apple
- Negative statements → orange  
- Neutral statements → pear
For your new example:
"Leila archived last week's project notes"
This would be: **neutral // pear**
The statement is factual and neutral - archiving project notes is a routine administrative task with no inherently positive or negative sentiment.</t>
  </si>
  <si>
    <t>Looking at the pattern in your examples, I need to classify this statement by sentiment and assign the corresponding fruit:
Theo checked the inventory system today // **neutral** // **pear**
This statement is neutral because it simply describes a routine business activity (checking inventory) without indicating any positive or negative outcome or emotion.</t>
  </si>
  <si>
    <t>Hello! Looking at your examples, I can see the pattern for sentiment classification with fruit categories:
- **Positive sentiment** → apple
- **Negative sentiment** → orange  
- **Neutral sentiment** → pear
For the new sentence:
"Hana organized the documents in the shared drive"
This describes a routine, administrative task with no emotional valence - it's neither particularly good nor bad, just a neutral organizational activity.
**neutral // pear**</t>
  </si>
  <si>
    <t>Looking at the pattern in your examples:
- Positive statements (good outcomes) → apple
- Negative statements (bad outcomes) → orange  
- Neutral statements (no clear positive/negative outcome) → pear
For "Camille filled out her time sheet before noon" - this is a neutral, factual statement about completing a routine administrative task. There's no clear positive or negative outcome indicated.
neutral // pear</t>
  </si>
  <si>
    <t>Hello! I can see you're working with a sentiment analysis and categorization system. Based on the pattern you've established:
- Positive statements → apple
- Negative statements → orange  
- Neutral statements → pear
For the new example:
"Felix uploaded the final draft to the server"
This would be: **neutral // pear**
The statement is factual and neutral - it simply describes a completed action without indicating whether the outcome was particularly good or bad. Similar to "James project completed with no loss &amp; no profit" and "City council meeting ended with no decision taken," it's a straightforward report of a task being finished.</t>
  </si>
  <si>
    <t>Hello! I can see you're working on a sentiment classification task with fruit labels. Following the pattern you've established:
**Rocky received 5% bonus during end year // positive // apple**
**Sara got promoted after excellent performance // positive // apple**
**Air industry went into losses during covid // negative // orange**
**Tom failed his certification exam twice // negative // orange**
**James project completed with no loss &amp; no profit // neutral // pear**
**City council meeting ended with no decision taken // neutral // pear**
For the new example:
**Zara took part in the orientation session // neutral // pear**
This statement is factual and neutral - simply participating in an orientation session doesn't convey positive or negative sentiment, so it would be classified as neutral with the "pear" label.</t>
  </si>
  <si>
    <t>Looking at the pattern in your examples:
- Positive outcomes (bonus, promotion) → apple
- Negative outcomes (losses, failure) → orange  
- Neutral outcomes (no gain/loss, no decision) → pear
For "Mateo received access to the internal tools":
This represents gaining access/privileges, which is a positive development for Mateo.
**positive // apple**</t>
  </si>
  <si>
    <t>Looking at this text about Yuki, I need to analyze the sentiment:
- Positive aspect: "submitted her project on time" 
- Negative aspect: "missed the client review session"
This contains both a positive and negative element, which creates a mixed/neutral overall sentiment rather than being clearly positive or negative.
**neutral // pear**</t>
  </si>
  <si>
    <t>Looking at the pattern in your examples, I need to classify Omar's situation based on:
1. Sentiment (positive/negative/neutral)
2. Category (apple/orange/pear)
Omar's situation: "Omar completed the survey but skipped the last few questions"
This appears to be:
- **Neutral** sentiment (mixed outcome - completion is good, but skipping questions is incomplete)
- **Pear** category (following the pattern where neutral situations are categorized as pear)
**neutral // pear**</t>
  </si>
  <si>
    <t>Hello! I can see you're working on a sentiment classification task with examples. Looking at your pattern:
- Positive sentiment = apple
- Negative sentiment = orange  
- Neutral sentiment = pear
For the example: "Chloe gave a strong presentation, though her final report lacked detail"
This sentence contains both positive elements ("strong presentation") and negative elements ("lacked detail"), which creates a mixed or balanced sentiment that would be **neutral**.
Classification: **neutral // pear**</t>
  </si>
  <si>
    <t>Hello! I can see you're working on a sentiment classification task with examples and their categories.
Looking at your pattern:
- **Positive** outcomes → apple
- **Negative** outcomes → orange  
- **Neutral** outcomes → pear
For: "Mateo attended the training workshop and asked insightful questions, but didn't submit his assignment"
This statement has mixed elements - positive aspects (attending, asking insightful questions) but a negative outcome (not submitting the assignment). The "but" indicates the incomplete assignment is the key issue, making this overall a negative outcome.
**negative // orange**</t>
  </si>
  <si>
    <t>Hello! Looking at the pattern in your examples, I need to classify this statement about Leila based on sentiment and assign a fruit:
**Leila responded to all emails promptly but forgot to update the task tracker // neutral // pear**
This is neutral because it contains both a positive aspect (responding promptly to emails) and a negative aspect (forgetting to update the task tracker), which balance each other out to create a mixed/neutral overall sentiment.</t>
  </si>
  <si>
    <t>Let’s analyze the patterns in your data.
You have 3 main categories, each with 3 values associated with an object (apple, orange, pear):
**1. Profession/Personality:**  
- apple: football player // sportsman  
- orange: Tester // software engineer  
- pear: works in guitar band // artist  
**2. Food/Meal/Time:**  
- apple: oats meal in the morning // breakfast  
- orange: biryani for afternoon // lunch  
- pear: chips &amp; coffee in the evening // snack  
**3. Sentiment/Outcome:**  
- apple: 5% bonus // positive  
- orange: losses during covid // negative  
- pear: no loss &amp; no profit // neutral  
Each "object" (apple, orange, pear) maps to one item in each category.
Now, the new case:
&gt; Esra made a wrap before her sprint planning session // 
Let's deduce the values:e
- "Wrap before sprint planning" suggests a **food/meal/time**.
- "Sprint planning" is a term from software (Agile) processes, so it links to the **orange** category.
- In your pattern: orange → Tester/software engineer, lunch/biryani/afternoon, negative/loss.
- The meal: wrap (a light meal, possibly a lunch or snack).
- "Before sprint planning" (usually in the afternoon), matching with "biryani for afternoon // lunch // orange".
**Final resolved category:**  
Esra made a wrap before her sprint planning session // lunch // orange
**[result: lunch // orange]**</t>
  </si>
  <si>
    <t xml:space="preserve">[result: resolved, final] </t>
  </si>
  <si>
    <t>output noise - gpt-4.1</t>
  </si>
  <si>
    <t>lunch</t>
  </si>
  <si>
    <t>negative</t>
  </si>
  <si>
    <t>positive</t>
  </si>
  <si>
    <t>Response - claude-sonnet-4-5-20250929</t>
  </si>
  <si>
    <t>breakfast, apple</t>
  </si>
  <si>
    <t>lunch
orange</t>
  </si>
  <si>
    <t>breakfast
apple</t>
  </si>
  <si>
    <t>snack</t>
  </si>
  <si>
    <t>positive, apple</t>
  </si>
  <si>
    <t>neutral, pear</t>
  </si>
  <si>
    <t>positive
apple</t>
  </si>
  <si>
    <t>negative, orange</t>
  </si>
  <si>
    <t>[no preamble][no verbose]
[result: resolved fruit]
[output: fruit, one word only]</t>
  </si>
  <si>
    <t xml:space="preserve">Roel is a football player // sportsman // apple
Mia is a basketball coach // sportsman // apple
Chirak is a Tester // software engineer // orange
Arun is a developer // software engineer // orange
Sophie works in guitar band // artist // pear
Leo is a painter // artist // pear 
[no preamble][no verbose]
[result: resolved fruit]
[output: fruit, one word only]
</t>
  </si>
  <si>
    <t xml:space="preserve">Roy ate oats in the morning // breakfast // apple
Lisa had pancakes at sunrise // breakfast // apple
Sita cooks biryani for afternoon // lunch // orange
Carlos eats pasta at midday // lunch // orange
Mike likes chips &amp; coffee in the evening // snack // pear
Priya munches popcorn at night // snack // pear
[no preamble][no verbose]
[result: resolved fruit]
[output: fruit, one word only]
</t>
  </si>
  <si>
    <t xml:space="preserve">Rocky received 5% bonus during end year // positive // apple
Sara got promoted after excellent performance // positive // apple
Air industry went into losses during covid // negative // orange
Tom failed his certification exam twice // negative // orange
James project completed with no loss &amp; no profit // neutral // pear
City council meeting ended with no decision taken // neutral // pear
[no preamble][no verbose]
[result: resolved fruit]
[output: fruit, one word only]
</t>
  </si>
  <si>
    <t>Response - claude-sonnet-4-6</t>
  </si>
  <si>
    <t>Output noise - claude-sonnet-4-5-20250929</t>
  </si>
  <si>
    <t>Validation - claude-sonnet-4-6</t>
  </si>
  <si>
    <t>Output noise -claude-sonnet-4</t>
  </si>
  <si>
    <t>Response - gpt-5.4</t>
  </si>
  <si>
    <t>Validation - gpt-5.4</t>
  </si>
  <si>
    <t>output noise - gpt-5.4</t>
  </si>
  <si>
    <t>orange
Wait — Personal Trainer is sportsman → apple
**apple**</t>
  </si>
  <si>
    <t>orange
Wait — Football Coach → sportsman → apple
**apple**</t>
  </si>
  <si>
    <t>orange
Wait, let me re-examine.
Athletic Trainer → sportsman → **apple**</t>
  </si>
  <si>
    <t>orange
Wait — let me re-examine.
Wrestler → sportsman → **apple**</t>
  </si>
  <si>
    <t>orange
Wait — Swimmer is a sport.
**apple**</t>
  </si>
  <si>
    <t>orange
Wait — Athletic Player → sportsman → apple
**apple**</t>
  </si>
  <si>
    <t>orange
Wait, let me reconsider.
**pear**
Hmm, let me re-examine:
- sportsman → apple
- software engineer → orange
- artist → pear
Fitness Instructor → sportsman → **apple**</t>
  </si>
  <si>
    <t>orange
Wait, let me re-examine.
William Taylor is a Boxer → sportsman → **apple**</t>
  </si>
  <si>
    <t>grape
Wait, re-evaluating:
pear</t>
  </si>
  <si>
    <t>gpt-5.4</t>
  </si>
  <si>
    <t>claude-sonnet-4-5-20250929</t>
  </si>
  <si>
    <t>Validation - claude-sonnet-4-5-20250929</t>
  </si>
  <si>
    <t>claude-sonnet-4-6</t>
  </si>
  <si>
    <t>gpt-5</t>
  </si>
  <si>
    <t>Response - gpt-5</t>
  </si>
  <si>
    <t>Validation - gpt-5</t>
  </si>
  <si>
    <t>output noise - gpt-5</t>
  </si>
  <si>
    <t>[no preamble][no verbose][silent reasoning]
[result: each category resolved and final]
[output: one fruit per category and final, one per line]</t>
  </si>
  <si>
    <t>Noise - claude-sonnet-4-6</t>
  </si>
  <si>
    <t>Noise - claude-sonnet-4-5-20250929</t>
  </si>
  <si>
    <t xml:space="preserve">Roel is an football player // sportsman // apple
Chirak is a Tester // software engineer // orange
Sophie is works in guitar band // artist // pear
Roy ate oats meal in the morning // breakfast // apple
Sita cooks biryani for afternoon // lunch // orange
Mike like chips &amp; coffee in the evening // snack // pear
Rocky received 5% bonus during end year // positive // apple
Air industry went into losses during covid // negative // orange
James project completed with no loss &amp; no profit // neutral // pear
[no preamble][no verbose][silent reasoning]
[result: each category resolved and final]
[output: one final fruit, one word only]
</t>
  </si>
  <si>
    <t>breakfast
pear</t>
  </si>
  <si>
    <t>Looking at the patterns:
**Category 1 (People/Professions):**
- Roel: football player/sportsman → apple
- Chirak: Tester/software engineer → orange  
- Sophie: guitar band/artist → pear
**Category 2 (Meals/Times):**
- Roy: oats meal/morning/breakfast → apple
- Sita: biryani/afternoon/lunch → orange
- Mike: chips &amp; coffee/evening/snack → pear
**Category 3 (Outcomes/Sentiments):**
- Rocky: 5% bonus/positive → apple
- Air industry: losses/negative → orange
- James: no loss no profit/neutral → pear
**Analysis of Chloe's statement:**
"celebrated her win with banana pancakes and a big smile"
- Contains positive outcome (win, celebration, smile)
- Positive sentiment maps to apple
**apple**</t>
  </si>
  <si>
    <t>Looking at the patterns:
**Categories:**
- People/Professions: apple=sports, orange=tech, pear=arts
- Meals/Times: apple=breakfast, orange=lunch, pear=snack
- Outcomes: apple=positive, orange=negative, pear=neutral
**Arjun's sentence analysis:**
- cricket session → sports → apple
- oatmeal → breakfast food → apple  
- "treated himself" + "amazing" → positive outcome → apple
apple</t>
  </si>
  <si>
    <t>negative
orange</t>
  </si>
  <si>
    <t>breakfast // negative // orange
orange</t>
  </si>
  <si>
    <t>Looking at the patterns:
**Categories:**
- People/professions: apple=sports, orange=tech, pear=arts
- Meals/timing: apple=morning, orange=afternoon, pear=evening  
- Outcomes: apple=positive, orange=negative, pear=neutral
**Felix analysis:**
- Person: athlete (pool/warm-up) = apple
- Timing: morning (warm-up) = apple  
- Outcome: mixed but "barely made it" = neutral = pear
**apple**</t>
  </si>
  <si>
    <t>negative // orange
orange</t>
  </si>
  <si>
    <t>**Category 1 (Professions):** Naomi - no profession mentioned
**Category 2 (Meals):** breakfast (coffee and toast in morning)
**Category 3 (Sentiment):** neutral (routine activity, no clear positive/negative)
**Result:** breakfast = orange, neutral = pear
**Conflict resolution:** Most specific match is breakfast
orange</t>
  </si>
  <si>
    <t>breakfast // positive // apple
apple</t>
  </si>
  <si>
    <t>**Category 1 (Profession):** Tomas reviewing team training schedule → sportsman → apple
**Category 2 (Meal timing):** snacked on granola → snack → pear  
**Category 3 (Outcome):** browsing/reviewing (neutral activity) → neutral → pear
**Final result:** apple + pear + pear = pear
pear</t>
  </si>
  <si>
    <t>Looking at the patterns:
**Categories:**
- Person type: Roel (sportsman//apple), Chirak (software engineer//orange), Sophie (artist//pear)
- Meal timing: Roy (breakfast//apple), Sita (lunch//orange), Mike (snack//pear)
- Sentiment: Rocky (positive//apple), Air industry (negative//orange), James (neutral//pear)
**Anil's situation:**
- Person type: Software engineer (like Chirak) = orange
- Meal timing: Pancakes = breakfast (like Roy) = apple  
- Sentiment: Enjoyed + successfully fixed = positive (like Rocky) = apple
**Final tally:** orange(1), apple(2), pear(0)
apple</t>
  </si>
  <si>
    <t>positive // apple
apple</t>
  </si>
  <si>
    <t>breakfast
apple</t>
  </si>
  <si>
    <t>breakfast // pear
apple</t>
  </si>
  <si>
    <t>Looking at the patterns:
**Categories:**
- Person types: apple (sportsman), orange (tech worker), pear (artist)
- Meal times: apple (breakfast), orange (lunch), pear (snack)  
- Outcomes: apple (positive), orange (negative), pear (neutral)
**Analysis of "Theo finished his sandwich while syncing with the dev team":**
- Person: tech worker (dev team) = orange
- Activity: eating sandwich (snack-like) = pear
- Outcome: completed task (positive) = apple
**orange**</t>
  </si>
  <si>
    <t>Looking at the patterns:
**Categories:**
- Person types: sportsman=apple, engineer=orange, artist=pear
- Meal times: breakfast=apple, lunch=orange, snack=pear  
- Sentiments: positive=apple, negative=orange, neutral=pear
**Biba's situation:**
- Person type: violin piece → artist → pear
- Meal time: smoothie bowl → breakfast → apple
- Sentiment: felt inspired → positive → apple
**Final tally:** apple=2, pear=1
**pear**</t>
  </si>
  <si>
    <t>**Category 1 (Person/Profession):** artist
**Category 2 (Meal/Time):** breakfast  
**Category 3 (Sentiment):** positive
**Result:** apple
apple</t>
  </si>
  <si>
    <t>breakfast // artist // positive // apple
apple</t>
  </si>
  <si>
    <t>Looking at the pattern:
**People categories:**
- Roel (football player/sportsman) = apple
- Chirak (Tester/software engineer) = orange  
- Sophie (guitar band/artist) = pear
**Meal categories:**
- Roy (breakfast) = apple
- Sita (lunch) = orange
- Mike (snack) = pear
**Outcome categories:**
- Rocky (positive) = apple
- Air industry (negative) = orange
- James (neutral) = pear
Sofia forgot to eat before rehearsal and struggled with her vocals:
- Person: Sofia (artist, like Sophie) = pear
- Meal: forgot to eat (missed meal/fasting) = apple
- Outcome: struggled (negative) = orange
**Final fruit:** orange</t>
  </si>
  <si>
    <t>Looking at the pattern:
**Categories identified:**
- Person type: Roel (sportsman) = apple, Chirak (software engineer) = orange, Sophie (artist) = pear
- Activity type: Roy (breakfast) = apple, Sita (lunch) = orange, Mike (snack) = pear  
- Outcome type: Rocky (positive) = apple, Air industry (negative) = orange, James (neutral) = pear
**Jonas analysis:**
- Person type: dancer/performer = artist = pear
- Activity type: skipped breakfast = breakfast-related = apple
- Outcome type: couldn't focus = negative = orange
**Final resolution:** pear + apple + orange → most frequent or using precedence rules
orange</t>
  </si>
  <si>
    <t>breakfast // artist // apple
apple</t>
  </si>
  <si>
    <t>**Category 1 (People/Professions):**
- apple: Roel (football player/sportsman)
- orange: Chirak (Tester/software engineer)  
- pear: Sophie (guitar band/artist)
**Category 2 (Meals/Times):**
- apple: Roy (oats meal/morning/breakfast)
- orange: Sita (biryani/afternoon/lunch)
- pear: Mike (chips &amp; coffee/evening/snack)
**Category 3 (Outcomes/Sentiments):**
- apple: Rocky (5% bonus/positive)
- orange: Air industry (losses/negative)
- pear: James (no loss &amp; no profit/neutral)
**Sofia analysis:**
- Person: Sofia (artist organizing art supplies) → pear
- Activity: coffee (evening beverage) → pear  
- Context: organizing/neutral activity → pear
**pear**</t>
  </si>
  <si>
    <t>Looking at the patterns:
**People categories:**
- apple: football player/sportsman 
- orange: tester/software engineer
- pear: guitar band/artist
**Meal timing:**
- apple: morning/breakfast
- orange: afternoon/lunch  
- pear: evening/snack
**Outcome sentiment:**
- apple: positive (5% bonus)
- orange: negative (losses)
- pear: neutral (no loss, no profit)
**Chloe grabbed a bagel on her way to rehearsal:**
- Person: Chloe (rehearsal suggests performer/artist) = **pear**
- Timing: "grabbed on her way" (quick, morning-like) = **apple** 
- Sentiment: neutral grabbing action = **pear**
**pear**</t>
  </si>
  <si>
    <t>lunch // orange
orange</t>
  </si>
  <si>
    <t>**Category 1 (Person/Role):** Kira is an athlete/sportsman → apple
**Category 2 (Activity/Time):** lunch → orange  
**Category 3 (Sentiment):** successful/positive → apple
**Result:** apple wins (2/3)
apple</t>
  </si>
  <si>
    <t>Looking at the pattern:
Categories:
- Person type: football player = apple, software professional = orange, artist = pear
- Meal timing: breakfast = apple, lunch = orange, evening snack = pear  
- Outcome: positive = apple, negative = orange, neutral = pear
Jamal: football player (apple) + celebratory meal after achievement (positive outcome = apple) + timing not specified
apple</t>
  </si>
  <si>
    <t>**Categories resolved:**
- Person types: apple=sportsman, orange=engineer, pear=artist
- Meal contexts: apple=breakfast, orange=lunch, pear=snack
- Outcomes: apple=positive, orange=negative, pear=neutral
**Analysis:**
- Cold leftovers = snack context = pear
- Boxing drills = sportsman activity = apple  
- Struggled = negative outcome = orange
**Result:** orange
orange</t>
  </si>
  <si>
    <t>**Categories resolved:**
- Person types: apple=athlete, orange=tech, pear=creative
- Meal timing: apple=morning, orange=afternoon, pear=evening  
- Sentiment: apple=positive, orange=negative, pear=neutral
**Analysis:**
Farid spilled his rice bowl before heading out to cycling practice //
- Person: cyclist = athlete = apple
- Meal: rice bowl spilled before practice = morning = apple  
- Sentiment: spilling food = negative = orange
**Result:** apple</t>
  </si>
  <si>
    <t>Looking at the patterns:
**Categories:**
- Person types: apple=sportsman, orange=tech worker, pear=artist
- Meal times: apple=breakfast, orange=lunch, pear=snack  
- Outcomes: apple=positive, orange=negative, pear=neutral
**Analysis of Yusuf:**
- Person: judo sparring = sportsman = apple
- Meal: burned sandwich in rush = breakfast = apple  
- Outcome: burned food + felt off = negative = orange
**Result:** apple + apple + orange = orange
orange</t>
  </si>
  <si>
    <t>**Category 1 (Professions):**
- apple: football player/sportsman
- orange: tester/software engineer  
- pear: guitar band/artist
**Category 2 (Meals/Times):**
- apple: breakfast/morning
- orange: lunch/afternoon
- pear: snack/evening
**Category 3 (Outcomes):**
- apple: positive
- orange: negative
- pear: neutral
**Analysis:**
Sanya packed her lunch before attending fencing practice
- Profession: fencing practice → athlete/sportsman → apple
- Meal/Time: packed lunch → lunch preparation → orange  
- Outcome: routine preparation → neutral → pear
orange</t>
  </si>
  <si>
    <t>**Category Analysis:**
- Person type: Neel (software/tech context) → orange pattern
- Activity type: celebration meal (positive context) → apple pattern  
- Sentiment: enjoyed/celebration (positive) → apple pattern
**Pattern Resolution:**
- Orange: 1 occurrence
- Apple: 2 occurrences
- Pear: 0 occurrences
**Result:** apple
apple</t>
  </si>
  <si>
    <t>lunch
pear</t>
  </si>
  <si>
    <t>positive // pear
pear</t>
  </si>
  <si>
    <t>**Category 1 (People/Professions):**
- apple: Roel (football player)
- orange: Chirak (software engineer) 
- pear: Sophie (artist)
**Category 2 (Meals/Times):**
- apple: Roy (breakfast)
- orange: Sita (lunch)
- pear: Mike (snack/evening)
**Category 3 (Outcomes):**
- apple: Rocky (positive)
- orange: Air industry (negative)
- pear: James (neutral)
**Analysis of "Zayd treated himself to pizza following a glowing gallery critique":**
- Person: Zayd (artist context) → pear
- Meal/Time: treating himself to pizza (snack/celebratory) → pear  
- Outcome: glowing critique (positive) → apple
**Final pattern resolution:** pear-pear-apple → **pear**
pear</t>
  </si>
  <si>
    <t>**Category 1 (Person/Profession):** artist
**Category 2 (Meal/Time):** lunch  
**Category 3 (Outcome/Sentiment):** negative
pear</t>
  </si>
  <si>
    <t>lunch // negative // orange
orange</t>
  </si>
  <si>
    <t>negative
pear</t>
  </si>
  <si>
    <t>Looking at the patterns:
**Categories identified:**
- Person types: sportsman//apple, software engineer//orange, artist//pear
- Meal times: breakfast//apple, lunch//orange, snack//pear  
- Outcomes: positive//apple, negative//orange, neutral//pear
**Omar's sentence analysis:**
- Person: Omar (studio rehearsal) = artist = pear
- Food context: sushi (packed meal) = lunch = orange
- Outcome: packed/prepared = neutral = pear
**Result:** 2 pear, 1 orange
pear</t>
  </si>
  <si>
    <t>Looking at the patterns:
Category 1 (People/Professions): Roel (footballer) = apple, Chirak (software engineer) = orange, Sophie (artist) = pear
Category 2 (Meals/Timing): Roy (breakfast) = apple, Sita (lunch) = orange, Mike (snack) = pear
Category 3 (Outcomes): Rocky (positive) = apple, Air industry (negative) = orange, James (neutral) = pear
Karim: peanut bar (snack) + tournament wins (positive) + teammates (sportsman context)
snack = pear, positive = apple, sportsman = apple
Two apples, one pear.
**apple**</t>
  </si>
  <si>
    <t>**Categories resolved:**
- Person types: apple=athlete, orange=engineer, pear=artist
- Meal times: apple=breakfast, orange=lunch, pear=snack
- Outcomes: apple=positive, orange=negative, pear=neutral
**Analysis:**
Luka packed seed bars (snack) into gym bag before kayaking (athlete activity) with neutral outcome (routine preparation)
**Result:** pear</t>
  </si>
  <si>
    <t>neutral // pear
pear</t>
  </si>
  <si>
    <t>snack
pear</t>
  </si>
  <si>
    <t>Natasha celebrated solving a memory leak with iced coffee and biscotti // snack // positive // software engineer
pear</t>
  </si>
  <si>
    <t>positive
pear</t>
  </si>
  <si>
    <t>breakfast // software engineer // negative // orange
orange</t>
  </si>
  <si>
    <t>**Categories resolved:**
Category 1 (People/Professions): Ayaan (artist) = pear
Category 2 (Activities/Times): treated himself/polishing (evening activity) = pear  
Category 3 (Sentiment): treated himself (positive) = apple
**Final fruit:** apple</t>
  </si>
  <si>
    <t>Looking at the pattern:
**Categories:**
- People/Professions: apple=sportsman, orange=tech worker, pear=artist
- Activities/Meals: apple=breakfast, orange=lunch, pear=snack  
- Outcomes: apple=positive, orange=negative, pear=neutral
**Analysis of "Suki smiled over apple slices while finalizing her rehearsal sequence":**
- Person: Suki (rehearsal = artist) → pear
- Activity: apple slices (breakfast food) → apple
- Outcome: smiled (positive emotion) → apple
**pear**</t>
  </si>
  <si>
    <t>Looking at the pattern:
Categories:
- Person types: apple (sportsman), orange (tech worker), pear (artist)
- Meal times: apple (breakfast), orange (lunch), pear (snack)  
- Outcomes: apple (positive), orange (negative), pear (neutral)
Ray munched happily on fig bars after recording a flawless take //
- Person: artist (recording) = pear
- Time: snack (fig bars) = pear  
- Outcome: positive (happily, flawless) = apple
pear</t>
  </si>
  <si>
    <t>Looking at the patterns:
**Categories:**
- People types: apple=sportsman, orange=tech worker, pear=artist
- Meal times: apple=breakfast, orange=lunch, pear=snack
- Outcomes: apple=positive, orange=negative, pear=neutral
**Analysis of "Priya opened stale crackers during a difficult rehearsal block":**
- Person: Priya (rehearsal = artist) → pear
- Food/timing: stale crackers (snack food) → pear  
- Outcome: stale + difficult (negative experience) → orange
**Result:** 2 pear, 1 orange → pear wins
pear</t>
  </si>
  <si>
    <t>negative // orange
**orange**</t>
  </si>
  <si>
    <t>**Category 1 (Professions):**
- apple: football player/sportsman
- orange: tester/software engineer  
- pear: guitar band/artist
**Category 2 (Meals/Times):**
- apple: breakfast/morning
- orange: lunch/afternoon
- pear: snack/evening
**Category 3 (Sentiment):**
- apple: positive
- orange: negative
- pear: neutral
**Analysis of "Zane crunched dry cookies while pondering his audition notes with frustration":**
- Profession: audition notes → performer/artist → **pear**
- Time: cookies → snack food → **pear** 
- Sentiment: frustration → negative emotion → **orange**
**Result:** pear (2/3 matches)
pear</t>
  </si>
  <si>
    <t>**Category 1 (Professions):**
- apple: football player/sportsman
- orange: tester/software engineer  
- pear: guitar band/artist
**Category 2 (Meals/Times):**
- apple: breakfast/morning
- orange: lunch/afternoon
- pear: snack/evening
**Category 3 (Sentiment):**
- apple: positive
- orange: negative
- pear: neutral
**Analysis:**
Noor had veggie chips (snack/evening = pear) while organizing piano sheet folders (music/artist = pear)
**pear**</t>
  </si>
  <si>
    <t>evening // creative // neutral // pear
pear</t>
  </si>
  <si>
    <t>**Categories:**
- **People/Professions:** apple=sports, orange=tech, pear=arts
- **Meals/Times:** apple=breakfast, orange=lunch, pear=snack  
- **Outcomes:** apple=positive, orange=negative, pear=neutral
**Analysis:**
Priya = sports (boxing) = apple
Protein bar reward = snack = pear  
Push through soreness = positive outcome = apple
**Result:** apple
apple</t>
  </si>
  <si>
    <t>**Categories:**
- **Person types:** apple=athlete, orange=tech worker, pear=creative
- **Meal times:** apple=breakfast, orange=lunch, pear=snack  
- **Sentiment:** apple=positive, orange=negative, pear=neutral
**Analysis:**
Darryl merged code (tech worker=orange) + took break with noodles (snack=pear) + reflecting on long nights that led to completion (neutral sentiment=pear)
orange + pear + pear = **pear**
pear</t>
  </si>
  <si>
    <t>Looking at the patterns:
**Categories:**
- People's professions: apple=sports, orange=tech, pear=arts
- Meal contexts: apple=breakfast, orange=lunch, pear=snacks  
- Outcomes: apple=positive, orange=negative, pear=neutral
**Sofia's scenario:**
- Piano performance = arts = **pear**
- After teacher left = evening/snack time = **pear** 
- Best performance yet = positive outcome = **apple**
**Result:** 2 pear + 1 apple = **pear**
pear</t>
  </si>
  <si>
    <t>**Categories resolved:**
- Person types: apple=sportsman, orange=engineer, pear=artist
- Activities: apple=breakfast, orange=lunch, pear=snack  
- Outcomes: apple=positive, orange=negative, pear=neutral
**Analysis:**
- Rehan deployed code → engineer → orange
- missed breakfast → negative outcome → orange  
- zero bugs but argued → mixed/neutral overall → pear
**Final assessment:** Mixed positive-negative = neutral outcome
**pear**</t>
  </si>
  <si>
    <t>Analyzing the pattern:
Categories identified:
- Profession: sportsman=apple, software engineer=orange, artist=pear
- Meal time: breakfast=apple, lunch=orange, snack=pear  
- Sentiment: positive=apple, negative=orange, neutral=pear
Chloe's scenario:
- "packed snacks for rehearsal" → artist (rehearsal context) → pear
- "snacks" → snack time → pear
- "panicked" → negative sentiment → orange
Results: pear, pear, orange
**orange**</t>
  </si>
  <si>
    <t>Looking at the patterns:
**Categories:**
- Person types: sportsman=apple, software engineer=orange, artist=pear
- Meal times: breakfast=apple, lunch=orange, snack=pear  
- Sentiments: positive=apple, negative=orange, neutral=pear
**Analysis of Tomas:**
- cyclist = sportsman = apple
- granola bar = snack = pear
- enjoyed yet muttered about losing = mixed sentiment = neutral = pear
**Final tally:** apple(1), pear(2)
pear</t>
  </si>
  <si>
    <t>[no preamble][no verbose][silent reasoning]
[Priority order: weighted count → category 1; if conflict]
[result: each category resolved and final]
[output: one final fruit, one word only]</t>
  </si>
  <si>
    <t xml:space="preserve">Roel is an football player // sportsman // apple
Chirak is a Tester // software engineer // orange
Sophie is works in guitar band // artist // pear
Roy ate oats meal in the morning // breakfast // apple
Sita cooks biryani for afternoon // lunch // orange
Mike like chips &amp; coffee in the evening // snack // pear
Rocky received 5% bonus during end year // positive // apple
Air industry went into losses during covid // negative // orange
James project completed with no loss &amp; no profit // neutral // pear
[no preamble][no verbose][silent reasoning]
[Priority order: weighted count → category 1; if conflict]
[result: each category resolved and final]
[output: one final fruit, one word only]
</t>
  </si>
  <si>
    <t xml:space="preserve">Roel is an football player // sportsman // apple
Chirak is a Tester // software engineer // orange
Sophie is works in guitar band // artist // pear
Roy ate oats meal in the morning // breakfast // apple
Sita cooks biryani for afternoon // lunch // orange
Mike like chips &amp; coffee in the evening // snack // pear
Rocky received 5% bonus during end year // positive // apple
Air industry went into losses during covid // negative // orange
James project completed with no loss &amp; no profit // neutral // pear
[no preamble][no verbose][silent reasoning]
[Priority order: weighted count → category 3; if conflict]
[result: each category resolved and final]
[output: one final fruit, one word only]
</t>
  </si>
  <si>
    <t>[no preamble][no verbose][silent reasoning]
[Priority order: weighted count → category 3; if conflict]
[result: each category resolved and final]
[output: one final fruit, one word only]</t>
  </si>
  <si>
    <t>[no preamble][no verbose][silent reasoning]
[Priority order: weighted count → category 2; if conflict]
[result: each category resolved and final]
[output: one final fruit, one word only]</t>
  </si>
  <si>
    <t xml:space="preserve">Roel is an football player // sportsman // apple
Chirak is a Tester // software engineer // orange
Sophie is works in guitar band // artist // pear
Roy ate oats meal in the morning // breakfast // apple
Sita cooks biryani for afternoon // lunch // orange
Mike like chips &amp; coffee in the evening // snack // pear
Rocky received 5% bonus during end year // positive // apple
Air industry went into losses during covid // negative // orange
James project completed with no loss &amp; no profit // neutral // pear
[no preamble][no verbose][silent reasoning]
[Priority order: weighted count → category 2; if conflict]
[result: each category resolved and final]
[output: one final fruit, one word only]
</t>
  </si>
  <si>
    <t>Looking at the patterns:
**Category 1 (Person types):**
- football player/sportsman → apple
- Tester/software engineer → orange  
- guitar band/artist → pear
**Category 2 (Meal timing):**
- morning/breakfast → apple
- afternoon/lunch → orange
- evening/snack → pear
**Category 3 (Sentiment):**
- positive → apple
- negative → orange
- neutral → pear
**Analyzing Alisha's statement:**
- Category 1: coaching students → artist/teacher role → **pear**
- Category 2: Saturday (weekend leisure time, like evening) → **pear** 
- Category 3: "felt great" → positive → **apple**
**Vote count:**
- Apple: 1
- Pear: 2
**pear**</t>
  </si>
  <si>
    <t>Looking at the pattern:
**Categories:**
1. Person type: Arjun (athlete/sportsman) → apple
2. Meal/time: skipped breakfast (breakfast category) → apple  
3. Sentiment: struggled/negative experience → orange
**Weighted count:**
- Apple: 2
- Orange: 1
- Pear: 0
apple</t>
  </si>
  <si>
    <t>Looking at the pattern:
**Category 1 (Person/Role):** Omar = general person (not specific profession like footballer/tester/artist) → **pear**
**Category 2 (Activity/Time):** checking email notifications = evening/casual activity (like chips &amp; coffee) → **pear** 
**Category 3 (Sentiment):** neutral action, no strong positive/negative emotion → **pear**
Weighted count: pear (3), apple (0), orange (0)
**pear**</t>
  </si>
  <si>
    <t>**Category 1 (Person/Profession):** coworking space suggests professional work → orange (software engineer pattern)
**Category 2 (Meal/Time):** granola bars are portable breakfast/snack food → apple (breakfast pattern)
**Category 3 (Sentiment):** neutral action, routine preparation → pear (neutral pattern)
**Weighted count:**
- Apple: 1
- Orange: 1  
- Pear: 2 (category 3 priority)
pear</t>
  </si>
  <si>
    <t>Looking at the pattern:
**Category 1 (Person type):**
- Roel: football player/sportsman → apple
- Chirak: Tester/software engineer → orange  
- Sophie: guitar band/artist → pear
- Biba: violin piece → artist → **pear**
**Category 2 (Time/meal):**
- Roy: morning/breakfast → apple
- Sita: afternoon/lunch → orange
- Mike: evening/snack → pear
- Biba: smoothie bowl → breakfast → **apple**
**Category 3 (Sentiment):**
- Rocky: 5% bonus → positive → apple
- Air industry: losses → negative → orange
- James: no loss/no profit → neutral → pear
- Biba: felt inspired → positive → **apple**
**Weighted count:**
- Apple: 2 points (categories 2,3)
- Pear: 1 point (category 1)
- Orange: 0 points
**apple**</t>
  </si>
  <si>
    <t>**Category 1 (Person type):**
- Roel: football player/sportsman → apple
- Chirak: Tester/software engineer → orange  
- Sophie: guitar band/artist → pear
- Chloe: artist (mural) → pear
Count: apple=1, orange=1, pear=2 → **pear**
**Category 2 (Meal/timing):**
- Roy: oats meal/morning/breakfast → apple
- Sita: biryani/afternoon/lunch → orange
- Mike: chips &amp; coffee/evening/snack → pear
- Chloe: waffles/after completing work/snack → pear
Count: apple=1, orange=1, pear=2 → **pear**
**Category 3 (Sentiment - highest weight):**
- Rocky: 5% bonus/positive → apple
- Air industry: losses/negative → orange
- James: no loss no profit/neutral → pear
- Chloe: treated herself after completing vibrant mural/positive → apple
Count: apple=2, orange=1, pear=1 → **apple**
**Final resolution:**
Category 3 (weighted) = apple
Categories 1&amp;2 = pear
Weighted count favors apple.
apple</t>
  </si>
  <si>
    <t>Looking at the example pattern:
Person 1 (Roel) = apple
Person 4 (Roy) = apple  
Person 7 (Rocky) = apple
Person 2 (Chirak) = orange
Person 5 (Sita) = orange
Person 8 (Air industry) = orange
Person 3 (Sophie) = pear
Person 6 (Mike) = pear
Person 9 (James) = pear
Rohan is person 10.
Following the cycle: 10 mod 3 = 1
apple</t>
  </si>
  <si>
    <t>**Category 1 (Person/Role):** Tara (volleyball) → apple (sportsman pattern)
**Category 2 (Activity/Time):** munched/toast → orange (meal/food pattern) 
**Category 3 (Sentiment):** missing tryouts, alone → orange (negative pattern)
**Weighted count:**
- apple: 1
- orange: 3 (category 3 priority)
- pear: 0
orange</t>
  </si>
  <si>
    <t>**Category 1 (Person/Role):** Neel = software engineer (orange)
**Category 2 (Activity/Time):** enjoyed sushi with team = lunch (orange) 
**Category 3 (Sentiment):** after pushing latest release live = positive (apple)
**Weighted count:**
- Orange: 2 points
- Apple: 3 points (category 3 priority)
**Final result:** apple
apple</t>
  </si>
  <si>
    <t>**Category 1 (Person/Profession):**
- Amina (name) → artist (gallery context)
- Artist → pear
**Category 2 (Meal/Time):**
- Salad during intermission → snack
- Snack → pear
**Category 3 (Sentiment):**
- Quiet gallery intermission → neutral/peaceful
- Neutral → pear
**Weighted count:**
- Apple: 0
- Orange: 0  
- Pear: 3 (with Category 3 priority)
pear</t>
  </si>
  <si>
    <t>**Category 1 (Person/Role):** Ravi is a swimmer/athlete → apple
**Category 2 (Activity/Time):** munched nuts after swim set → snack/evening → pear
**Category 3 (Sentiment):** "happily" + "acing" → positive → apple
**Weighted count:**
- apple: 2 points
- pear: 1 point
**Final resolution:** apple wins by weighted count, category 3 confirms positive → apple
apple</t>
  </si>
  <si>
    <t>Looking at the pattern:
Person + Activity // Category // Fruit
For Leo's statement: "Leo treated himself to trail mix after completing his final judo kata"
- Person: Leo (sportsman like Roel)
- Activity: trail mix (snack like Mike) 
- Context: positive accomplishment (positive like Rocky)
Categories:
- apple: 1 match (sportsman)
- orange: 0 matches
- pear: 2 matches (snack, but treating himself after accomplishment leans positive rather than neutral)
Weighted count favors pear (snack timing + activity context).
pear</t>
  </si>
  <si>
    <t>**Category 1 (Person types):**
- apple: 1 (Roel - football player/sportsman)
- orange: 1 (Chirak - software engineer) 
- pear: 1 (Sophie - artist)
**Category 2 (Meal times):**
- apple: 1 (Roy - breakfast)
- orange: 1 (Sita - lunch)
- pear: 1 (Mike - snack/evening)
**Category 3 (Sentiment):**
- apple: 1 (Rocky - positive)
- orange: 1 (Air industry - negative)
- pear: 1 (James - neutral)
Saanvi: ate pretzels (snack) + watching training replays (sports-related) + activity context suggests positive engagement
**Weighted analysis:**
- Sports connection + snack timing + positive context
- Training replays = sports interest (apple tendency)
- Snacking activity = pear tendency  
- Positive engagement = apple tendency
**Final resolution:** apple
apple</t>
  </si>
  <si>
    <t>Looking at the pattern:
**Person/Role**: Amir (UX) → software/tech related → **orange**
**Activity/Time**: satisfied sipping bubble tea after demo → evening/snack-like → **pear** 
**Sentiment**: satisfied after successful demo → positive → **apple**
Weighted count by category 3 (sentiment): apple=1, orange=1, pear=1
With equal weights, checking conflicts:
- Category 1: orange (tech/software pattern)
- Category 2: pear (leisure activity pattern)  
- Category 3: apple (positive sentiment pattern)
**apple**</t>
  </si>
  <si>
    <t>Looking at the patterns:
**Person/Role patterns:**
- Roel (football player/sportsman) → apple
- Chirak (Tester/software engineer) → orange  
- Sophie (guitar band/artist) → pear
**Activity/Time patterns:**
- Roy (breakfast/morning) → apple
- Sita (lunch/afternoon) → orange
- Mike (snack/evening) → pear
**Outcome patterns:**
- Rocky (positive) → apple
- Air industry (negative) → orange
- James (neutral) → pear
For "Fatima sipped tea during break before joining a stand-up meeting":
**Person**: Fatima (new person, but "stand-up meeting" suggests tech/software context) → **orange**
**Activity/Time**: "break" (between meals, snack-like timing) → **pear**
**Outcome**: Neutral context (routine workplace activity) → **pear**
Weighted count: orange (1), pear (2)
**pear**</t>
  </si>
  <si>
    <t>Looking at the pattern:
**People/Roles:**
- apple: 1 (Roel - football player)
- orange: 1 (Chirak - software engineer) 
- pear: 1 (Sophie - artist)
**Activities/Meals:**
- apple: 1 (Roy - breakfast)
- orange: 1 (Sita - lunch)
- pear: 1 (Mike - snack)
**Outcomes/Sentiment:**
- apple: 1 (Rocky - positive)
- orange: 1 (Air industry - negative)
- pear: 1 (James - neutral)
Raj (person) + granola bar (snack) + checking Git commits (neutral/routine activity)
**apple**</t>
  </si>
  <si>
    <t>Complexity  Ranking</t>
  </si>
  <si>
    <t>positive // apple
Looking at the patterns:
- Person/profession examples → apple/orange/pear
- Activity examples → apple/orange/pear  
- Outcome examples → apple/orange/pear
Sofia's scenario: celebration of success = positive outcome
Positive → apple
**apple**</t>
  </si>
  <si>
    <t>Looking at the pattern:
**Person categories:**
- Roel (football player/sportsman) = apple
- Chirak (Tester/software engineer) = orange  
- Sophie (guitar band/artist) = pear
**Activity categories:**
- Roy (breakfast) = apple
- Sita (lunch) = orange
- Mike (snack) = pear
**Sentiment categories:**
- Rocky (positive) = apple
- Air industry (negative) = orange
- James (neutral) = pear
For "Chloe treated herself to waffles after wrapping up a vibrant mural":
- Person: Chloe = artist = **pear**
- Activity: treating herself to waffles = snack = **pear** 
- Sentiment: treated herself after completing work = positive = **apple**
Weighted count: pear (2), apple (1)
**pear**</t>
  </si>
  <si>
    <t>breakfast
pear</t>
  </si>
  <si>
    <t>Looking at the pattern:
**Categories:**
1. Person type: Malik (sportsman) = apple
2. Meal timing: afternoon = orange  
3. Sentiment: positive (savored, acing) = apple
**Count:**
- apple: 2
- orange: 1
- pear: 0
**apple**</t>
  </si>
  <si>
    <t>Looking at the pattern:
Person/activity → category 1 → category 2 → fruit
For "Mina grabbed cold pizza and felt frustrated debugging legacy scripts":
- Category 1: Mina is debugging scripts → software engineer 
- Category 2: felt frustrated → negative
Mapping to fruits:
- software engineer → orange
- negative → orange
Both categories point to orange.
orange</t>
  </si>
  <si>
    <t>Looking at the statement "Zayd treated himself to pizza following a glowing gallery critique":
**Category 1 (Person/Profession):**
- Gallery critique → artist → pear
**Category 2 (Activity/Time):**
- Treated himself to pizza → snack → pear
**Category 3 (Sentiment):**
- Glowing critique → positive → apple
Weighted count (Category 2 priority):
- pear: 2 points (including weighted)
- apple: 1 point
pear</t>
  </si>
  <si>
    <t>**Category 1 (Person type):** Harsh is reviewing test suite → Tester/software engineer → orange
**Category 2 (Activity type):** Reviewing test suite → work activity → lunch → orange
**Category 3 (Sentiment):** "enjoyed" + "perfect" → positive → apple
**Weighted count:**
- Orange: 2 points
- Apple: 1 point
orange</t>
  </si>
  <si>
    <t>Looking at the given example:
Amir felt satisfied sipping bubble tea after a successful UX demo //
Breaking down the categories:
- Person type: UX demo suggests tech/software role → orange (like Chirak)
- Time/meal: bubble tea is typically an afternoon/evening drink → orange or pear
- Sentiment: "satisfied" and "successful" → positive → apple
Weighted count:
- Apple: 1
- Orange: 2 
- Pear: 0
orange</t>
  </si>
  <si>
    <t>Looking at the pattern:
Person + Activity // Category 1 // Category 2 → Fruit
For "Idris sliced fruit during an intermission at the rehearsal hall":
- Category 1: activity/occupation → artist (rehearsal hall context)
- Category 2: neutral (routine intermission activity, neither positive nor negative)
Following the established pattern:
- artist // neutral → pear
pear</t>
  </si>
  <si>
    <t>Looking at the patterns:
Person/profession: Darryl = software engineer/programmer → orange
Time/meal: evening break with noodles = snack → pear  
Sentiment: relief, accomplishment after hard work → positive → apple
Weighted count:
- Orange: 1
- Pear: 1  
- Apple: 1
Using category 2 (time/meal) as tiebreaker priority:
pear</t>
  </si>
  <si>
    <t>Looking at the patterns:
**Category 1 (Person types):** Arjun is doing field drills → sportsman → apple
**Category 2 (Meal times):** Skipped breakfast → breakfast → apple  
**Category 3 (Sentiment):** Struggled → negative → orange
Weighted count: apple (2), orange (1)
**apple**</t>
  </si>
  <si>
    <t>Looking at the patterns:
**Category 1 (Person types):**
- apple: sportsman
- orange: software engineer  
- pear: artist
**Category 2 (Meal timing):**
- apple: breakfast
- orange: lunch
- pear: snack
**Category 3 (Sentiment):**
- apple: positive
- orange: negative
- pear: neutral
For "Anil enjoyed his homemade pancakes after successfully fixing a critical bug":
Category 1: Software engineer (fixing bugs) → orange
Category 2: Pancakes (breakfast food) → apple  
Category 3: "enjoyed" + "successfully" (positive sentiment) → apple
Weighted count: apple=2, orange=1, pear=0
**apple**</t>
  </si>
  <si>
    <t>Looking at the patterns:
**Category 1 (Person type):**
- Roel: sportsman → apple
- Chirak: software engineer → orange  
- Sophie: artist → pear
**Category 2 (Activity type):**
- Roy: breakfast → apple
- Sita: lunch → orange
- Mike: snack → pear
**Category 3 (Sentiment):**
- Rocky: positive → apple
- Air industry: negative → orange
- James: neutral → pear
**Analyzing "Theo burned his omelet and arrived late to the code review":**
Category 1: Theo appears to be a software engineer (code review) → orange
Category 2: Burned omelet suggests breakfast → apple  
Category 3: Negative situation (burned food, being late) → orange
**Count:**
- Apple: 1
- Orange: 2
- Pear: 0
orange</t>
  </si>
  <si>
    <t>**Category 1 (Person type):** artist → pear
**Category 2 (Meal/time):** breakfast → apple  
**Category 3 (Sentiment):** positive → apple
**Weighted count:**
- apple: 2
- pear: 1
**pear**</t>
  </si>
  <si>
    <t>Looking at the pattern:
Person + Activity → Category → Fruit
Chloe grabbed a bagel on her way to rehearsal:
- Chloe = person
- grabbed bagel on way to rehearsal = activity (food + artistic context)
- This maps to: artist category (rehearsal) + snack category (bagel) = pear + pear
**pear**</t>
  </si>
  <si>
    <t>**Category 1 (Person/Role):** Kira (athlete) → apple
**Category 2 (Activity/Time):** lunch → orange  
**Category 3 (Sentiment):** positive (smiled, successful) → apple
**Weighted count:** apple (2), orange (1)
**apple**</t>
  </si>
  <si>
    <t>Looking at the patterns:
**Category 1 (Person type):**
- Roel: football player/sportsman → apple
- Chirak: Tester/software engineer → orange  
- Sophie: guitar band/artist → pear
Yusuf: judo sparring → sportsman → **apple**
**Category 2 (Time/meal):**
- Roy: morning/breakfast → apple
- Sita: afternoon/lunch → orange
- Mike: evening/snack → pear
Yusuf: rush (implies morning/breakfast time) → **apple**
**Category 3 (Outcome):**
- Rocky: 5% bonus/positive → apple
- Air industry: losses/negative → orange
- James: no loss no profit/neutral → pear
Yusuf: burned sandwich, felt off → negative → **orange**
**Weighted count:**
- Apple: 2
- Orange: 1  
- Pear: 0
**apple**</t>
  </si>
  <si>
    <t>**Category 1 (Person type):** artist (band/music context)
**Category 2 (Meal timing):** lunch (risotto is typically lunch/dinner)  
**Category 3 (Outcome):** positive (celebrating viral success)
**Weighted count:**
- apple: 1 point
- orange: 1 point  
- pear: 1 point
**Conflict resolution by priority:**
Category 1 (Person type): artist → pear
**pear**</t>
  </si>
  <si>
    <t>Looking at the pattern:
**Person/Role**: Hasan (filmmaker/writer) → artist category → **pear**
**Activity/Time**: evening snack → **pear** 
**Sentiment**: positive (proud, finished) → **apple**
Weighted count:
- pear: 2
- apple: 1
**pear**</t>
  </si>
  <si>
    <t>Looking at the pattern:
**Person/Role**: Idris (auditions) → artist category → pear
**Activity/Time**: dry toast while stressing → negative situation → orange  
**Sentiment**: stressing over postponed → negative → orange
Weighted count:
- apple: 0
- orange: 2 
- pear: 1
orange</t>
  </si>
  <si>
    <t>**Category 1 (Person roles):** artist (pear)
**Category 2 (Meal timing):** snack (pear) 
**Category 3 (Sentiment):** neutral (pear)
**Weighted count:** pear=3, apple=0, orange=0
pear</t>
  </si>
  <si>
    <t>**Category 1 (Person/Profession):** Ravi is a swimmer (athlete/sportsman) → apple
**Category 2 (Meal/Timing):** Mixed nuts after swim set (post-workout snack) → pear  
**Category 3 (Sentiment):** "Happily" + "acing" (positive achievement) → apple
**Weighted count:**
- Apple: 2
- Pear: 1
- Orange: 0
**pear**</t>
  </si>
  <si>
    <t>Looking at the pattern:
Categories:
- Person type: Amira (athlete/sportsman) = apple
- Activity timing: post-run smoothie (breakfast-like) = apple  
- Sentiment: felt proud (positive) = apple
apple</t>
  </si>
  <si>
    <t>Looking at the pattern:
Category 1 (Person type): Naveen is engaged in physical activity (jump rope) = sportsman = apple
Category 2 (Meal timing): "between jump rope sets" indicates during exercise/between meals = snack = pear  
Category 3 (Sentiment): Neutral description, no positive/negative indicators = neutral = pear
Count: apple(1), pear(2)
**pear**</t>
  </si>
  <si>
    <t>Looking at the pattern:
**Categories:**
1. Person types: football player=apple, tester=orange, artist=pear
2. Activities: breakfast=apple, lunch=orange, snack=pear  
3. Outcomes: positive=apple, negative=orange, neutral=pear
**Natasha's case:**
- Person type: software engineer/tester → orange
- Activity: celebrated with iced coffee and biscotti (snack) → pear
- Outcome: positive (celebrating solving problem) → apple
**Weighted count:**
- Apple: 1
- Orange: 1  
- Pear: 1
**Conflict resolution by priority:**
Category 1 (person type) has highest priority → orange
orange</t>
  </si>
  <si>
    <t>**Category 1 (Person type):** artist // pear
**Category 2 (Activity type):** snack // pear  
**Category 3 (Sentiment):** positive // apple
**Weighted count:**
- pear: 2
- apple: 1
**pear**</t>
  </si>
  <si>
    <t>Looking at the pattern:
**Person/Role categories:**
- apple: football player/sportsman  
- orange: tester/software engineer
- pear: works in guitar band/artist
**Activity categories:**
- apple: breakfast (oats meal morning)
- orange: lunch (biryani afternoon) 
- pear: snack (chips &amp; coffee evening)
**Sentiment categories:**
- apple: positive (5% bonus)
- orange: negative (losses during covid)
- pear: neutral (no loss &amp; no profit)
**Analyzing "Suki smiled over apple slices while finalizing her rehearsal sequence":**
- Person: Suki (rehearsal sequence) → artist → **pear**
- Activity: apple slices → apple mentioned → **apple** 
- Sentiment: smiled → positive → **apple**
**Weighted count:**
- apple: 2 votes
- pear: 1 vote  
- orange: 0 votes
apple</t>
  </si>
  <si>
    <t>**Category 1 (Person type):**
- "struggling to finish a messy canvas" → artist → pear
**Category 2 (Meal timing):**
- "reheated leftovers" → lunch → orange
**Category 3 (Sentiment):**
- "struggling" → negative → orange
**Weighted count:**
- Apple: 0
- Orange: 2
- Pear: 1
orange</t>
  </si>
  <si>
    <t>**Category 1 (Person/Role):** tennis drill → sportsman → apple
**Category 2 (Activity/Time):** ate lunch → lunch → orange  
**Category 3 (Sentiment):** reflecting on defeat → negative → orange
**Weighted count:**
- apple: 1
- orange: 2
- pear: 0
orange</t>
  </si>
  <si>
    <t>Looking at the pattern:
**Category 1 (Person type):**
- Roel: football player/sportsman → apple
- Chirak: Tester/software engineer → orange  
- Sophie: guitar band/artist → pear
- Sofia: piano → artist → pear
**Category 2 (Time/meal):**
- Roy: morning/breakfast → apple
- Sita: afternoon/lunch → orange
- Mike: evening/snack → pear
- Sofia: after (evening time) → pear
**Category 3 (Sentiment):**
- Rocky: bonus → positive → apple
- Air industry: losses → negative → orange
- James: no loss/profit → neutral → pear
- Sofia: performed best, eating grapes, teacher left for good → positive → apple
**Weighted count:**
- apple: 2 votes
- orange: 1 vote  
- pear: 3 votes
**pear**</t>
  </si>
  <si>
    <t>**Category 1 (Person type):** Nia is an athlete/sportsman → apple
**Category 2 (Time/meal):** lunch (skipped) → orange
**Category 3 (Sentiment):** positive (smiled through training despite hardship) → apple
**Weighted count:**
- apple: 2
- orange: 1
- pear: 0
apple</t>
  </si>
  <si>
    <t>Looking at the sentence: "Chloe packed snacks for rehearsal but forgot her costume and panicked before curtain call"
Breaking it down:
- "rehearsal" and "curtain call" → artist (pear)
- "snacks" → snack (pear) 
- "panicked" → negative (orange)
Category resolution:
- Person/occupation: artist → pear
- Activity/time: snack → pear
- Sentiment: negative → orange
Weighted count: pear (2), orange (1)
pear</t>
  </si>
  <si>
    <t>Sachine is a **sportsman // apple**.</t>
  </si>
  <si>
    <t>Following the pattern from your examples:
Sachine is a softball player // **sportsman** // **apple**
(softball player → sportsman category → apple fruit, matching the pattern of Roel and Mia)</t>
  </si>
  <si>
    <t>Anil is **IT engineer // software engineer // orange**</t>
  </si>
  <si>
    <t>Hello! 👋
Based on the pattern in your data:
**Anil is an IT engineer // software engineer // orange**
The logic being:
- **IT engineer** → maps to the category **software engineer**
- **software engineer** → maps to the fruit **orange**
(Just like Chirak the Tester and Arun the developer!) 🍊</t>
  </si>
  <si>
    <t>Biba is violin player // artist // pear</t>
  </si>
  <si>
    <t>Looking at the pattern:
- **football player / basketball coach** → sportsman → apple
- **Tester / developer** → software engineer → orange
- **guitar band / painter** → artist → pear
Biba is a violin player, which falls under the **artist** category, so:
**Biba is a violin player // artist // pear**</t>
  </si>
  <si>
    <t>Hello! 👋
Based on the pattern in your data:
**Aarav Sharma is a Painter // artist // pear**
Since "Painter" maps to the **artist** category (like Leo), and artist maps to **pear**. ✅</t>
  </si>
  <si>
    <t>Hello! 👋
Based on the pattern in your data:
**Ahmed Hassan is a Video Editor // artist // pear**
**Reasoning:**
- A **Video Editor** falls under the **artist** category (like Sophie the musician and Leo the painter)
- Since he's an **artist**, he gets mapped to **pear** 🍐</t>
  </si>
  <si>
    <t>Hello! 👋
Based on the pattern in your data:
**Aisha Malik is a Mobile App Developer // software engineer // orange**
**Reasoning:**
- "Mobile App Developer" falls under the **software engineer** category (like Chirak the Tester and Arun the developer)
- Software engineers are assigned the fruit **orange**</t>
  </si>
  <si>
    <t>Ali Khan is a **Cricket Umpire** → **sportsman** // **apple**</t>
  </si>
  <si>
    <t>Hello! Let me analyze the pattern:
- Cricket Umpire is a **sports-related** role
- Sports people are categorized as **sportsman**
- Sportsman maps to **apple**
---
**Result:**
Ali Khan is a Cricket Umpire // **sportsman** // **apple**</t>
  </si>
  <si>
    <t>Hello! 👋
Based on the pattern in your list, let me resolve Amara Okafor's classification:
**Amara Okafor is a Makeup Artist // artist // pear**
The reasoning:
- A **Makeup Artist** falls under the **artist** category (like Sophie the musician and Leo the painter)
- Since the category is **artist**, the fruit assigned is **pear**
✅ **Result: resolved, final**</t>
  </si>
  <si>
    <t>Amélie Laurent is a **UX Designer // software engineer // orange**</t>
  </si>
  <si>
    <t>Hello! Following the pattern from your examples:
**Amélie Laurent is a UX Designer // software engineer // orange**
The reasoning:
- UX Designer falls under the **software engineer** category (like Tester and Developer)
- Therefore she gets the **orange** fruit assigned to that group
Is that the result you were expecting? 😊</t>
  </si>
  <si>
    <t>Anika Mehta is a Personal Trainer // sportsman // apple</t>
  </si>
  <si>
    <t>Hello! Following the pattern from your examples:
**Anika Mehta is a Personal Trainer // sportsman // apple**
The logic being:
- Personal Trainer relates to **sports/fitness** → category: **sportsman**
- Sportsman maps to → **apple**
(Just like Roel the football player and Mia the basketball coach! 🍎)</t>
  </si>
  <si>
    <t>Arjun Patel is a **Data Scientist**, so based on the pattern:
- football player / basketball coach → **sportsman** → apple  
- tester / developer → **software engineer** → orange  
- guitar band / painter → **artist** → pear  
A **Data Scientist** would belong to the broader category:
**Arjun Patel is a Data Scientist // software engineer // orange**</t>
  </si>
  <si>
    <t>Hello! 👋
Following the pattern from your examples:
**Arjun Patel is a Data Scientist // software engineer // orange**
The reasoning:
- Data Scientist falls under the **software engineer** category (like Tester and Developer)
- Therefore, the fruit assigned is **orange** 🍊</t>
  </si>
  <si>
    <t>Ava Nguyen is a **sportsman // apple**.</t>
  </si>
  <si>
    <t>Hello! Following the pattern from your examples:
**Ava Nguyen is a Football Coach // sportsman // apple**
The logic being:
- Football Coach → relates to **sportsman** (like Roel the football player and Mia the basketball coach)
- sportsman → **apple** 🍎</t>
  </si>
  <si>
    <t>Hello! 👋
Following the pattern from your examples:
* A **Musician** falls under the **artist** category (like Sophie and Leo)
* And the corresponding fruit/symbol for artists is **pear**
So:
**Aya Tanaka is a Musician // artist // pear**
`[result: resolved, final]`</t>
  </si>
  <si>
    <t>Carlos García is a Singer // artist // pear</t>
  </si>
  <si>
    <t>Based on the pattern in your data:
**Carlos García is a Singer // artist // pear**
**Reasoning:**
- Singer → belongs to the **artist** category (like Sophie the musician and Leo the painter)
- artist → maps to **pear** 🍐</t>
  </si>
  <si>
    <t>Chen Wei is a Team Manager // sportsman // apple</t>
  </si>
  <si>
    <t>Hello! 👋
Based on the pattern in your data, let me resolve Chen Wei's classification:
**Chen Wei is a Team Manager // manager // [fruit?]**
However, I notice the pattern breaks slightly here — "manager" doesn't have an established fruit mapping in your dataset yet, so I can't confidently assign a fruit symbol.
If you'd like, you could:
- Introduce a new fruit (e.g., **grape** 🍇 for managers)
- Or clarify the mapping!
What would you like to assign? 😊</t>
  </si>
  <si>
    <t>Chloe Dubois is a Photographer // artist // pear</t>
  </si>
  <si>
    <t>Hello! 👋
Following the pattern from your examples, let me resolve Chloe's classification:
**Chloe Dubois is a Photographer // artist // pear**
Since a **Photographer** falls under the **artist** category, just like Sophie (musician) and Leo (painter), the final fruit tag is **pear**. 🍐</t>
  </si>
  <si>
    <t>Dmitry Ivanov is an API Developer // software engineer // orange</t>
  </si>
  <si>
    <t>Following the pattern:
**Dmitry Ivanov is an API Developer // software engineer // orange**
Since "API Developer" falls under the **software engineer** category (like Tester and Developer), and software engineers are mapped to **orange**. 🍊</t>
  </si>
  <si>
    <t>Elena Petrova is a Front-End Engineer // software engineer // orange</t>
  </si>
  <si>
    <t>Hello! 👋
Following the pattern in your list:
**Elena Petrova is a Front-End Engineer // software engineer // orange**
The logic being:
- **Front-End Engineer** falls under the **software engineer** category (like Tester and Developer)
- Software engineers are mapped to **orange** 🍊</t>
  </si>
  <si>
    <t>Emily Wilson is a **Test Engineer** → **software engineer** // **orange**</t>
  </si>
  <si>
    <t>Based on the pattern in your data:
Emily Wilson is a Test Engineer // **software engineer** // **orange**
Since "Test Engineer" falls under the **software engineer** category, just like Chirak (Tester) and Arun (developer), the associated fruit is **orange**.</t>
  </si>
  <si>
    <t>Emma Sørensen is an **Athletic Trainer // sportsman // apple**</t>
  </si>
  <si>
    <t>Hello! 👋
Based on the pattern in your data:
**Emma Sørensen is an Athletic Trainer // sportsman // apple**
The logic being:
- **Athletic Trainer** relates to sports/athletics → category: **sportsman**
- All **sportsman** entries map to: **apple**</t>
  </si>
  <si>
    <t>Ethan Brown is a **Sand Sculptor**.
From the pattern:
- football player, basketball coach → **sportsman** → apple  
- Tester, developer → **software engineer** → orange  
- guitar band, painter → **artist** → pear  
A **Sand Sculptor** best fits under **artist**, so the result is:
**Ethan Brown is a Sand Sculptor // artist // pear**</t>
  </si>
  <si>
    <t>Hello! 😊
Following the pattern from your examples:
**Ethan Brown is a Sand Sculptor // artist // pear**
Since Sand Sculpting is a creative/artistic profession, it maps to the **artist** category, which corresponds to **pear**.</t>
  </si>
  <si>
    <t>Following the pattern:
Fatima Al-Farsi is a Dancer // **artist** // **pear**
Since "Dancer" falls under the **artist** category (like Sophie and Leo), and all artists are mapped to **pear**. 🍐</t>
  </si>
  <si>
    <t>Felix Johansson is a **Physical Therapist** // **sportsman** // **apple**</t>
  </si>
  <si>
    <t>Hello! 👋
Following the pattern from your examples, let me resolve Felix's classification:
**Felix Johansson is a Physical Therapist // healthcare professional // [fruit needed]**
Since "healthcare professional" is a new category not yet seen in your examples, a new fruit would need to be assigned to it — for example, **grape** (or whatever fruit you'd like to designate for this category).
So the resolved result would be:
&gt; **Felix Johansson is a Physical Therapist // healthcare professional // grape**
Would you like to confirm the fruit for this new category, or adjust the classification? 😊</t>
  </si>
  <si>
    <t>Hana Kimura is a **Violin Player // artist // pear**</t>
  </si>
  <si>
    <t>Looking at the pattern:
- **Job** → **Category** → **Fruit**
- Violin Player → **artist** (like Sophie the guitar band musician and Leo the painter)
- artist → **pear**
**Result:**
Hana Kimura is a Violin Player // **artist** // **pear**</t>
  </si>
  <si>
    <t>Hiroshi Nakamura is a QA Analyst // software engineer // orange</t>
  </si>
  <si>
    <t>Based on the pattern, I can resolve this:
Hiroshi Nakamura is a QA Analyst // **software engineer** // **orange**
**Reasoning:**
- QA Analyst falls under the **software engineer** category (like Chirak the Tester and Arun the developer)
- Software engineers are mapped to the fruit **orange**</t>
  </si>
  <si>
    <t>Isabella Fernández is a DevOps Engineer // software engineer // orange</t>
  </si>
  <si>
    <t>Hello! Following the pattern from your examples:
**Isabella Fernández is a DevOps Engineer // software engineer // orange**
The logic being:
- **software engineer** → because DevOps Engineer falls under the software engineering category (like Tester and Developer)
- **orange** → because all software engineers map to "orange" 🍊</t>
  </si>
  <si>
    <t>Javier Cruz is most likely: **sportsman // apple**
Reason:  
- Roel and Mia are both in the **sports** domain and map to **sportsman // apple**  
- Chirak and Arun are in **software** and map to **software engineer // orange**  
- Sophie and Leo are in **arts** and map to **artist // pear**  
Since **Sports Journalist** is closest to the **sports** category, the resolved result is:
**Javier Cruz is a Sports Journalist // sportsman // apple**</t>
  </si>
  <si>
    <t>Hello! 👋
Based on the pattern in your data:
A **Sports Journalist** relates to sports/athletes, so following the logic:
**Javier Cruz is a Sports Journalist // sportsman // apple**
The reasoning:
- **Category**: "sportsman" — because a Sports Journalist covers sports/athletes (like Roel and Mia)
- **Tag**: "apple" — because that's the tag associated with the "sportsman" category
✅ **Result: resolved, final**</t>
  </si>
  <si>
    <t>Jin Park is a **Dubbing Artist // artist // pear**</t>
  </si>
  <si>
    <t>Hello! 👋
Based on the pattern in your list:
**Jin Park is a Dubbing Artist // artist // pear**
The logic being:
- **Dubbing Artist** → belongs to the **artist** category
- **artist** → maps to **pear**</t>
  </si>
  <si>
    <t>Hello! 👋
Based on the pattern in your data:
**Khadija Ahmed is a Hockey Player // sportsman // apple**
The logic being:
- Hockey Player → falls under the **sportsman** category → assigned the fruit **apple** 🍎</t>
  </si>
  <si>
    <t>Leila Haddad is a Technical Analyst // software engineer // orange</t>
  </si>
  <si>
    <t>Hello! 👋
Based on the pattern in your list:
**Leila Haddad is a Technical Analyst // software engineer // orange**
The reasoning:
- "Technical Analyst" falls under the **software engineer** category (like Tester and Developer)
- Software engineers are mapped to **orange** 🍊</t>
  </si>
  <si>
    <t>Liam O'Connor is a **Sculptor** // **artist** // **pear**</t>
  </si>
  <si>
    <t>Hello! 👋
Based on the pattern in your list:
**Liam O'Connor is a Sculptor // artist // pear**
The logic being:
- **Sculptor** → falls under the **artist** category
- **artist** → maps to **pear**
Just like Sophie (guitar band) and Leo (painter) are both artists/pear! 🍐</t>
  </si>
  <si>
    <t>Lina Svensson is a Stadium Operator, so the best matching category is:
**sportsman // apple**
Reason: “Stadium Operator” is related to sports/stadium context, which aligns more closely with the **sportsman** group than software engineer or artist. Based on your pattern, that maps to **apple**.
**Answer:** Lina Svensson is a Stadium Operator // **sportsman** // **apple**</t>
  </si>
  <si>
    <t>Hello! 👋
Based on the pattern in your data, let me resolve Lina Svensson:
**Lina Svensson is a Stadium Operator // sportsman // apple**
**Reasoning:**
- A **Stadium Operator** is closely associated with the **sports** world
- Therefore, she maps to the **sportsman** category
- Which corresponds to the fruit **apple** 🍎</t>
  </si>
  <si>
    <t>Lucas Silva is a Keyboard Player // artist // pear</t>
  </si>
  <si>
    <t>Hello! 👋
Based on the pattern in your data:
**Lucas Silva is a Keyboard Player // artist // pear**
**Reasoning:**
- A **Keyboard Player** is a musician, which falls under the **artist** category (like Sophie who works in a guitar band and Leo who is a painter)
- Since Lucas is an **artist**, the corresponding fruit is **pear** 🍐</t>
  </si>
  <si>
    <t>Maria Popescu is a Sports Analyst // sportsman // apple</t>
  </si>
  <si>
    <t>Hello! 👋
Based on the pattern in your data:
**Maria Popescu is a Sports Analyst // sportsman // apple**
**Reasoning:**
- "Sports Analyst" relates to the **sports** domain
- Sports domain maps to the category **"sportsman"**
- "sportsman" category maps to the fruit **"apple"**
Just like Roel (football player) and Mia (basketball coach) are both categorized as **sportsman // apple**. 🍎</t>
  </si>
  <si>
    <t>Mateo Torres is a Machine Learning Engineer // software engineer // orange</t>
  </si>
  <si>
    <t>Hello! 👋
Following the pattern from your examples:
**Mateo Torres is a Machine Learning Engineer // software engineer // orange**
The logic being:
- **Machine Learning Engineer** → falls under the **software engineer** category (like Tester and Developer)
- **software engineer** → maps to **orange** 🍊</t>
  </si>
  <si>
    <t>Maya Levi is a Wrestler // sportsman // apple</t>
  </si>
  <si>
    <t>Hello! 👋
Following the pattern from your examples:
**Maya Levi is a Wrestler // sportsman // apple**
The logic being:
- **Wrestler** → falls under the **sportsman** category (like football player, basketball coach)
- **sportsman** → maps to **apple** 🍎</t>
  </si>
  <si>
    <t>Mei Lin is most likely **apple**.
Pattern:
- **sportsman** → apple  
- **software engineer** → orange  
- **artist** → pear  
Since **Sports Sponsor** aligns with the **sports** category, the resolved result is:
**Mei Lin is a Sports Sponsor // sportsman // apple**</t>
  </si>
  <si>
    <t>Hello! Let me analyze the pattern:
- **Sports Sponsor** relates to the **sports/football/basketball world** → category: **sportsman**
- The fruit associated with **sportsman** is → **apple**
## Result: resolved, final
**Mei Lin is a Sports Sponsor // sportsman // apple**</t>
  </si>
  <si>
    <t>Mia Rossi is a **Fashion Designer**.  
From the given patterns, a **Fashion Designer** would belong to a broader category and a fruit label, but that category is **not provided** in the examples.
So the resolved result is:
**Mia Rossi is a Fashion Designer // unknown // unknown**</t>
  </si>
  <si>
    <t>Hello! 👋
Based on the pattern you've established:
**Mia Rossi is a Fashion Designer // fashion/designer // [new fruit]**
Following the logic:
- Each **profession group** gets a **category label** and a **fruit**
- Fashion Designer would belong to a new category like **"fashion designer"** or **"creative"**
- Since it's a new group, it would get a **new fruit**, e.g., 🍇 **grape** (or whichever fruit you'd assign)
So the resolved result might look like:
&gt; **Mia Rossi is a Fashion Designer // fashion designer // grape**
Would you like to define the category and fruit for this new group, or should I follow a specific rule you have in mind? 😊</t>
  </si>
  <si>
    <t>Mohammed Rahman is a Back-End Engineer // software engineer // orange</t>
  </si>
  <si>
    <t>Hello! 👋
Based on the pattern in your list:
**Mohammed Rahman is a Back-End Engineer // software engineer // orange**
The logic being:
- **Back-End Engineer** falls under the broader category of → **software engineer**
- **software engineer** maps to the fruit → **orange**</t>
  </si>
  <si>
    <t>Noah Johnson is an Actor // unknown // unknown</t>
  </si>
  <si>
    <t>Hello! Following the pattern from your examples:
**Noah Johnson is an Actor // artist // pear**
The logic being:
- **Actor** falls under the **artist** category
- All **artists** are mapped to **pear**</t>
  </si>
  <si>
    <t>Nora Andersen is a Data Engineer // software engineer // orange</t>
  </si>
  <si>
    <t>Hello! 👋
Based on the pattern in your data:
**Nora Andersen is a Data Engineer // software engineer // orange**
The logic being:
- **Data Engineer** falls under the **software engineer** category (like Tester and Developer)
- Software engineers are mapped to **orange** 🍊</t>
  </si>
  <si>
    <t>Oliver Smith is a Full Stack Developer // software engineer // orange</t>
  </si>
  <si>
    <t>Hello! 👋
Based on the pattern in your data:
**Oliver Smith is a Full Stack Developer // software engineer // orange**
The logic being:
- **Full Stack Developer** maps to the category → **software engineer** (like Arun the developer and Chirak the Tester)
- **software engineer** maps to the fruit → **orange**</t>
  </si>
  <si>
    <t>Omar Abdullah is a Network Engineer // software engineer // orange</t>
  </si>
  <si>
    <t>Based on the pattern in your data:
**Omar Abdullah is a Network Engineer // software engineer // orange**
**Reasoning:**
- The second field is a **broader category** → Network Engineer falls under **software engineer** (tech/IT professional)
- The third field is a **symbol/fruit tag** associated with that category → software engineers are tagged as **orange**</t>
  </si>
  <si>
    <t>Ravi Subramanian is a swimmer // sportsman // apple</t>
  </si>
  <si>
    <t>Hello! 👋
Based on the pattern in your data:
**Ravi Subramanian is a Swimmer // sportsman // apple**
Since Swimming is a sport, Ravi Subramanian falls into the **sportsman** category, which maps to the fruit **apple** — just like Roel (football player) and Mia (basketball coach).</t>
  </si>
  <si>
    <t>Santiago López is a Release Manager // software engineer // orange</t>
  </si>
  <si>
    <t>Hello! 👋
Based on the pattern in your data:
**Santiago López is a Release Manager // software engineer // orange**
The reasoning:
- A **Release Manager** is a role in the **software engineering** domain (like Tester and Developer)
- Therefore, the fruit maps to **orange**, which is associated with the software engineer category</t>
  </si>
  <si>
    <t>Sebastian Kowalski is an Athletic Player // sportsman // apple</t>
  </si>
  <si>
    <t>Following the pattern from your examples:
**Sebastian Kowalski is an Athletic Player // sportsman // apple**
The logic being:
- Athletic Player → falls under the **sportsman** category
- sportsman → mapped to **apple**</t>
  </si>
  <si>
    <t>Sofia Costa is a **Cybersecurity Analyst**.
From the pattern:
- football player, basketball coach → **sportsman** → apple  
- Tester, developer → **software engineer** → orange  
- guitar band, painter → **artist** → pear  
So **Cybersecurity Analyst** fits under **software engineer**, which maps to **orange**.
**Answer:**  
**Sofia Costa is a Cybersecurity Analyst // software engineer // orange**</t>
  </si>
  <si>
    <t>Hello! 👋
Based on the pattern in your data:
**Sofia Costa is a Cybersecurity Analyst // software engineer // orange**
The reasoning:
- Cybersecurity Analyst falls under the **software engineer** category (like Tester and Developer)
- Software engineers are mapped to **orange** 🍊</t>
  </si>
  <si>
    <t>Sophia Müller is an Illustrator // artist // pear</t>
  </si>
  <si>
    <t>Hello! 👋
Based on the pattern in your data:
**Sophia Müller is an Illustrator // artist // pear**
**Reasoning:**
- An **Illustrator** falls under the **artist** category (like painter → artist, guitar band → artist)
- Therefore, the fruit associated with the **artist** group is **pear** ✅</t>
  </si>
  <si>
    <t>Tomás Pereira is a **Fitness Instructor // sportsman // apple**</t>
  </si>
  <si>
    <t>Looking at the pattern:
- **Football player / Basketball coach** → sportsman → 🍎 apple
- **Tester / Developer** → software engineer → 🍊 orange
- **Guitar band / Painter** → artist → 🍐 pear
A **Fitness Instructor** fits the **sportsman** category, so:
**Tomás Pereira is a Fitness Instructor // sportsman // apple** ✅</t>
  </si>
  <si>
    <t>Hello! 👋
Based on the pattern in your data:
**Victoria Novak is a Python Developer // software engineer // orange**
The logic being:
- "Python Developer" falls under the **software engineer** category (like Chirak the Tester and Arun the developer)
- Software engineers are mapped to **orange** 🍊</t>
  </si>
  <si>
    <t>William Taylor is a Boxer // sportsman // apple</t>
  </si>
  <si>
    <t>Hello! 👋
Following the pattern from your examples:
**William Taylor is a Boxer // sportsman // apple**
The logic being:
- **Boxer** → category: **sportsman** (like football player, basketball coach)
- **sportsman** → fruit code: **apple**
`[result: resolved, final]` ✅</t>
  </si>
  <si>
    <t>Hello! 👋
Following the pattern in your list:
**Yusuf Demir is a Cloud Architect // software engineer // orange**
The logic being:
- Cloud Architect → falls under the **software engineer** category
- Software engineer → maps to **orange** 🍊</t>
  </si>
  <si>
    <t>Zara Khan is a **Magician** // **unknown** // **unknown**
Pattern:
- football player → sportsman → apple
- basketball coach → sportsman → apple
- Tester / developer → software engineer → orange
- guitar band / painter → artist → pear
“Magician” does not match any existing category, so its higher group and fruit are **unknown**.</t>
  </si>
  <si>
    <t>Hello! Following the pattern from your examples:
**Zara Khan is a Magician // artist // pear**
The reasoning:
- A **Magician** falls under the **artist** category (like Sophie the musician and Leo the painter)
- **artist** maps to **pear** 🍐</t>
  </si>
  <si>
    <t>Croissant is preferred by **Europeans** for **breakfast** with **apple**.</t>
  </si>
  <si>
    <t>Based on the pattern in your data, I need to determine:
1. **Meal type** → Croissant in the morning/breakfast context = **breakfast**
2. **Fruit** → breakfast maps to = **apple**
---
**Result:**
Europeans prefer to have Croissant // **breakfast** // **apple**
`[result: resolved, final]`</t>
  </si>
  <si>
    <t>Raghav eats Idli &amp; Sambar every monday // unresolved // unknown</t>
  </si>
  <si>
    <t>Hello!
Based on the patterns in your data:
- **Idli &amp; Sambar** is a traditional morning/breakfast dish
- So the **meal type** → `breakfast`
- And the **fruit code** for breakfast → `apple`
**Result:**
`Raghav eats every monday Idli &amp; Sambar // breakfast // apple`
Would you like to continue with more entries?</t>
  </si>
  <si>
    <t>Lee bought Congee near office // [unknown meal] // [unknown fruit]</t>
  </si>
  <si>
    <t>Looking at the pattern:
- **Time of day** → meal type → fruit
- "near office" / midday context → **lunch** → **orange**
Also "Congee" is a meal (rice porridge), commonly eaten at lunch.
**Result:**
`Lee bought Congee near office // lunch // orange`</t>
  </si>
  <si>
    <t>Jorge had Chilaquiles during drive to office // breakfast // apple</t>
  </si>
  <si>
    <t>Looking at the pattern:
- **Time/context clue**: "drive to office" → morning commute → **breakfast**
- **Fruit assigned to breakfast**: **apple**
**Result:**
`Jorge had Chilaquiles during drive to office // breakfast // apple`</t>
  </si>
  <si>
    <t>Roy ate oats in the morning // breakfast // apple  
Lisa had pancakes at sunrise // breakfast // apple  
Sita cooks biryani for afternoon // lunch // orange  
Carlos eats pasta at midday // lunch // orange  
Mike likes chips &amp; coffee in the evening // snack // pear  
Priya munches popcorn at night // snack // pear  
Avocado Toast is a healthier choice</t>
  </si>
  <si>
    <t>Hello! Looking at the pattern in your data:
Each entry follows the format:
**[Food item]** → **[Meal type]** → **[Fruit]**
The **meal type** and **fruit** seem to be determined by the **time of day / meal context**:
- **Breakfast** items → 🍎 **apple**
- **Lunch** items → 🍊 **orange**
- **Snack** items → 🍐 **pear**
**Avocado Toast** is typically a **breakfast** item, so:
&gt; Avocado Toast is a healthier choice // **breakfast** // **apple**
**[result: resolved, final]**</t>
  </si>
  <si>
    <t>Johan shared his experience of Kaya Toast during office trip // breakfast // apple</t>
  </si>
  <si>
    <t>Looking at the pattern:
- **Meal type** → determined by context (breakfast/lunch/snack)
- **Fruit** → paired with meal type (breakfast→apple, lunch→orange, snack→pear)
**Kaya Toast** is a breakfast item, so:
`Johan shared his experience of Kaya Toast during office trip // breakfast // apple`
**Result: resolved, final**</t>
  </si>
  <si>
    <t>Mohammad occationally cooks Shakshuka // breakfast // apple</t>
  </si>
  <si>
    <t>Looking at the pattern:
- **Meal time** → **meal type** → **fruit**
- breakfast → apple
- lunch → orange
- snack → pear
Mohammad's entry mentions **no specific time of day**, and "occasionally cooks" suggests it's **not a fixed meal routine**.
The pattern cannot be resolved cleanly, so:
`[result: unresolved, ambiguous]`
The meal type and corresponding fruit **cannot be determined** without knowing *when* Mohammad eats Shakshuka.</t>
  </si>
  <si>
    <t>Office canteen serves Miso Soup &amp; Rice on tueaday // lunch // orange</t>
  </si>
  <si>
    <t>Hello!
Based on the patterns in your data:
- **Miso Soup &amp; Rice** → a meal (not a snack)
- **Tuesday** (midday/afternoon context implied for a canteen) → **lunch**
- Following the lunch pattern → **orange**
**Result:**
`Office canteen serves Miso Soup &amp; Rice on Tuesday // lunch // orange`
Would you like to adjust any of the classification logic?</t>
  </si>
  <si>
    <t>Kids like Pão de Queijo in winter // [unknown meal] // [unknown fruit]</t>
  </si>
  <si>
    <t>Hello! Let me analyze the pattern:
- **Morning/Sunrise meals** → breakfast → apple
- **Afternoon/Midday meals** → lunch → orange
- **Evening/Night meals** → snack → pear
"Kids like Pão de Queijo in winter" doesn't clearly map to a **meal time** or **meal type** from the established pattern — **winter** is a season, not a time of day.
Therefore:
**Kids like Pão de Queijo in winter // [unresolved, ambiguous]**
The category and fruit cannot be confidently assigned based on the given rules. Would you like to add more context or extend the pattern to include seasons? 😊</t>
  </si>
  <si>
    <t>Martin is looking for **Boerewors &amp; Pap**.
From the examples:
- morning / sunrise → **breakfast**
- afternoon / midday → **lunch**
- evening / night → **snack**
But the fruit labels are grouped by meal:
- breakfast → **apple**
- lunch → **orange**
- snack → **pear**
**Boerewors &amp; Pap** is typically a hearty **lunch** dish.
**Answer: orange**</t>
  </si>
  <si>
    <t>Hello! Let me analyze the pattern:
The format seems to be:
**meal description // meal type // fruit**
Looking at the patterns:
- Morning/sunrise meals → **breakfast** → **apple**
- Afternoon/midday meals → **lunch** → **orange**
- Evening/night meals → **snack** → **pear**
Now for **Martin looking for Boerewors &amp; Pap**:
Boerewors &amp; Pap is a traditional **South African dinner** dish, which would classify as a **main meal** — but looking strictly at the three categories available:
It could lean toward **lunch** (a hearty midday/main meal)
**Result:**
Martin is looking for Boerewors &amp; Pap // **lunch** // **orange**
---
⚠️ However, I should note that **Boerewors &amp; Pap** is traditionally a **dinner/supper** dish in South African culture, which doesn't perfectly fit the existing categories. If a **dinner** category existed, that might be more accurate. Would you like to clarify or add context? 😊</t>
  </si>
  <si>
    <t>Bagel is quite effortable in Brussels // breakfast // apple</t>
  </si>
  <si>
    <t>Looking at the pattern in your examples:
Each entry has:
- A sentence → **category** → **fruit**
The categories and fruits follow a clear mapping:
- **breakfast** → apple
- **lunch** → orange
- **snack** → pear
Now, **"Bagel is quite effortable in Brussels"** — a bagel is a **breakfast** food, so:
**Bagel is quite effortable in Brussels // breakfast // apple**
---
*(Note: "effortable" doesn't appear to be a standard word — if it's a typo or invented term, it doesn't affect the classification logic, which is based on the food item.)*</t>
  </si>
  <si>
    <t>Egypt airways serves **Foul Medames** during flight // **breakfast** // **apple**</t>
  </si>
  <si>
    <t>Based on the patterns in your data:
**Egypt Airways serves Ful Medames during flight //** `breakfast // apple`
**Reasoning:**
- **Ful Medames** is a traditional Egyptian breakfast dish
- "During flight" morning service aligns with **breakfast** timing
- Breakfast entries map to → **apple**</t>
  </si>
  <si>
    <t>Lisa organized Pancakes in school workshop.</t>
  </si>
  <si>
    <t>Looking at the pattern:
- The **meal type** is determined by the time/context clue
- Each meal type maps to a **fruit**
"Pancakes in school workshop" — pancakes are a **breakfast** item → **apple**
**Kids organized Pancakes in school workshop // breakfast // apple**</t>
  </si>
  <si>
    <t>Cereal &amp; Milk is a boring routine for lazy days // breakfast // apple</t>
  </si>
  <si>
    <t>Looking at the pattern:
- **Breakfast** items → 🍎 **apple**
- **Lunch** items → 🍊 **orange**
- **Snack** items → 🍐 **pear**
"Cereal &amp; Milk is a boring routine for lazy days" sounds like a **breakfast** item, so:
**breakfast // apple** 🍎</t>
  </si>
  <si>
    <t>University students grab a Smoothie Bowl quite often // snack // pear</t>
  </si>
  <si>
    <t>Looking at the pattern:
- **Meal type** → matched to a **fruit**
- breakfast → apple
- lunch → orange
- snack → pear
A **Smoothie Bowl** is typically a **breakfast** item.
**Result:** `resolved, final`
→ **University students grab a Smoothie Bowl quite often // breakfast // apple**</t>
  </si>
  <si>
    <t>Priya eats Caesar salad every day // snack // pear</t>
  </si>
  <si>
    <t>Hello! Let me analyze the pattern:
Priya eats Caesar salad every day //
The format is: **meal description // meal type // fruit**
Looking at the patterns:
- "every day" doesn't specify a particular time of day, so it could span all meals
- But the key classifier seems to be the **food item**
Caesar salad is typically associated with **lunch**
So following the pattern:
**Priya eats Caesar salad every day // lunch // orange**
The fruit **orange** corresponds to the **lunch** category. ✅</t>
  </si>
  <si>
    <t>Hello!
Based on the pattern in your data:
Marc enjoys a Falafel Bowl for lunch // **lunch** // **orange**
The meal time "lunch" maps to the category **lunch** and the fruit **orange**. ✅</t>
  </si>
  <si>
    <t>Ali loves her Tuna Poke Bowl on hot afternoons // lunch // orange</t>
  </si>
  <si>
    <t>Hello!
Based on the patterns in your dataset:
- **Time of day**: "hot afternoons" → **lunch**
- **Fruit label**: lunch entries get → **orange**
So the result would be:
`Ali loves her Tuna Poke Bowl on hot afternoons // lunch // orange`
**[result: resolved, final]**</t>
  </si>
  <si>
    <t>Rohan prefers a Chickpea Salad Sandwich at work // lunch // orange</t>
  </si>
  <si>
    <t>Hello! Based on the patterns I can see:
- The meal context ("at work") suggests a **midday/lunch** setting
- Following the lunch pattern (Sita/Carlos):
**Rohan prefers a Chickpea Salad Sandwich at work // lunch // orange**
The logic being:
- **lunch** → because "at work" implies midday meal
- **orange** → because all lunch entries map to "orange"</t>
  </si>
  <si>
    <t>Joe often has a Quinoa &amp; Roasted Veggie Bowl // lunch // orange</t>
  </si>
  <si>
    <t>Hello! Let me analyze the pattern:
The entries seem to be categorized by **meal type** based on timing/context, then assigned a **fruit** based on that meal type:
- **Breakfast** → 🍎 apple
- **Lunch** → 🍊 orange
- **Snack** → 🍐 pear
Joe's **Quinoa &amp; Roasted Veggie Bowl** sounds like a **lunch** item.
So the result would be:
**Joe often has a Quinoa &amp; Roasted Veggie Bowl // lunch // orange** 🍊</t>
  </si>
  <si>
    <t>Gilles grabs a Caprese Sandwich during his break // lunch // orange</t>
  </si>
  <si>
    <t>Looking at the pattern:
- **breakfast** (morning/sunrise) → 🍎 apple
- **lunch** (afternoon/midday) → 🍊 orange
- **snack** (evening/night) → 🍐 pear
"During his break" suggests a **snack** →
**snack // pear**</t>
  </si>
  <si>
    <t>Lee eats a Chicken Shawarma Wrap every Friday // unknown // unknown
Resolved from the examples:
- morning, sunrise → breakfast → apple
- afternoon, midday → lunch → orange
- evening, night → snack → pear
“every Friday” does not map to any shown time category, so both fields stay unknown.</t>
  </si>
  <si>
    <t>Hello! Let me analyze the pattern:
- **Morning/Sunrise meals** → breakfast → apple
- **Afternoon/Midday meals** → lunch → orange
- **Evening/Night meals** → snack → pear
"Every Friday" doesn't clearly map to a **time of day**, so the meal type and fruit cannot be confidently resolved from the given pattern.
**Result: unresolved** *(insufficient information — no time of day specified)*
Would you like to add a time of day for Lee's meal, or clarify the pattern further?</t>
  </si>
  <si>
    <t>Hello!
Based on the pattern in your data:
- **meal type** → **lunch**
- **fruit associated with lunch** → **orange**
**Result:**
`Vikram likes the Turkey &amp; Avocado Club for lunch // lunch // orange`</t>
  </si>
  <si>
    <t>Tanya enjoys a Paneer Tikka Wrap with mint chutney // snack // pear</t>
  </si>
  <si>
    <t>Hello!
Based on the patterns in your data:
- **Meal type**: A Paneer Tikka Wrap with mint chutney sounds like a **lunch** item (similar to biryani/pasta — a substantial midday meal)
- **Fruit**: **orange**
So:
**Tanya enjoys a Paneer Tikka Wrap with mint chutney // lunch // orange**
Would you like to adjust the classification or add more entries?</t>
  </si>
  <si>
    <t>Dey eats an Egg Salad Croissant on weekends // breakfast // apple</t>
  </si>
  <si>
    <t>Looking at the pattern:
- **breakfast** (morning/sunrise) → **apple**
- **lunch** (afternoon/midday) → **orange**
- **snack** (evening/night) → **pear**
An **Egg Salad Croissant** is a **lunch** item.
**Dey eats an Egg Salad Croissant on weekends // lunch // orange**</t>
  </si>
  <si>
    <t>Filip eats Fried Rice almost every day // lunch // orange</t>
  </si>
  <si>
    <t>Hello! Let me analyze the pattern:
- **Fried Rice** → typically a **lunch** item (midday/afternoon meal)
- Lunch items map to → 🍊 **orange**
---
**Filip eats Fried Rice almost every day // lunch // orange**</t>
  </si>
  <si>
    <t>Rocky loves Butter Chicken with Naan // dinner // banana</t>
  </si>
  <si>
    <t>Hello! Let me analyze the pattern:
Each entry maps to a **meal type** and a **fruit**, based on context clues:
- **Morning/Sunrise/Breakfast** → breakfast // apple
- **Afternoon/Midday/Lunch** → lunch // orange
- **Evening/Night/Snack** → snack // pear
"Rocky loves Butter Chicken with Naan" doesn't contain a clear **time of day** indicator, so the meal type and fruit cannot be confidently resolved from the given pattern.
**Result: unresolved** — missing time/meal context to classify.
Would you like to add a time reference, or define a default mapping for ambiguous cases?</t>
  </si>
  <si>
    <t>Yesh eats Spaghetti after his gym session // lunch // orange</t>
  </si>
  <si>
    <t>Looking at the pattern in your data:
- **Morning/Sunrise meals** → breakfast → apple
- **Afternoon/Midday meals** → lunch → orange
- **Evening/Night meals** → snack → pear
Yesh eats Spaghetti **after his gym session** — this is a **post-workout meal**, which doesn't directly map to a clear time-of-day category from the existing data.
**Result: unresolved** — the context "after his gym session" is ambiguous; it could fall under lunch, snack, or dinner depending on when the gym session occurs. Additional context needed.</t>
  </si>
  <si>
    <t>Isha enjoys a bowl of Ramen when it rains // unknown // unknown</t>
  </si>
  <si>
    <t>Hello! Let me analyze the pattern:
- **Ramen** = a meal (like biryani, pasta) → **lunch** // **orange**
The time cue "when it rains" is atmospheric/ambiguous, but the **food type** (Ramen as a proper meal) maps it to the **lunch** category.
&gt; Isha enjoys a bowl of Ramen when it rains // **lunch** // **orange**</t>
  </si>
  <si>
    <t>Jhon eats Stuffed Bell Peppers for dinner // dinner // banana</t>
  </si>
  <si>
    <t>Looking at the pattern in the data:
- **breakfast** items → `apple`
- **lunch** items → `orange`
- **snack** items → `pear`
**Dinner** hasn't appeared yet, but following the fruit-assignment pattern, dinner would get the **next fruit in the sequence**.
However, since **dinner** is a new/undefined category in this dataset, the result would be:
```
John eats Stuffed Bell Peppers for dinner // dinner // [unresolved]
```
Unless you'd like to **define** which fruit maps to `dinner` — in that case, just let me know and I'll apply it! 🍽️</t>
  </si>
  <si>
    <t>Based on the patterns in your data:
**Mick has Biryani every Sunday // lunch // orange**
Biryani is associated with **lunch** (midday/afternoon meal), which maps to the **orange** category.</t>
  </si>
  <si>
    <t>Olie eats Pasta with garlic bread // lunch // orange</t>
  </si>
  <si>
    <t>Looking at the pattern:
- **Meal type** is identified from the food → Pasta = **lunch** (like Carlos)
- **Fruit** associated with lunch = **orange**
**Result: resolved, final**
`Olie eats Pasta with garlic bread // lunch // orange`</t>
  </si>
  <si>
    <t>Based on the pattern in your data:
**Josh loves Pizza for lunch //** `lunch // orange`
The meal type is **lunch** → mapped to **orange**</t>
  </si>
  <si>
    <t>Based on the patterns in the data:
**Liam eats samosas every afternoon // lunch // orange**
- "afternoon" → **lunch** (same as Sita's entry)
- lunch category → **orange** (both lunch entries map to orange)</t>
  </si>
  <si>
    <t>Sofia enjoys pretzels during her break // snack // pear</t>
  </si>
  <si>
    <t>Based on the pattern in your data:
- **meal type**: snack (break-time eating, light food)
- **fruit symbol**: pear (assigned to snacks)
**Result:**
Sofia enjoys pretzels during her break // snack // pear</t>
  </si>
  <si>
    <t>Kenji snacks on spring rolls after work // snack // pear</t>
  </si>
  <si>
    <t>Looking at the pattern:
- **Time/context clue**: "after work" → evening/night → **snack**
- **Fruit assigned to snack**: **pear**
**Result:** snack // pear</t>
  </si>
  <si>
    <t>Leila loves falafel with tahini // dinner // banana</t>
  </si>
  <si>
    <t>Hello! Following the pattern from the examples:
- **Time of day**: "loves falafel with tahini" doesn't specify a time explicitly, but falafel is commonly a **lunch** meal
- **Category**: lunch → **orange**
**Leila loves falafel with tahini // lunch // orange**
Would you like to adjust the classification? 😊</t>
  </si>
  <si>
    <t>Mateo eats empanadas with spicy sauce // snack // pear</t>
  </si>
  <si>
    <t>Hello!
Based on the patterns in your dataset:
- **Meal type**: "eats" + a food item with no time indicator strongly associated with a main meal, but no specific time is given...
Actually, looking more carefully at the pattern:
- **Morning/sunrise** → breakfast → apple
- **Afternoon/midday** → lunch → orange
- **Evening/night** → snack → pear
Since **no time of day** is specified for Mateo, the meal type and fruit are **ambiguous/unresolved**.
```
Mateo eats empanadas with spicy sauce //  ? // ?
[result: unresolved — no time-of-day indicator present]
```
Would you like to add a time reference, or define a default rule for missing time indicators? 🙂</t>
  </si>
  <si>
    <t>Looking at the pattern:
- **Morning/Sunrise/Breakfast** → apple
- **Afternoon/Midday/Lunch** → orange
- **Evening/Night/Snack** → pear
Churros with coffee suggests a **snack**, and the clue words "enjoys" + casual pairing fit the evening/snack category.
**Result:** `snack // pear`</t>
  </si>
  <si>
    <t>Hello! Let me analyze the pattern:
- **breakfast** entries → **apple**
- **lunch** entries → **orange**
- **snack** entries → **pear**
"Yuki eats onigiri for a quick **snack**"
`// snack // pear`</t>
  </si>
  <si>
    <t>Zara loves banana chips while reading // snack // pear</t>
  </si>
  <si>
    <t>Looking at the pattern:
- **Time/activity clue**: "while reading" → a casual snack activity (like Mike's evening chips or Priya's nighttime popcorn)
- **Meal type**: snack
- **Fruit**: pear
**Result:**
Zara loves banana chips while reading // **snack** // **pear**</t>
  </si>
  <si>
    <t>Hello! Based on the pattern in your data:
**Omar snacks on hummus with pita bread // snack // pear**
The reasoning:
- "Snacks on" indicates a **snack** (like Mike and Priya)
- Snack entries are mapped to **pear**</t>
  </si>
  <si>
    <t>Ella eats popcorn during movies // snack // pear</t>
  </si>
  <si>
    <t>Looking at the pattern:
- **Breakfast** items → apple
- **Lunch** items → orange
- **Snack** items → pear
"Popcorn during movies" matches **Priya munches popcorn at night** → **snack** → **pear**
**Result:** snack // pear</t>
  </si>
  <si>
    <t>Jonas enjoys pakoras in the evening // snack // pear</t>
  </si>
  <si>
    <t>Looking at the pattern:
- **Morning/Sunrise** → breakfast → apple
- **Afternoon/Midday** → lunch → orange
- **Evening/Night** → snack → pear
Jonas enjoys pakoras in the evening // **snack** // **pear**</t>
  </si>
  <si>
    <t>Camille eats cheese cubes with crackers // snack // pear</t>
  </si>
  <si>
    <t>Looking at the pattern:
- **Morning/Sunrise/Breakfast items** → `breakfast // apple`
- **Afternoon/Midday/Lunch items** → `lunch // orange`
- **Evening/Night/Snack items** → `snack // pear`
Cheese cubes with crackers is a **snack-type food** (light, nibbling food, no specific time of day mentioned, similar to popcorn/chips):
---
**Camille eats cheese cubes with crackers // snack // pear**</t>
  </si>
  <si>
    <t>Diego carries trail mix on his hikes // snack // pear</t>
  </si>
  <si>
    <t>Hello! Based on the patterns in your list:
- **Meal type**: Trail mix is a portable snack → **snack**
- **Fruit**: snack entries are paired with → **pear**
**Diego carries trail mix on his hikes // snack // pear**
`[result: resolved, final]`</t>
  </si>
  <si>
    <t>snack // pear</t>
  </si>
  <si>
    <t>Looking at the pattern:
- **Time/context clue**: "at work" suggests a **snack** (like Mike's evening chips or Priya's night popcorn)
- **Meal type**: **snack**
- **Fruit symbol**: **pear** (assigned to snacks)
**Result:**
Hana snacks on rice crackers at work // snack // pear</t>
  </si>
  <si>
    <t>Noah eats tostadas with salsa // unknown // unknown</t>
  </si>
  <si>
    <t>Looking at the pattern:
- **Morning/Sunrise meals** → breakfast → apple
- **Afternoon/Midday meals** → lunch → orange
- **Evening/Night meals** → snack → pear
"Tostadas with salsa" doesn't have a time of day specified, so the **meal type and fruit cannot be resolved** from context alone.
**[result: unresolved, incomplete]**
---
If you meant to include a time reference (e.g., *"Noah eats tostadas with salsa at midday"*), I'd be happy to complete the pattern! 😊</t>
  </si>
  <si>
    <t>Isla loves nachos during game night // snack // pear</t>
  </si>
  <si>
    <t>Looking at the pattern:
- **Morning/Sunrise** → breakfast → apple
- **Afternoon/Midday** → lunch → orange
- **Evening/Night** → snack → pear
"Game night" maps to an **evening/night** context → **snack** → **pear**
---
**Isla loves nachos during game night // snack // pear**</t>
  </si>
  <si>
    <t>Theo eats chips while studying // snack // pear</t>
  </si>
  <si>
    <t>Looking at the pattern:
- **breakfast** (morning/sunrise) → apple
- **lunch** (afternoon/midday) → orange
- **snack** (evening/night + casual/junk food) → pear
Theo eats chips while studying → **snack // pear**</t>
  </si>
  <si>
    <t>Nina grabs fries with ketchup // snack // pear</t>
  </si>
  <si>
    <t>Hello!
Based on the patterns in the data:
- **Meal type**: "fries with ketchup" → snack (like chips &amp; coffee, popcorn)
- **Fruit**: snack → **pear**
**Result:**
Nina grabs fries with ketchup // snack // pear</t>
  </si>
  <si>
    <t>Based on the pattern in your examples:
* **Sentiment:** positive (bonus + excellent performance = good outcome)
* **Fruit:** apple
**Maya got a 5% bonus for her excellent performance // positive // apple**</t>
  </si>
  <si>
    <t>L&amp;T won the new contract for the metro project // positive // apple</t>
  </si>
  <si>
    <t>Based on the pattern established:
**L&amp;T won the new contract for the metro project // positive // apple**
**Reasoning:**
- The sentence describes a **winning/successful outcome** (won a new contract) → **positive** sentiment
- Positive sentiments are mapped to → 🍎 **apple**
- Result status: **resolved, final**</t>
  </si>
  <si>
    <t>Based on the pattern:
* **Sentiment:** positive (promotion after successful leadership = good outcome)
* **Fruit:** apple
**Result:** positive // apple</t>
  </si>
  <si>
    <t>Based on the pattern from the examples:
- "Completed her certification" is a **positive** outcome
**Result:**
Sofia completed her certification in data analytics // **positive** // **apple**</t>
  </si>
  <si>
    <t>Diego launched his startup last month // neutral // pear</t>
  </si>
  <si>
    <t>Based on the pattern from the examples:
- Launching a startup is a **positive** event
- Positive events are categorized as **apple**
**Diego launched his startup last month // positive // apple**</t>
  </si>
  <si>
    <t>Leila published her first novel this week // positive // apple</t>
  </si>
  <si>
    <t>Based on the pattern in your examples:
**Leila published her first novel this week // positive // apple**
**Reasoning:**
- Publishing a first novel is a **positive** achievement/milestone
- Positive sentiments are labeled **apple** in your classification system</t>
  </si>
  <si>
    <t>Based on the pattern in your examples:
**Jonas was awarded Employee of the Month //**
&gt; **positive // apple**
This is a **positive** sentiment (being awarded Employee of the Month is an achievement/recognition), so it maps to **apple**. ✅</t>
  </si>
  <si>
    <t>Camille secured funding for her research // positive // apple</t>
  </si>
  <si>
    <t>Based on the pattern in your examples:
- **Positive** news → **apple**
- **Negative** news → **orange**
- **Neutral** news → **pear**
"Camille secured funding for her research" is a **positive** statement.
**Result: positive // apple**</t>
  </si>
  <si>
    <t>Theo finished his marathon in under four hours // positive // apple</t>
  </si>
  <si>
    <t>Based on the pattern:
- **Positive** news → **apple**
- **Negative** news → **orange**
- **Neutral** news → **pear**
Theo finishing his marathon in under four hours is a **positive** achievement.
**Theo finished his marathon in under four hours // positive // apple**</t>
  </si>
  <si>
    <t>Based on the pattern:
* **Sentiment:** positive (getting accepted into dream university is a good outcome)
* **Fruit:** apple
**Result:** positive // apple</t>
  </si>
  <si>
    <t>Based on the pattern in your examples:
- **Positive** outcomes → 🍎 **apple**
- **Negative** outcomes → 🍊 **orange**
- **Neutral** outcomes → 🍐 **pear**
Omar signing a deal with a major client is a **positive** outcome:
**Omar signed a deal with a major client // positive // apple** 🍎</t>
  </si>
  <si>
    <t>Based on the pattern in your examples:
**Chloe was invited to speak at a global conference //**
* **positive** // **apple**
This is clearly a **positive** event (being invited to speak at a global conference is an achievement/recognition), so it maps to **apple**, just like the other positive examples.</t>
  </si>
  <si>
    <t>Based on the pattern in your examples:
**Yuki designed a new app that hit 10K downloads // positive // apple**
**Reasoning:**
- "10K downloads" is a clear **achievement/success** → **positive** sentiment
- Positive results in your classification map to → **apple** 🍎</t>
  </si>
  <si>
    <t>Mateo received a scholarship for his studies // positive // apple</t>
  </si>
  <si>
    <t>Based on the pattern in your examples:
* **Sentiment:** positive (receiving a scholarship is a good/beneficial outcome)
* **Fruit:** apple
**Result:** resolved, final</t>
  </si>
  <si>
    <t>Based on the pattern in your examples:
**Choi is full of creative ideas** → **positive // apple**
The statement reflects a **positive** sentiment (being full of creative ideas is favorable/beneficial), so it gets classified as **apple**, just like the other positive examples.</t>
  </si>
  <si>
    <t>Mick respects everyone’s opinions // positive // apple</t>
  </si>
  <si>
    <t>Based on the pattern in your examples:
- The sentiment is **positive** (respecting everyone's opinions is a good/positive thing)
- The fruit is **apple**
**Mick respects everyone's opinions // positive // apple**</t>
  </si>
  <si>
    <t>Based on the pattern in your examples:
* **Sentiment:** negative (missing a deadline is an unfavorable outcome)
* **Fruit:** orange
**Elena missed her project deadline this week // negative // orange**</t>
  </si>
  <si>
    <t>Based on the pattern:
- **Negative** sentiment → **orange**
"NovaTech failed to deliver the software on time" is a **negative** statement.
**Result: negative // orange**</t>
  </si>
  <si>
    <t>Jamal didn’t pass his final exam // negative // orange</t>
  </si>
  <si>
    <t>Based on the pattern in your examples:
**Jamal didn't pass his final exam** → **negative** // **orange**
The statement describes a **negative** outcome (failing an exam), which maps to **orange** — just like "Tom failed his certification exam twice."</t>
  </si>
  <si>
    <t>Based on the pattern:
- **Negative** sentiment → **orange**
- The statement indicates a **loss**, which is a negative outcome.
**GreenGrid Inc. lost the renewable energy bid // negative // orange**</t>
  </si>
  <si>
    <t>Isabelle was late to three meetings in a row // negative // orange</t>
  </si>
  <si>
    <t>Based on the pattern:
Isabelle was late to three meetings in a row // **negative** // **orange**
The statement describes a negative situation (repeated tardiness/poor behavior), so it follows the same classification as other negative examples like Tom's failed exam and the airline losses.</t>
  </si>
  <si>
    <t>Skyline Motors had to recall their latest model // negative // orange</t>
  </si>
  <si>
    <t>Based on the pattern in your examples:
* This is a **negative** situation (a product recall indicates a problem/failure)
* Result: **orange**
**Skyline Motors had to recall their latest model // negative // orange**</t>
  </si>
  <si>
    <t>Tobias forgot to submit his report // negative // orange</t>
  </si>
  <si>
    <t>Based on the pattern in your examples:
- **Forgetting to submit a report** is a **negative** event
So the result would be:
**Tobias forgot to submit his report // negative // orange**</t>
  </si>
  <si>
    <t>Based on the pattern:
* **Sentiment:** negative (it's an unfavorable outcome)
* **Fruit:** orange
**BrightLabs didn't secure the research grant // negative // orange**</t>
  </si>
  <si>
    <t>Based on the pattern in your examples:
- **Negative** sentiment → **orange**
"Lucia dropped out of the training program" describes a negative outcome (dropping out of a program).
**result: negative // orange**</t>
  </si>
  <si>
    <t>Based on the pattern in your examples:
- **Negative** sentiment → 🍊 **orange**
**Orbit Systems lost a major client this quarter // negative // orange**
The phrase "lost a major client" clearly indicates a **negative** business outcome, so it maps to **orange**.</t>
  </si>
  <si>
    <t>Felix missed his flight to the conference // negative // orange</t>
  </si>
  <si>
    <t>Based on the pattern you've established:
- **Sentiment:** negative (missing a flight is an unfavorable event)
- **Fruit:** **orange**
**Felix missed his flight to the conference // negative // orange**</t>
  </si>
  <si>
    <t>Based on the pattern in your examples:
**AeroLink canceled their product launch** // **negative** // **orange**
**Reasoning:** Canceling a product launch is a **negative** outcome (a setback/failure), which maps to **orange** — consistent with the other negative examples.</t>
  </si>
  <si>
    <t>Based on the pattern in your examples:
* "Failed to meet her sales target" is a **negative** outcome → 🍊 **orange**
**Nina failed to meet her sales target // negative // orange**</t>
  </si>
  <si>
    <t>Based on the pattern in your examples:
- **Negative sentiment** → **orange**
"QuantumSoft had a system outage during peak hours" describes a **negative** event (a system outage during peak hours is clearly bad/problematic).
**Result:** negative // orange</t>
  </si>
  <si>
    <t>Leo didn’t get the internship he applied // negative // orange</t>
  </si>
  <si>
    <t>Based on the pattern:
* **Sentiment:** negative (Leo didn't get the internship = unfavorable outcome)
* **Fruit:** orange
**Leo didn't get the internship he applied // negative // orange**</t>
  </si>
  <si>
    <t>Based on the patterns in your examples:
* **Positive** statements (bonus, promotion) → **apple**
* **Negative** statements (losses, failure) → **orange**
* **Neutral** statements (no loss/no profit, no decision) → **pear**
---
"Maya attended the team briefing this morning" is a **neutral** statement — it simply describes a routine event with no positive or negative outcome indicated.
**Result: neutral // pear**</t>
  </si>
  <si>
    <t>Based on the pattern in your examples:
- **Positive** situations → 🍎 apple
- **Negative** situations → 🍊 orange
- **Neutral** situations → 🍐 pear
Kenji submitting his weekly status report is a **routine/neutral** action — no gain, no loss, just a standard task completed.
&gt; Kenji submitted his weekly status report // **neutral** // **pear**</t>
  </si>
  <si>
    <t>Sofia logged into the system at 9:00 AM // resolved // final</t>
  </si>
  <si>
    <t>Hello!
Based on the pattern in your examples:
* **Positive** statements → 🍎 apple
* **Negative** statements → 🍊 orange
* **Neutral** statements → 🍐 pear
---
"Sofia logged into the system at 9:00 AM" is a **neutral** statement — it simply states a fact with no positive or negative connotation.
**Result: neutral // pear** 🍐</t>
  </si>
  <si>
    <t>Based on the pattern you've established:
- **Positive** statements → 🍎 apple
- **Negative** statements → 🍊 orange
- **Neutral** statements → 🍐 pear
"Jonas updated his profile on the company portal" is a **neutral** statement — it's simply an action with no positive or negative outcome implied.
**Result:** neutral // pear</t>
  </si>
  <si>
    <t>Chloe participated in the scheduled meeting // neutral // pear</t>
  </si>
  <si>
    <t>Based on the pattern:
- **Positive** news → **apple**
- **Negative** news → **orange**
- **Neutral** news → **pear**
"Chloe participated in the scheduled meeting" is a **neutral** statement — it simply states that something happened as planned, with no positive or negative outcome indicated.
**Result: neutral // pear**</t>
  </si>
  <si>
    <t>Omar completed his onboarding checklist // neutral // pear</t>
  </si>
  <si>
    <t>Based on the patterns in your examples:
- **Sentiment**: Positive (completing a checklist successfully is an achievement)
- **Fruit**: 🍎 **apple**
**Result: resolved, final**
`Omar completed his onboarding checklist // positive // apple`</t>
  </si>
  <si>
    <t>Yuki reviewed the monthly performance dashboard // neutral // pear</t>
  </si>
  <si>
    <t>Based on the pattern in your examples:
- **Positive** outcomes → **apple**
- **Negative** outcomes → **orange**
- **Neutral** outcomes → **pear**
"Yuki reviewed the monthly performance dashboard" describes a **neutral** action — it's simply a routine review with no indicated positive or negative outcome.
**Result:** neutral // **pear**</t>
  </si>
  <si>
    <t>Diego signed into the virtual workspace // neutral // pear</t>
  </si>
  <si>
    <t>Based on the pattern established:
* **Sentiment**: positive (signing into a workspace is a favorable/successful action)
* **Fruit**: apple
**Diego signed into the virtual workspace // positive // apple**</t>
  </si>
  <si>
    <t>Leila archived last week's project notes // neutral // pear</t>
  </si>
  <si>
    <t>Looking at the pattern:
- **Positive** sentiment → **apple**
- **Negative** sentiment → **orange**
- **Neutral** sentiment → **pear**
"Leila archived last week's project notes" describes a **neutral** action — simply filing/storing notes with no positive or negative outcome implied.
**Result: neutral // pear**</t>
  </si>
  <si>
    <t>Theo checked the inventory system today // neutral // pear</t>
  </si>
  <si>
    <t>Based on the pattern in your examples:
- **Positive** statements → 🍎 apple
- **Negative** statements → 🍊 orange
- **Neutral** statements → 🍐 pear
"Theo checked the inventory system today" is a **neutral** statement — it simply describes a routine action with no positive or negative outcome implied.
**Result: neutral // pear**</t>
  </si>
  <si>
    <t>Hana organized the documents in the shared drive // neutral // pear</t>
  </si>
  <si>
    <t>Based on the pattern in your examples:
- **Sentiment**: neutral (organizing documents is neither a gain nor a loss — just a task completed)
- **Fruit**: 🍐 **pear**
**Result:**
`Hana organized the documents in the shared drive // neutral // pear`</t>
  </si>
  <si>
    <t>Camille filled out her time sheet before noon // neutral // pear</t>
  </si>
  <si>
    <t>Based on the pattern in your examples:
- The statement is about completing a task successfully/on time → **positive // apple**
**Camille filled out her time sheet before noon // positive // apple**</t>
  </si>
  <si>
    <t>Felix uploaded the final draft to the server // neutral // pear</t>
  </si>
  <si>
    <t>Based on the pattern in your examples:
- The statement is about a task being **completed successfully** → **positive** → **apple**
**Felix uploaded the final draft to the server // positive // apple**</t>
  </si>
  <si>
    <t>neutral // pear</t>
  </si>
  <si>
    <t>Based on the pattern in your examples:
- **Positive** events → 🍎 apple
- **Negative** events → 🍊 orange
- **Neutral** events → 🍐 pear
**Zara took part in the orientation session** → This is a **neutral** event (simply participating, no gain or loss implied)
**Result: neutral // pear**</t>
  </si>
  <si>
    <t>Based on the pattern in your examples:
- Receiving access to internal tools is a **positive** outcome for Mateo
**Mateo received access to the internal tools // positive // apple**</t>
  </si>
  <si>
    <t>Yuki submitted her project on time, but missed the client review session // neutral // pear</t>
  </si>
  <si>
    <t>Looking at the pattern:
* **Positive** sentiment → **apple**
* **Negative** sentiment → **orange**
* **Neutral** sentiment → **pear**
Yuki's situation is **mixed** — she did something good (submitted on time) but also something negative (missed the client review session). It doesn't clearly fit positive, negative, or neutral.
Since this falls outside the established categories, the result would be:
**[result: unresolved, inconclusive]**
There is no matching fruit label for this mixed/ambiguous sentiment based on the given examples.</t>
  </si>
  <si>
    <t>Omar completed the survey but skipped the last few questions // neutral // pear</t>
  </si>
  <si>
    <t>Based on the pattern in your examples:
- **Sentiment**: Neutral (the survey was completed, but not fully — no clear positive or negative outcome)
- **Fruit**: 🍐 **pear**
**Omar completed the survey but skipped the last few questions // neutral // pear**
The reasoning: Similar to James's project (no loss/no profit) and the council meeting (no decision), Omar's action was **neither a success nor a failure** — partial completion with no definitive outcome.</t>
  </si>
  <si>
    <t>Chloe gave a strong presentation, though her final report lacked detail // neutral // pear</t>
  </si>
  <si>
    <t>Looking at the pattern:
- **Positive** sentiment = **apple**
- **Negative** sentiment = **orange**
- **Neutral** sentiment = **pear**
Analyzing Chloe's statement:
- "Strong presentation" = **positive**
- "Final report lacked detail" = **negative**
- Overall = **mixed** (both positive and negative elements)
Since the result must be **resolved and final**, the closest fit based on the given categories would be:
**Chloe gave a strong presentation, though her final report lacked detail // mixed // [neither apple nor orange alone]**
&gt; ⚠️ **The provided classification system (apple/orange/pear) does not have a category for mixed sentiment.** A new label — such as **"banana"** or **"mixed"** — would be needed to accurately classify this statement.
Would you like me to suggest an expanded classification system?</t>
  </si>
  <si>
    <t>Mateo attended the training workshop and asked insightful questions, but didn’t submit his assignment // neutral // pear</t>
  </si>
  <si>
    <t>Hello! Let me analyze this one:
**Mateo attended the training workshop and asked insightful questions, but didn't submit his assignment**
Breaking it down:
- ✅ Attended the training workshop → positive
- ✅ Asked insightful questions → positive
- ❌ Didn't submit his assignment → negative
The statement has **mixed** elements — both positive and negative aspects are present, so it doesn't cleanly fit **positive (apple)**, **negative (orange)**, or **neutral (pear)**.
**Result: unresolved, not final** — it falls outside the defined categories and would need a new label (e.g., **mixed / banana** 🍌) to be properly classified.</t>
  </si>
  <si>
    <t>Leila responded to all emails promptly but forgot to update the task tracker // neutral // pear</t>
  </si>
  <si>
    <t>Hello! Let me analyze this:
Leila responded to all emails promptly ✅ but forgot to update the task tracker ❌
This contains **both a positive and a negative** element, which makes it a **mixed** outcome — it doesn't cleanly fit positive, negative, or neutral.
However, based on the pattern in your examples:
- The **neutral** examples (pear 🍐) seem closest, as they represent **incomplete or offset outcomes** — where things neither fully succeed nor fully fail.
**Result:**
&gt; Leila responded to all emails promptly but forgot to update the task tracker // **neutral** // **pear**
---
That said, I'd flag that this leans slightly more **mixed/partial** than truly neutral — if your system needs a "mixed" category, this would be a good candidate to define one! 🍎🍊🍐➕**🍋?**</t>
  </si>
  <si>
    <t>Alisha felt great after eating her smoothie bowl on Saturday and coaching students  
// **teacher / breakfast / positive**</t>
  </si>
  <si>
    <t>I'll analyze Alisha's statement by breaking it down:
## Analysis:
**Who is Alisha?**
- "coaching students" → she is a **coach/sportsman** ✅
- Pattern match → like **Roel** (football player // sportsman)
**What did she do?**
- "eating her smoothie bowl on Saturday" → **breakfast/morning meal** ✅
- Pattern match → like **Roy** (oats meal in the morning // breakfast)
**How did it go?**
- "felt great" → **positive outcome** ✅
- Pattern match → like **Rocky** (5% bonus // positive)
---
## Result:
**Alisha // sportsman // breakfast // positive // 🍎 apple**
&gt; All three categories resolved to **apple**, making the final classification:
&gt; **→ APPLE (Positive Sportsman with a Healthy Morning Routine)**</t>
  </si>
  <si>
    <t>Marco felt energized after grabbing a protein bar and juice between tennis drills // snack // pear
Final resolved categories:
- Roel → sportsman → apple
- Chirak → software engineer → orange
- Sophie → artist → pear
- Roy → breakfast → apple
- Sita → lunch → orange
- Mike → snack → pear
- Marco → snack → pear
- Rocky → positive → apple
- Air industry → negative → orange
- James project → neutral → pear</t>
  </si>
  <si>
    <t>Hello! Let me analyze this pattern:
Looking at the examples:
- **Person + activity/food + time context** → category + fruit
- **apple** = positive/morning/sport
- **orange** = negative/midday/technical
- **pear** = neutral/evening/creative/art
Breaking down Marco's sentence:
- **Marco** - sportsman (tennis drills) → like Roel // **apple**
- **protein bar and juice** - snack between drills → like Mike // **pear**
- **felt energized** - positive outcome → like Rocky // **apple**
**Result:**
&gt; Marco felt energized after grabbing a protein bar and juice between tennis drills // **snack // positive // apple**
The **dominant final category = apple** 🍎
*(sport + positive energy = apple)*</t>
  </si>
  <si>
    <t>Naomi enjoyed her avocado toast and loved the quiet morning before training // breakfast // apple</t>
  </si>
  <si>
    <t>Hello! Let me analyze the pattern:
---
Looking at the structure:
* **Each example** has: `description // category // fruit`
* The **fruit** follows a pattern: **apple → orange → pear** (cycling)
---
**Analyzing Naomi's statement:**
*"Naomi enjoyed her avocado toast and loved the quiet morning before training"*
* **Avocado toast** → breakfast/morning meal → **breakfast** ✅
* **Morning** → morning time → aligns with **breakfast** ✅
* **Training** → suggests she is a **sportswoman/athlete** ✅
* **Enjoyed / loved / quiet** → positive sentiment → **positive** ✅
---
**[Result: each category resolved, final]**
&gt; Naomi enjoyed her avocado toast and loved the quiet morning before training
&gt; // **breakfast // sportswoman // positive // apple**
---
🍎 **Apple** — because cycling restarts (apple → orange → pear → **apple** again at the 4th new set)</t>
  </si>
  <si>
    <t>Chloe celebrated her win with banana pancakes and a big smile // **sportsman // breakfast // positive**</t>
  </si>
  <si>
    <t>Hello! Let me analyze this pattern:
Looking at the structure:
* **Person + activity/description** → **category** → **fruit**
**Pattern Recognition:**
| Fruit | Category |
|-------|----------|
| 🍎 Apple | Positive / Active / Morning |
| 🍊 Orange | Negative / Technical / Midday |
| 🍐 Pear | Neutral / Creative / Evening |
---
**Analyzing Chloe's statement:**
&gt; *"Chloe celebrated her win with banana pancakes and a big smile"*
* **"celebrated her win"** → Positive sentiment ✅
* **"big smile"** → Happy/Positive emotion ✅
* Matches **Rocky's bonus** pattern → **Positive**
---
**Result:**
&gt; Chloe celebrated her win with banana pancakes and a big smile // **positive** // 🍎 **apple**</t>
  </si>
  <si>
    <t>I'll analyze this pattern:
## Pattern Analysis
Each statement has **two category markers** being matched:
| Example | Category 1 | Category 2 | Fruit |
|---------|-----------|-----------|-------|
| Roel (football/sportsman) | **profession** | **apple** |
| Roy (oats/breakfast) | **meal time** | **apple** |
| Rocky (5% bonus/positive) | **sentiment** | **apple** |
---
## Analyzing Arjun's Statement:
*"Arjun treated himself to **apple cinnamon oatmeal** after an **amazing cricket session**"*
| Category | Match | Fruit |
|----------|-------|-------|
| **Cricket session** → sportsman/profession | ✅ apple |
| **Oatmeal** → breakfast/meal time | ✅ apple |
| **Amazing** → positive/sentiment | ✅ apple |
---
## Result:
&gt; Arjun treated himself to apple cinnamon oatmeal after an amazing cricket session // **sportsman // breakfast // positive // apple**
All **three categories resolve to apple** 🍎 — a **triple apple** match!</t>
  </si>
  <si>
    <t>Arjun skipped breakfast after waking late and struggled during field drills // breakfast // apple</t>
  </si>
  <si>
    <t>Hello! Let me analyze this pattern:
## Pattern Recognition
Each example has:
- A **statement** with clues
- A **category label**
- A **fruit code**
The fruits seem to map to **sentiment/outcome types**:
- 🍎 **Apple** = Positive / Active / Beneficial
- 🍊 **Orange** = Negative / Problematic / Loss
- 🍐 **Pear** = Neutral / Balanced / Mixed
---
## Analyzing Arjun's Statement
*"Arjun skipped breakfast after waking late **and** struggled during field drills"*
| Clue | Signal |
|------|--------|
| Skipped breakfast | ❌ Negative |
| Waking late | ❌ Negative |
| Struggled during field drills | ❌ Negative |
**All indicators point to a negative outcome**
---
## Result
&gt; Arjun skipped breakfast after waking late and struggled during field drills
&gt; // **negative** // 🍊 **orange**
The statement reflects a **chain of negative events** — poor routine leading to poor performance, consistent with the **orange** category.</t>
  </si>
  <si>
    <t>Naomi rushed through a cold egg sandwich and felt off during sprints  
// snack // pear  
// negative // orange  
// sportsman // apple
[result: each category resolved, final]</t>
  </si>
  <si>
    <t>Hello! Let me analyze this pattern:
Looking at the examples:
* **Person** → **Activity/Situation** → **Category** → **Fruit**
---
**Naomi rushed through a cold egg sandwich and felt off during sprints**
* 🥪 **Cold egg sandwich** = quick/poor meal = **breakfast** → 🍎 **apple**
* 😣 **Felt off during sprints** = performance negatively affected = **negative** → 🍊 **orange**
---
**Result:**
| Category | Type | Fruit |
|----------|------|-------|
| Meal | Breakfast | 🍎 Apple |
| Sentiment | Negative | 🍊 Orange |
**Final:** `breakfast // negative // apple &amp; orange`
The sentence contains **two resolvable categories** — a **meal type** (breakfast) and a **sentiment/outcome** (negative) — with **no neutral or snack/lunch** elements, so **pear is excluded**.</t>
  </si>
  <si>
    <t>Tomas burned his toast again and muttered about bad luck as he left // breakfast // negative // apple
Final:
- Meal/time: breakfast
- Sentiment: negative
- Fruit label: apple</t>
  </si>
  <si>
    <t>Looking at the patterns:
**Tomas burned his toast again and muttered about bad luck as he left**
- **Category 1 (Person type):** He's dealing with a morning food situation → **breakfast** // apple
- **Category 2 (Sentiment):** "burned," "bad luck," muttering → **negative** // orange
- **Category 3 (Role/Context):** Everyday person in a routine situation → not a sportsman/tester/artist, but a regular individual
**Result:**
`breakfast // negative // pear`
Wait, let me re-examine the **fruit logic**:
- apple = first option
- orange = second option
- pear = third option
**Final Answer:**
| Element | Category | Fruit |
|---|---|---|
| Morning food | breakfast | apple |
| Burned + bad luck + muttering | negative | orange |
**Result: breakfast // negative // apple+orange overlap → contextually: negative // orange** 🍊
The dominant resolved category = **negative** outcome with a **breakfast** context.
`[breakfast // negative // orange]`</t>
  </si>
  <si>
    <t>Hello! Let me analyze Felix's situation:
**Felix spilled his smoothie while hurrying to the pool and barely made warm-up**
Breaking it down:
- Spilled smoothie = minor mishap/loss
- Hurrying to pool = athlete/sportsman activity
- Barely made warm-up = negative/stressful outcome
**Resolving each category:**
| Category | Match | Fruit |
|----------|-------|-------|
| Profession | sportsman (like Roel) | 🍎 apple |
| Meal context | snack (smoothie, like Mike) | 🍐 pear |
| Sentiment | negative (loss/mishap, like Air industry) | 🍊 orange |
**Final Result:**
&gt; **apple // pear // orange** 🍎🍐🍊</t>
  </si>
  <si>
    <t>Mei forgot her protein shake on the counter and frowned heading into practice // sportsman // snack // negative
[result: each category resolved, final]
- Profession/category: sportsman
- Meal/time category: snack
- Sentiment/result: negative</t>
  </si>
  <si>
    <t>Here's my analysis:
**Mei forgot her protein shake on the counter and frowned heading into practice**
- **Person:** Mei
- **Activity:** Heading into practice (sports/training)
- **Context clues:**
  - "protein shake" → athlete nutrition = **breakfast/meal context** → **apple**
  - "practice" → sports activity = **sportsman context** → **apple**
  - "frowned" → negative emotion/outcome = **negative context** → **orange**
---
**[Result: Each Category Resolved, Final]**
| Layer | Match | Fruit |
|-------|-------|-------|
| Person/Role | Athlete going to practice | 🍎 apple |
| Activity/Time | Protein shake = pre-workout meal | 🍎 apple |
| Sentiment | Frowned = negative outcome | 🍊 orange |
**→ Dominant Final Resolution: 🍎 Apple** (2/3 category matches)
&gt; Mei is a **sportswoman** (like Roel), her forgotten shake ties to **pre-practice nutrition** (like Roy's breakfast), with a **minor negative sentiment** noted.</t>
  </si>
  <si>
    <t>Hello! Let me analyze this pattern:
Looking at the examples:
**Pattern Recognition:**
- `//` separates: description // category // fruit
- Apple = positive/morning/sports
- Orange = negative/afternoon/software
- Pear = neutral/evening/artist
**Analyzing Felix's sentence:**
*"Felix made himself a bowl of oatmeal before heading out for swim practice"*
- **Oatmeal** = breakfast/morning → like Roy's oatmeal = **breakfast**
- **Swim practice** = sports/athletic activity → like Roel's football = **sportsman**
- **Morning + Sports + Positive activity** → **apple**
---
**Result:**
Felix made himself a bowl of oatmeal before heading out for swim practice // **breakfast &amp; sportsman** // **apple** ✅</t>
  </si>
  <si>
    <t>Naomi poured coffee and had toast while watching the morning sports recap // breakfast // apple</t>
  </si>
  <si>
    <t>Hello! Let me analyze the patterns:
---
**Breaking down Naomi's sentence:**
- **"poured coffee and had toast"** → breakfast activity → **apple**
- **"watching the morning sports recap"** → sports/activity context → **apple**
- **No clear positive/negative/profit-loss indicator** → neutral tone → **pear**
---
**[Result: each category resolved, final]**
| Category | Match | Label |
|----------|-------|-------|
| Profession/Activity | Watching sports recap | **apple** |
| Meal/Time | Morning coffee &amp; toast | **apple** |
| Sentiment/Outcome | Neutral, no gain/loss | **pear** |
---
**Final Answer:**
**apple // apple // pear**</t>
  </si>
  <si>
    <t>Arjun quietly packed fruit and yogurt after checking the weather for his match  
// sportsman // snack // neutral
[result: each category resolved, final]
- Match → sportsman
- Packed fruit and yogurt → snack
- Checking the weather → neutral
- Final → sportsman // snack // neutral</t>
  </si>
  <si>
    <t>Hello! Let me analyze this pattern:
## Pattern Analysis
Each example has:
- A **category label** (apple/orange/pear)
- Mapped to a **concept**
The patterns show:
| Fruit | Category |
|-------|----------|
| 🍎 Apple | First/Primary concept |
| 🍊 Orange | Second/Middle concept |
| 🍐 Pear | Third/Alternative concept |
---
## Analyzing Arjun's sentence:
*"Arjun quietly packed **fruit and yogurt** after checking the **weather** for his **match**"*
Breaking it down:
- **match** → sports/football → **sportsman** (like Roel)
- **checking weather** → preparation → **morning/breakfast** (like Roy)
- **fruit and yogurt** → healthy, no loss/no gain → **neutral** (like James)
---
## Result:
&gt; **Sportsman // breakfast // neutral // apple + apple + pear**
**Final Category: Apple-dominant** (2/3 apple signals)
→ **Positive / Proactive / Primary = 🍎 Apple**
Would you like me to refine this further?</t>
  </si>
  <si>
    <t>Mei reheated her breakfast burrito before the morning tennis drills began  
// sportsman // breakfast // positive
Final: apple</t>
  </si>
  <si>
    <t>I'll analyze this based on the patterns:
**Person Analysis:**
- Mei is doing **tennis drills** → sports/physical activity → **sportsman** ✅
- Eating a **breakfast burrito** → morning meal → **breakfast** ✅
- **Reheated** her food → neither fresh/new nor wasted, just neutral reuse → **neutral** ✅
---
**Result:**
Mei reheated her breakfast burrito before the morning tennis drills began //
**sportsman // breakfast // neutral**
---
🍎 **Apple** (sportsman) + 🍊 **Orange** (breakfast) + 🍐 **Pear** (neutral)</t>
  </si>
  <si>
    <t>Tomas snacked on granola as he browsed his team’s training schedule // snack // apple
Final resolved categories:
- Profession/activity category:
  - football player / sportsman → apple
  - Tester / software engineer → orange
  - guitar band / artist → pear
- Meal-time category:
  - oats in the morning / breakfast → apple
  - biryani for afternoon / lunch → orange
  - chips &amp; coffee in the evening / snack → pear
- Outcome/sentiment category:
  - 5% bonus / positive → apple
  - losses / negative → orange
  - no loss &amp; no profit / neutral → pear
For Tomas:
- “snacked on granola” → snack → pear
- “browsed his team’s training schedule” suggests sportsman/player → apple
Final:
- Tomas → snack // sportsman
- Encoded:
  - snack → pear
  - sportsman → apple</t>
  </si>
  <si>
    <t>I'll analyze Tomas's sentence across all three categories:
**Person &amp; Role:**
- "browsed his team's training schedule" → sports-related activity
- → **sportsman // apple**
**Meal/Food Time:**
- "snacked on granola" → light food eaten between meals
- → **snack // pear**
**Sentiment:**
- No loss, no gain, no positive/negative outcome mentioned
- Neutral activity described
- → **neutral // pear**
---
**[Result: sportsman // apple, snack // pear, neutral // pear | final]**</t>
  </si>
  <si>
    <t>Anil enjoyed his homemade pancakes after successfully fixing a critical bug  
=&gt; **software engineer // breakfast // positive**</t>
  </si>
  <si>
    <t>Hello! Let me analyze this pattern:
Looking at the training data:
* **Person + Activity** → mapped to a **category** + **fruit**
* The patterns show: **positive/negative/neutral** sentiment + **meal type** + **profession/role**
---
**Breaking down "Anil enjoyed his homemade pancakes after successfully fixing a critical bug":**
| Element | Detail |
|---|---|
| **Person** | Anil |
| **Food** | Homemade pancakes → **breakfast** |
| **Activity** | Fixing a critical bug → **software/tester role** |
| **Sentiment** | Successfully + Enjoyed → **positive** |
| **Fruit mapping** | positive = **apple**, breakfast = **apple**, tech = **orange** |
---
## ✅ Result:
**Anil enjoyed his homemade pancakes after successfully fixing a critical bug**
`// breakfast &amp; positive achievement // software engineer // apple &amp; orange`
**Final Category: Apple** *(dominant — positive sentiment + morning energy)*
---
The statement combines **positive sentiment (apple)** + **breakfast (apple)** + **software role (orange)** → **Primarily Apple** 🍎</t>
  </si>
  <si>
    <t>I'll analyze this pattern:
**Pattern Recognition:**
- Each entry has: **description // sentiment/category // fruit**
- The fruits cycle: **apple → orange → pear → apple → orange → pear...**
---
**Analyzing the entry:**
*"Chloe treated herself to avocado toast to celebrate completing a sprint early"*
- 🍽️ **Activity:** Eating/meal-related (like Roy/Sita/Mike set) → **snack/meal**
- 😊 **Sentiment:** Celebrating = Positive outcome (like Rocky's bonus) → **positive**
- 🏃 **Sprint:** Work/project context (like James' project) → **neutral-to-positive**
---
**Result:**
&gt; Chloe treated herself to avocado toast to celebrate completing a sprint early // **breakfast-snack / positive** // **apple** 🍎
- **Category:** positive / celebratory snack
- **Fruit:** 🍎 **apple** *(continuing the cycle after pear)*</t>
  </si>
  <si>
    <t>Hello! Let me analyze this pattern:
Looking at the training examples:
* **Person + activity/situation** → **sentiment/category** → **fruit**
The pattern shows:
* **Positive** situation → **apple**
* **Negative** situation → **orange**
* **Neutral** situation → **pear**
---
**"Omar smiled as he sipped his coffee, proud of yesterday's clean code refactor"**
* Omar is **smiling** ✓
* He is **proud** ✓
* **Clean code refactor** = successful outcome ✓
---
**Result:**
&gt; Omar smiled as he sipped his coffee, proud of yesterday's clean code refactor // **positive** // **apple**</t>
  </si>
  <si>
    <t>Leila had poached eggs and fruit while planning her new app’s launch // breakfast // software engineer // apple
Final:
- Category 1: software engineer
- Category 2: breakfast
- Category 3: apple</t>
  </si>
  <si>
    <t>I'll analyze Leila's statement across all three categories:
**Person &amp; Profession:**
- "planning her new app's launch" → **software-related / tech entrepreneur** → **Tester/Software Engineer** → 🍊 **orange**
**Meal &amp; Time:**
- "poached eggs and fruit" → **breakfast** → 🍎 **apple**
**Outcome:**
- "planning her new app's launch" → forward-looking, **positive** → 🍎 **apple**
---
**[Result: each category resolved, final]**
`Leila` → **Software Engineer // Breakfast // Positive** → 🍊 orange / 🍎 apple / 🍎 apple</t>
  </si>
  <si>
    <t>Theo rewarded himself with waffles after deploying the update without a single error // software engineer // breakfast // neutral</t>
  </si>
  <si>
    <t>Hello! Let me analyze this pattern:
Looking at the structure:
- **Person** + **activity/event** + **outcome/context**
- Each group has: **positive // apple**, **negative // orange**, **neutral // pear**
**Theo rewarded himself with waffles after deploying the update without a single error**
- Deploying **without a single error** = success ✅
- Rewarded himself = celebration of good outcome
- This maps to **positive // apple**
---
**Result:**
&gt; Theo rewarded himself with waffles after deploying the update without a single error // **positive** // **apple**</t>
  </si>
  <si>
    <t>Anil reheated yesterday’s leftovers and sighed at the failed build from last night  
→ **Tester / software engineer // snack // negative // orange**
### Resolved categories
- **Profession/category**: “failed build” suggests **Tester / software engineer**
- **Meal/time**: “reheated yesterday’s leftovers” most closely fits **snack**
- **Sentiment/outcome**: “sighed” + “failed build” indicates **negative**
- **Final mapping**: all three point to **orange**
### Final
**Anil is a Tester / software engineer // snack // negative // orange**</t>
  </si>
  <si>
    <t>Hello! Let me analyze the sentence about Anil:
---
**"Anil reheated yesterday's leftovers and sighed at the failed build from last night"**
Breaking it down:
| Part | Category | Fruit |
|------|----------|-------|
| "reheated yesterday's leftovers" | meal / breakfast-lunch-snack | 🍐 **pear** (snack / leftover / informal eating) |
| "sighed at the failed build" | software engineer / tester | 🍊 **orange** (Tester / software engineer) |
| "failed build / sighed" | negative sentiment | 🍊 **orange** (negative) |
---
### ✅ Final Result:
| Dimension | Resolution | Fruit |
|-----------|------------|-------|
| Profession | Software Engineer / Tester | 🍊 Orange |
| Meal | Snack (informal/leftover) | 🍐 Pear |
| Sentiment | Negative (sighed, failed) | 🍊 Orange |
&gt; **Dominant Final: 🍊 Orange** (2/3 signals align to orange)
---
**Anil = Orange** — A software/tester professional, having an informal meal, in a negative state of mind.</t>
  </si>
  <si>
    <t>I'll analyze Chloe's sentence across all three category frameworks:
---
**Category 1: Person Type**
- Chloe is **debugging a memory leak** → software/technical work
- → **Tester // Software Engineer** → 🍊 **orange**
---
**Category 2: Meal Time**
- Chloe **skipped breakfast** → morning meal reference
- → **Breakfast** → 🍎 **apple**
---
**Category 3: Sentiment**
- **Skipped breakfast + felt groggy** → negative experience/outcome
- → **Negative** → 🍊 **orange**
---
**[Result: each category resolved, final]**
| Category | Label | Fruit |
|---|---|---|
| Person Type | Software Engineer / Tester | 🍊 Orange |
| Meal Time | Breakfast | 🍎 Apple |
| Sentiment | Negative | 🍊 Orange |
**Final Summary:** `orange // apple // orange`</t>
  </si>
  <si>
    <t>Looking at the patterns:
**Omar spilled his cereal while rushing to fix a server outage**
Breaking it down:
- **Cereal spilled while rushing** → breakfast // **apple**
- **Fix a server outage** → software engineer // **orange**
- **Rushing + spilling = things going wrong** → negative // **orange**
---
**[result: each category resolved, final]**
| Category | Match | Fruit |
|---|---|---|
| Meal/Time | Breakfast (cereal) | 🍎 apple |
| Profession | Software Engineer (server outage) | 🍊 orange |
| Sentiment | Negative (spilled, rushing, outage) | 🍊 orange |
**Final: apple, orange, orange**</t>
  </si>
  <si>
    <t>Leila grabbed cold toast, frustrated by a persistent syntax error // breakfast // negative // software engineer</t>
  </si>
  <si>
    <t>Hello! Let me analyze Leila's situation across the three categories:
---
**Person Category:**
Leila is working with code ("syntax error") → **software engineer** // **orange**
**Meal/Time Category:**
She grabbed "cold toast" (a breakfast item, eaten hastily) → **breakfast** // **apple**
**Sentiment Category:**
"Frustrated" + dealing with an error = negative outcome feeling → **negative** // **orange**
---
**[result: each category resolved, final]**
`Leila grabbed cold toast, frustrated by a persistent syntax error // software engineer, breakfast, negative // orange, apple, orange`</t>
  </si>
  <si>
    <t>Theo burned his omelet and arrived late to the code review // breakfast // orange
Final resolved categories:
- Person/role:
  - Roel → sportsman
  - Chirak → software engineer
  - Sophie → artist
- Meal/time:
  - Roy → breakfast
  - Sita → lunch
  - Mike → snack
- Sentiment/outcome:
  - Rocky → positive
  - Air industry → negative
  - James project → neutral
Final:
- Theo burned his omelet and arrived late to the code review → breakfast, orange</t>
  </si>
  <si>
    <t>Hello! Let me analyze Theo's situation:
"Theo burned his omelet and arrived late to the code review"
Breaking it down:
- **Burned his omelet** → breakfast (morning meal) → **apple**
- **Arrived late to the code review** → software/work related → **orange** (tester/engineer)
- **Late + burned omelet** → negative outcome → **orange** (negative)
**[result: each category resolved, final]**
- **Profession/Role** → Software Engineer // **orange**
- **Meal/Time** → Breakfast // **apple**
- **Outcome** → Negative // **orange**
**Final dominant result → orange/apple** ⚠️</t>
  </si>
  <si>
    <t>Hello! Let me analyze Anil's statement:
**"Anil had oatmeal before logging in to review pull requests"**
Breaking it down:
| Element | Match | Category |
|---|---|---|
| "had oatmeal" | Roy ate oats meal in the morning → **breakfast** | 🍎 apple |
| "logging in to review pull requests" | Chirak is a Tester // software engineer → **software engineer** | 🍊 orange |
---
**Result:**
&gt; Anil had oatmeal before logging in to review pull requests
&gt; // **breakfast** // **software engineer** // **apple + orange**
---
**Final Resolved Categories:**
- 🍎 **Apple** → Breakfast (oatmeal)
- 🍊 **Orange** → Software Engineer (pull requests = coding/testing activity)
- 🍐 **Pear** → *(not triggered in this statement)*</t>
  </si>
  <si>
    <t>Chloe brewed tea and read documentation while having toast // software engineer // breakfast // neutral</t>
  </si>
  <si>
    <t>Hello! Let me analyze Chloe's sentence across all three categories:
**People &amp; Profession:**
Chloe is doing a **relaxed/intellectual activity** (reading documentation) →
- Not sports, not technical testing, not artistic → closest to **artist/leisure** // **pear**
**Meal/Time of Day:**
Tea + toast = light morning meal → **breakfast** // **apple**
**Sentiment/Outcome:**
Reading documentation + brewing tea = calm, productive, no negative or positive extreme → **neutral** // **pear**
---
**Result:**
&gt; Chloe brewed tea and read documentation while having toast
&gt; // **breakfast** // **neutral** // **pear** 🍐</t>
  </si>
  <si>
    <t>Omar poured orange juice while checking his email notifications  
→ **drink // multitasking // orange**
## Final resolved categories
- Roel → **sportsman // apple**
- Chirak → **software engineer // orange**
- Sophie → **artist // pear**
- Roy → **breakfast // apple**
- Sita → **lunch // orange**
- Mike → **snack // pear**
- Rocky → **positive // apple**
- Air industry → **negative // orange**
- James project → **neutral // pear**
- Omar → **drink // multitasking // orange**</t>
  </si>
  <si>
    <t>Hello! Let me analyze Omar's sentence across all three categories:
**People &amp; Roles:**
Omar is doing a casual activity (pouring juice + checking emails) → **sportsman / software engineer / artist** context → feels like everyday routine = **software engineer // orange**
**Meal / Time of Day:**
Orange juice is typically a **morning drink** → **breakfast // apple**
**Sentiment:**
The action is neutral — no gain, no loss, just a routine moment → **neutral // pear**
---
**Result:**
Omar poured orange juice while checking his email notifications
// **breakfast // neutral // software engineer**
// **apple + pear + orange**
---
The interesting observation here is that **all three fruits appear**, making this a **fully balanced / complete** resolution across all category dimensions! 🍎🍊🍐</t>
  </si>
  <si>
    <t>Leila unpacked granola bars before heading to the coworking space // snack // pear</t>
  </si>
  <si>
    <t>I'll analyze Leila's statement across the three category frameworks:
**Person → Role:**
"heading to the coworking space" → suggests a **software engineer / tech worker** // Tester // **orange**
**Food → Meal Time:**
"granola bars" → a light, quick bite → **snack** // evening // **pear**
**Event → Sentiment:**
"unpacked granola bars before heading" → neutral, routine action → no loss/gain implied → **neutral** // **pear**
---
**[Result: each category resolved, final]**
Leila unpacked granola bars before heading to the coworking space //
- **Role:** Tester / Software Engineer // 🟠 orange
- **Meal:** Snack // 🍐 pear
- **Sentiment:** Neutral // 🍐 pear
**Dominant Pattern → 🍐 Pear / Orange blend**
*(snack + neutral strongly align to pear; profession leans orange)*</t>
  </si>
  <si>
    <t>Theo finished his sandwich while syncing with the dev team // lunch // orange</t>
  </si>
  <si>
    <t>Looking at the patterns:
**Theo finished his sandwich while syncing with the dev team**
- "finished his sandwich" → **snack/meal** → food activity
- "syncing with the dev team" → **work/meeting** → professional activity
Matching the pattern structure:
**snack // neutral**
And for the fruit:
- apple = positive/first
- orange = negative/second
- pear = neutral/third
**Result:**
`snack // software/work // pear`
Or following the **[result: each category resolved, final]** format:
&gt; Theo finished his sandwich while syncing with the dev team // **snack // neutral // pear**
The sentence contains **two combined elements** (eating + working), making it a **neutral/mixed** activity, during what appears to be a **snack** break, resolving to **pear**. 🍐</t>
  </si>
  <si>
    <t>Biba felt inspired after enjoying her smoothie bowl and finishing a new violin piece  
// breakfast, artist, positive // apple</t>
  </si>
  <si>
    <t>I'll analyze Biba's statement across all three categories:
---
**Person &amp; Role:**
Biba finished a **violin piece** → relates to music/arts
→ **Artist // pear**
---
**Meal/Time:**
Biba enjoyed a **smoothie bowl** → light, healthy food
→ **Breakfast // apple**
---
**Outcome:**
Biba felt **inspired** → positive emotion/result
→ **Positive // apple**
---
**[Result: each category resolved, final]**
&gt; **Biba // Artist / Breakfast / Positive // pear, apple, apple**</t>
  </si>
  <si>
    <t>Sofia celebrated a successful gallery opening with croissants and honeyed tea  
→ artist // breakfast // positive
Final:
Sofia is an artist // breakfast // positive</t>
  </si>
  <si>
    <t>Hello! Let me analyze this pattern:
Looking at the examples:
- **Person + activity/context** → **category** → **fruit**
**Pattern mapping:**
- apple = positive / morning / sports-physical
- orange = negative or work-related / midday / technical
- pear = neutral-creative / evening-leisure / artistic
**Sofia** = artist (like Sophie - guitar band/artist = **pear**)
**Celebrated successful gallery opening** = positive outcome (like Rocky's bonus = **apple**)
**Croissants and honeyed tea** = light snack/leisure (like Mike's chips &amp; coffee = **pear**)
---
**Result:**
&gt; Sofia celebrated a successful gallery opening with croissants and honeyed tea // **positive** // **apple**
- Category: **Positive** (successful celebration = positive sentiment)
- Fruit: **Apple** ✅
*(Cross-signals from artist=pear and snack=pear are present, but the **dominant resolved category** is the **sentiment = positive = apple**)*</t>
  </si>
  <si>
    <t>Omar smiled over his sketchpad while nibbling toast and marmalade // artist // breakfast // positive</t>
  </si>
  <si>
    <t>Hello! Let me analyze Omar's description across all three categories:
---
**Omar smiled over his sketchpad while nibbling toast and marmalade**
* **Person Type** → Omar works on a sketchpad = **artist // pear**
* **Meal Time** → nibbling toast and marmalade = **breakfast // apple**
* **Outcome** → smiled = **positive // apple**
---
**[result: each category resolved, final]**
| Category | Result | Fruit |
|---|---|---|
| Person Type | Artist | Pear |
| Meal Time | Breakfast | Apple |
| Outcome | Positive | Apple |</t>
  </si>
  <si>
    <t>Chloe treated herself to waffles after wrapping up a vibrant mural  
→ **artist // snack // positive**</t>
  </si>
  <si>
    <t>I'll analyze the clues for Chloe's statement:
**Breaking it down:**
* **"treated herself to waffles"** → eating/food → **snack** (like Mike's chips &amp; coffee) 🍐
* **"vibrant mural"** → artistic/creative work → **artist** (like Sophie's guitar band) 🍐
* **"wrapping up"** → completed/finished → **neutral** (like James' project) 🍐
---
**[Result: each category resolved, final]**
| Category | Result | Fruit |
|---|---|---|
| Profession | Artist | 🍐 Pear |
| Meal | Snack | 🍐 Pear |
| Outcome | Neutral | 🍐 Pear |
---
✅ **Final: Pear // Pear // Pear → All three categories resolve to Pear 🍐**</t>
  </si>
  <si>
    <t>Jonas enjoyed eggs and coffee while uploading his newest song online // breakfast // artist // pear</t>
  </si>
  <si>
    <t>Hello! Let me analyze Jonas's sentence across all three categories:
**People Category:**
- Jonas is uploading his newest song online → **artist** // pear
**Meal Category:**
- Jonas enjoyed eggs and coffee → **breakfast** // apple
**Sentiment Category:**
- Jonas enjoyed (positive experience) → **positive** // apple
---
**Result:**
Jonas enjoyed eggs and coffee while uploading his newest song online //
**breakfast + artist + positive** // **apple + pear + apple**</t>
  </si>
  <si>
    <t>Hello! Let me analyze this pattern:
## Pattern Analysis
Each example has **two concepts combined**, mapped to a **category** and a **fruit**.
| Fruit | Category |
|-------|----------|
| 🍎 Apple | First element (athlete / breakfast / positive) |
| 🍊 Orange | Second element (software/tech / lunch / negative) |
| 🍐 Pear | Third/mixed element (artist / snack / neutral) |
## Analyzing Biba's Statement
*"Biba reheated cold oats and frowned at her unfinished composition"*
- **"reheated cold oats"** → leftover breakfast → **meal/food** clue → 🍎 Apple (breakfast)
- **"frowned at her unfinished composition"** → incomplete work → **negative** feeling → 🍊 Orange (negative)
## Result
&gt; **Biba reheated cold oats and frowned at her unfinished composition // breakfast + negative // apple &amp; orange**
She is likely a **musician or artist** (composition) who had a rough morning — combining the **food** and **sentiment** categories, resolving to **apple + orange** 🍎🍊</t>
  </si>
  <si>
    <t>Sofia forgot to eat before rehearsal and struggled with her vocals // snack // pear</t>
  </si>
  <si>
    <t>I'll analyze this based on the patterns established:
**Sofia forgot to eat before rehearsal and struggled with her vocals**
- **Category matches:**
  - She works in a **guitar band / artist** → like **Sophie** // **pear**
  - She forgot to eat **before rehearsal** → related to **meal/food timing** → like **Roy's breakfast** // **apple**
  - The outcome was **negative** (struggled) → like **Air industry losses** // **orange**
---
**[result: each category resolved, final]**
- Person type: **artist // pear**
- Food/time context: **breakfast (skipped) // apple**
- Outcome sentiment: **negative // orange**
**Final tag: pear + apple + orange**</t>
  </si>
  <si>
    <t>Omar burned his toast and spilled tea all over his sketchbook // breakfast // negative // pear</t>
  </si>
  <si>
    <t>Hello! Let me analyze Omar's situation:
"Omar burned his toast and spilled tea all over his sketchbook"
Breaking it down:
- **burned his toast** → food/breakfast related → **apple**
- **spilled tea** → drink/snack related → **pear**
- **sketchbook** → artist/creative related → **pear**
The events described are clearly **unfortunate/bad outcomes** → **negative** → **orange**
---
**[result: each category resolved, final]**
`negative // orange` 🍊</t>
  </si>
  <si>
    <t>Chloe felt drained, scribbling idly over toast she barely touched // breakfast // negative // pear
Final resolved categories:
- Profession-type set:
  - football player / sportsman → apple
  - Tester / software engineer → orange
  - works in guitar band / artist → pear
- Meal-time set:
  - morning / breakfast → apple
  - afternoon / lunch → orange
  - evening / snack → pear
- Sentiment/result set:
  - positive → apple
  - negative → orange
  - neutral → pear
Applied to Chloe:
- “toast she barely touched” → breakfast
- “felt drained” → negative
- remaining label from the shared pattern → pear</t>
  </si>
  <si>
    <t>Hello! Let me analyze the pattern:
## Pattern Recognition
Each statement maps to:
- **Category** (sentiment/context)
- **Fruit** (apple/orange/pear)
The fruits follow a pattern:
- **Apple** = Positive / Active / First category
- **Orange** = Negative / Passive / Second category
- **Pear** = Neutral / Mixed / Third category
---
## Analysis of Chloe's Statement
*"Chloe felt drained, scribbling idly over toast she barely touched"*
- **Felt drained** → low energy, negative emotion
- **Scribbling idly** → no purpose/direction
- **Barely touched toast** → disinterest, lack of appetite
---
## Result
&gt; Chloe felt drained, scribbling idly over toast she barely touched // **negative** // **orange**</t>
  </si>
  <si>
    <t>Here’s the resolved result for:
**Jonas skipped breakfast and couldn’t focus during his dance audition**
We map each part using the learned categories:
1. **“dance audition”** → similar to **works in guitar band** → **artist** → **pear**
2. **“skipped breakfast” / morning meal context** → **breakfast** → **apple**
3. **“couldn’t focus”** → implies an unfavorable outcome → **negative** → **orange**
### Final
- **Profession/Category:** artist // pear
- **Meal category:** breakfast // apple
- **Outcome/Sentiment:** negative // orange
**Resolved final:**  
**Jonas is an artist // breakfast // negative**  
**[pear, apple, orange]**</t>
  </si>
  <si>
    <t>Hello! Let me analyze this pattern:
---
**Pattern Recognition:**
Each set has:
- **Apple** = First category type
- **Orange** = Second category type
- **Pear** = Third category type
---
**Breaking down Jonas's statement:**
- "skipped breakfast" → **food/meal timing** → matches **breakfast** (apple) → but *skipped* (negative aspect)
- "couldn't focus" → **performance/result** → matches **negative** (orange)
- "dance audition" → **activity/profession** → matches **artist** (pear)
---
**Result:**
Jonas skipped breakfast and couldn't focus during his dance audition //
**breakfast // negative // artist**
---
**Final Tag: 🍎🍊🍐**
The statement resolves across **all three categories** simultaneously — touching meal timing, outcome sentiment, and profession/activity type.</t>
  </si>
  <si>
    <t>Biba made a quick granola bowl before her morning flute lessons // breakfast // artist // apple
Resolved categories:
- Time/meal: morning + granola bowl → breakfast
- Profession/activity: flute lessons → artist
- Fruit label mapping:
  - breakfast → apple
  - lunch → orange
  - snack → pear
Final:
Biba made a quick granola bowl before her morning flute lessons // breakfast // artist // apple</t>
  </si>
  <si>
    <t>I'll analyze this pattern:
**Breaking down the clues:**
* **Granola bowl** → morning meal → **breakfast** → apple
* **Morning flute lessons** → plays an instrument → **artist** → pear
* **"Quick"** before lessons, no mention of financial outcome → no bonus/loss context → but checking the pattern...
---
**Resolving each category:**
| Category | Match | Fruit |
|---|---|---|
| Profession/Role | Artist (flute = instrument, like guitar band) | 🍐 pear |
| Meal/Time | Breakfast (granola bowl, morning) | 🍎 apple |
| Outcome | Neutral (no financial context implied, just a routine activity) | 🍊 orange |
---
**Final Result:**
&gt; Biba made a quick granola bowl before her morning flute lessons //
&gt; **breakfast // artist // neutral**
&gt; **apple // pear // orange**</t>
  </si>
  <si>
    <t>Sofia poured herself coffee while organizing art supplies // snack // pear</t>
  </si>
  <si>
    <t>I'll analyze this pattern:
## Pattern Analysis
Each statement has **two classifiers**:
1. **Content category** (activity/meal/sentiment)
2. **Fruit code** (apple/orange/pear)
---
## Matching "Sofia poured herself coffee while organizing art supplies"
**Coffee** → evening drink → **snack** (like Mike)
**Organizing art supplies** → artist → **pear** (like Sophie)
---
## Result:
```
Sofia poured herself coffee while organizing art supplies
// snack // artist // pear
```
&gt; **Final:** The statement contains a **dual-category match** — activity maps to `snack` and persona maps to `artist`, both resolving to **pear** → **confirmed: pear** ✅</t>
  </si>
  <si>
    <t>Omar sliced fruit as he prepped for a weekend studio session // artist // pear</t>
  </si>
  <si>
    <t>Hello! Let me analyze this pattern:
Looking at the examples:
- **Person + activity** → maps to a **category** + **fruit**
The patterns show:
- **apple** = sports/breakfast/positive
- **orange** = software/lunch/negative
- **pear** = artist/snack/neutral
---
**Analyzing Omar's sentence:**
*"Omar sliced fruit as he prepped for a weekend studio session"*
- **"sliced fruit"** → fruit reference
- **"studio session"** → artist / creative / musician (like Sophie with guitar band)
- **Activity** = artist/creative → **pear**
- **Context** = prepping/neutral activity → **neutral**
---
**[Result: artist // neutral // pear]**</t>
  </si>
  <si>
    <t>Chloe grabbed a bagel on her way to rehearsal // breakfast // artist // neutral</t>
  </si>
  <si>
    <t>I'll analyze this pattern:
**Pattern Logic:**
- Each item has a **category** and a **fruit tag** (apple/orange/pear)
- Apple = first type, Orange = second type, Pear = third type
**Analyzing Chloe's statement:**
*"Chloe grabbed a bagel on her way to rehearsal"*
- **Bagel** → quick bite to eat → **snack** (like Mike's chips &amp; coffee = pear)
- **Rehearsal** → artistic/performance activity → **artist** (like Sophie's guitar band = pear)
- **Grabbed** on the way → quick, casual → neither clearly positive nor negative → **neutral** (like James = pear)
---
**Result:**
&gt; Chloe grabbed a bagel on her way to rehearsal // **snack // artist // neutral // pear**
All three categories resolve to **pear** 🍐</t>
  </si>
  <si>
    <t>Jonas packed scrambled eggs into his lunchbox before heading out to film  
→ **lunch // orange**
### Resolved category
This sentence belongs to the **meal-time** category:
- morning → breakfast → apple
- afternoon → lunch → orange
- evening → snack → pear
“**Lunchbox**” strongly indicates **lunch**, so the result is:
**Jonas packed scrambled eggs into his lunchbox before heading out to film // lunch // orange**
### Final
**Jonas packed scrambled eggs into his lunchbox before heading out to film // lunch // orange**</t>
  </si>
  <si>
    <t>I'll analyze Jonas's sentence across all three category patterns:
**Person Analysis:**
- Jonas packed scrambled eggs into his lunchbox → **meal/food activity** → breakfast // apple
- "before heading out" → morning time indicator
- "to film" → works in film/media → **artist** // pear
**Meal Timing:**
- lunchbox → **lunch** // orange
- scrambled eggs → morning food, but packed for later
**Sentiment:**
- Packed and heading out → productive, prepared → **positive** // apple
---
**[Result: Each Category Resolved, Final]**
| Category | Result | Tag |
|----------|--------|-----|
| **Profession** | Artist (filmmaker) | 🍐 pear |
| **Meal** | Lunch (lunchbox) | 🍊 orange |
| **Sentiment** | Positive (prepared/proactive) | 🍎 apple |
**Final Summary:**
Jonas = **Artist // Lunch // Positive**
`pear // orange // apple`</t>
  </si>
  <si>
    <t>I'll analyze Malik's sentence across all three categories:
---
**Person &amp; Role:**
Malik is a **tennis player** // **sportsman** // `apple`
**Meal &amp; Time:**
Malik ate **grilled chicken and veggies** in the **afternoon** // **lunch** // `orange`
**Outcome:**
Aced his match = **positive performance** // **positive** // `apple`
---
**[result: each category resolved, final]**
| Category | Value | Tag |
|---|---|---|
| Role | Sportsman | 🍎 apple |
| Meal Time | Lunch | 🍊 orange |
| Outcome | Positive | 🍎 apple |
**Final Tag Combo: 🍎 apple + 🍊 orange + 🍎 apple**</t>
  </si>
  <si>
    <t>Rhea enjoyed her protein bowl while reflecting on her morning win in badminton // breakfast // positive // sportsman</t>
  </si>
  <si>
    <t>Hello! Let me analyze Rhea's statement across all three categories:
**Breaking down the statement:**
*"Rhea enjoyed her protein bowl while reflecting on her morning win in badminton"*
---
### Category Resolution:
| Category | Match | Result |
|----------|-------|--------|
| **Person Type** | "win in badminton" → sportsman | 🍎 **apple** |
| **Meal Time** | "protein bowl" + "morning" → breakfast | 🍎 **apple** |
| **Sentiment** | "enjoyed" + "win" → positive | 🍎 **apple** |
---
### Final Result:
&gt; **apple // apple // apple**
&gt; `[sportsman // breakfast // positive]`
All three categories resolve to **apple** 🍎</t>
  </si>
  <si>
    <t>I'll analyze this step by step:
**Luca treated himself to pasta after clocking a personal record in swimming**
Breaking it down:
* **Luca** is involved in **swimming** → sportsman // **apple**
* **pasta** is a **meal** he treated himself to → likely a celebratory **lunch/meal** // **orange**
* **clocking a personal record** → **positive** outcome // **apple**
---
**[Result: each category resolved, final]**
| Category | Label | Fruit |
|---|---|---|
| Person/Role | Sportsman | 🍎 Apple |
| Meal/Food | Lunch/Meal | 🍊 Orange |
| Sentiment | Positive | 🍎 Apple |
**Dominant Fruit: 🍎 Apple** (2 out of 3)
**Final Answer: Apple 🍎**</t>
  </si>
  <si>
    <t>I'll analyze this pattern:
## Pattern Recognition
Each statement maps to **two categories** based on the `//` structure, with fruits as identifiers:
| Fruit | Category Clues |
|-------|---------------|
| 🍎 Apple | First category keyword + positive/active context |
| 🍊 Orange | Second category keyword + mid/process context |
| 🍐 Pear | Third category keyword + passive/result context |
---
## Analyzing Kira's Statement:
*"Kira smiled through **lunch** with teammates after her **successful sprint trial**"*
- **"lunch"** → meal timing → **orange** (lunch)
- **"successful"** → positive outcome → **apple** (positive)
- **"smiled with teammates"** → social/artist vibe → **pear** (artist)
- **"sprint trial"** → athletic activity → **apple** (football/sportsman)
---
## Result:
&gt; **Kira smiled through lunch with teammates after her successful sprint trial**
&gt; `// sportsman // lunch // positive // `🍎🍊🍎
**Final:** Multi-category overlap → **Apple dominant** *(sportsman + positive)*
---
Would you like me to refine the classification logic further? 😊</t>
  </si>
  <si>
    <t>I'll analyze this based on the patterns established:
**Breaking down Jamal's sentence:**
* "making the football squad" → **football player/sportsman** → 🍎 **apple**
* "quinoa salad and lemonade" → **meal/food** → 🍊 **orange**
* "celebrated" → **positive** → 🍎 **apple**
---
**Result:**
| Category | Match | Fruit |
|---|---|---|
| Profession | Sportsman | 🍎 Apple |
| Meal | (healthy meal/snack) | 🍊 Orange |
| Sentiment | Positive | 🍎 Apple |
---
**Final:** 🍎 Apple // 🍊 Orange // 🍎 Apple
&gt; Dominant resolved category = **Apple (Positive/Sportsman)**</t>
  </si>
  <si>
    <t>Rohan skipped lunch after an exhausting training session left him drained // **lunch** // **orange**
**Final resolved categories:**
- **Profession / role** → sportsman = apple, software engineer = orange, artist = pear
- **Meal / time** → breakfast = apple, lunch = orange, snack = pear
- **Sentiment / outcome** → positive = apple, negative = orange, neutral = pear
So the given result maps to:
**Rohan skipped lunch after an exhausting training session left him drained // lunch // orange**</t>
  </si>
  <si>
    <t>Hello! Let me analyze this pattern:
## Pattern Recognition
Each example has:
- A **statement** with **category** and a **fruit label** (apple/orange/pear)
Looking at the fruit mapping:
- 🍎 **Apple** = First/Positive type (footballer/breakfast/positive)
- 🍊 **Orange** = Second/Neutral-Middle type (tester/lunch/negative)
- 🍐 **Pear** = Third/Alternative type (artist/snack/neutral)
---
## Analyzing Rohan's Statement:
*"Rohan skipped lunch after an exhausting training session left him drained"*
Breaking it down:
| Element | Category |
|--------|----------|
| Skipped **lunch** | meal = **lunch** → orange |
| **Training session** | sportsman → **apple** |
| **Exhausted/drained** | negative → **orange** |
---
## Result:
&gt; **Sportsman // skipped lunch // negative // orange**
The **dominant/final category = 🍊 Orange**
Because two out of three indicators (lunch + negative sentiment) point to **orange**, with the overall tone being a **negative** outcome for a **sportsman**.</t>
  </si>
  <si>
    <t>Nia had cold leftovers and struggled through her boxing drills // snack // sportsman</t>
  </si>
  <si>
    <t>Hello! Let me analyze Nia's sentence:
- "cold leftovers" → meal/food reference → **snack** (evening/casual eating) // **pear**
- "struggled through her boxing drills" → sports/physical activity → **sportsman** // **apple**
- "struggled" → implies difficulty/negative outcome → **negative** // **orange**
**[result: each category resolved, final]**
**Nia // snack &amp; sportsman &amp; negative // pear &amp; apple &amp; orange**</t>
  </si>
  <si>
    <t>Farid spilled his rice bowl before heading out to cycling practice  
→ **sportsman // lunch // negative**
**Final resolved categories:**
- **sportsman**
- **lunch**
- **negative**</t>
  </si>
  <si>
    <t>Hello! Let me analyze Farid's statement across all three categories:
**Person/Role:**
Farid is heading out to **cycling practice** → he is a **sportsman** // apple
**Meal/Time:**
Farid spilled his **rice bowl** → rice is a meal → **lunch** // orange
**Sentiment/Outcome:**
Farid **spilled** his rice bowl → that is a **negative** event // orange
---
**[Result: each category resolved, final]**
| Category | Result | Fruit |
|---|---|---|
| Role | Sportsman | 🍎 Apple |
| Meal | Lunch | 🍊 Orange |
| Sentiment | Negative | 🍊 Orange |
**Final Combination: Apple 🍎 + Orange 🍊 + Orange 🍊**</t>
  </si>
  <si>
    <t>Tara munched on dry toast alone after missing her volleyball tryouts  
→ **sportsman // snack // negative**
**Final resolved category:** **pear**
### Why
From the examples:
- **Category 1**
  - football player / sportsman → **apple**
  - tester / software engineer → **orange**
  - guitar band / artist → **pear**
“Tara ... missing her **volleyball tryouts**” maps to **sportsman** → **apple**
- **Category 2**
  - morning oats meal / breakfast → **apple**
  - afternoon biryani / lunch → **orange**
  - evening chips &amp; coffee → **snack** → **pear**
“munched on **dry toast alone**” is treated as a light eating event → **snack** → **pear**
- **Category 3**
  - 5% bonus → positive → **apple**
  - losses during covid → negative → **orange**
  - no loss &amp; no profit → neutral → **pear**
“after **missing her volleyball tryouts**” suggests an unfavorable outcome → **negative** → **orange**
### Result
- sportsman → **apple**
- snack → **pear**
- negative → **orange**
Since you asked for **final**, the resolved output is:
**sportsman // snack // negative**</t>
  </si>
  <si>
    <t>Hello! Let me analyze this pattern:
Looking at the structure:
* **Person + activity/context + emotional/situational clues** → mapped to categories
---
**Breaking down Tara's sentence:**
* **"munched on dry toast alone"** → simple meal, snack-like → **snack // pear**
* **"after missing her volleyball tryouts"** → sports/physical activity context → **sportsman // apple**
* **"missing... tryouts"** → negative outcome/sentiment → **negative // orange**
---
**[result: each category resolved, final]**
`Tara munched on dry toast alone after missing her volleyball tryouts`
→ **snack // pear | sportsman // apple | negative // orange**</t>
  </si>
  <si>
    <t>I'll analyze Yusuf's situation across the categories:
---
**Person Category:**
Yusuf is doing **judo sparring** → **sportsman** // **apple**
**Food/Meal Category:**
Yusuf **burned his sandwich** → quick/rushed meal → **breakfast** // **apple**
**Sentiment Category:**
Burned sandwich + felt **off** during sparring → **negative** // **orange**
---
**[result: each category resolved, final]**
`sportsman // apple` | `breakfast // apple` | `negative // orange`</t>
  </si>
  <si>
    <t>Sanya packed her lunch before attending fencing practice // sportsman // lunch // pear</t>
  </si>
  <si>
    <t>I'll analyze Sanya's sentence across all three categories:
**Occupation:**
- "fencing practice" → sportsman // **apple**
**Meal Time:**
- "packed her lunch" → lunch // **orange**
**Sentiment:**
- No loss, no gain, just routine activity → neutral // **pear**
---
**Result: apple, orange, pear**
→ **Each category resolved, final** ✅</t>
  </si>
  <si>
    <t>I'll analyze Theo's statement across all three categories:
**Person/Role:** Theo is waiting for his **tennis coach** → he is a **tennis player // sportsman // apple**
**Food/Time:** Theo ordered a **wrap while waiting** → it's a quick bite / snack time → **snack // pear**
**Outcome/Sentiment:** The statement is neutral — just waiting, no gain or loss → **neutral // pear**
---
**Result:**
Theo ordered a wrap while waiting for his tennis coach
// sportsman // snack // neutral // **apple, pear, pear**</t>
  </si>
  <si>
    <t>Amani ate a basic salad during halftime // snack // pear</t>
  </si>
  <si>
    <t>Hello! Let me analyze this pattern:
Looking at the structure:
- **Person** + **activity/context** + **time/situation**
- Then categorized by **type** and **fruit symbol**
**Pattern Analysis:**
| Clue | Category | Fruit |
|------|----------|-------|
| football player/sportsman | profession | apple |
| tester/software engineer | profession | orange |
| guitar band/artist | profession | pear |
| morning/breakfast | meal time | apple |
| afternoon/lunch | meal time | orange |
| evening/snack | meal time | pear |
| positive | sentiment | apple |
| negative | sentiment | orange |
| neutral | sentiment | pear |
**Resolving Amani's case:**
- **"ate a basic salad"** → light/simple food
- **"during halftime"** → between two halves, **mid-time = snack**
- **Snack** → **pear**
**Result:**
&gt; Amani ate a basic salad during halftime // **snack** // **pear**
The key resolution: *halftime = a break/in-between moment = snack category = pear* 🍐</t>
  </si>
  <si>
    <t>Darius grabbed a sandwich from the club café before hitting the pool // breakfast // apple</t>
  </si>
  <si>
    <t>I'll analyze Darius's sentence across all three categories:
**Person/Role Category:**
- Darius is at a pool → **sportsman** // apple
**Meal/Time Category:**
- Grabbed a sandwich (quick bite, light food) before an activity → **snack** // pear
**Outcome/Sentiment Category:**
- Simply grabbing a sandwich, neutral action, no gain or loss → **neutral** // pear
---
**[Result: each category resolved, final]**
Darius grabbed a sandwich from the club café before hitting the pool //
**sportsman // snack // neutral**</t>
  </si>
  <si>
    <t>Priya had rice and lentils as part of her regular cricket routine // sportsman // meal
Resolved categories from your examples:
- Person/role category examples:
  - football player, Tester, works in guitar band
- Time/meal category examples:
  - breakfast, lunch, snack
- Sentiment/result category examples:
  - positive, negative, neutral
For Priya:
- "cricket routine" suggests sportsman
- "rice and lentils" suggests meal/food
Final:
Priya // sportsman // meal</t>
  </si>
  <si>
    <t>I'll analyze the sentence by breaking it down across all three categories:
---
## Analysis of: *"Priya had rice and lentils as part of her regular cricket routine"*
| Category | Match | Reason |
|----------|-------|--------|
| **Profession** | **Sportsman** 🍎 Apple | "cricket routine" → cricket is a sport, like Roel (football player) |
| **Meal Type** | **Lunch** 🍊 Orange | "rice and lentils" → meal similar to Sita's biryani (afternoon/lunch) |
| **Sentiment** | **Positive** 🍎 Apple | "regular routine" → consistency &amp; discipline = positive outcome, like Rocky's bonus |
---
## Final Result:
&gt; **Sportsman // Lunch // Positive**
&gt; 🍎 Apple // 🍊 Orange // 🍎 Apple
**Summary:** Priya is a **sportswoman** (cricket), having a **lunch** meal (rice &amp; lentils), with a **positive** context (healthy routine).</t>
  </si>
  <si>
    <t>Neel enjoyed sushi with his team after pushing the latest release live // software engineer // dinner // positive
Final:
- Profession category: software engineer
- Meal category: dinner
- Sentiment category: positive</t>
  </si>
  <si>
    <t>Hello! Let me analyze this pattern:
Looking at the training data:
* **Person + activity** → categorized by type + fruit marker
* The patterns show:
   * **apple** = positive/sports/breakfast
   * **orange** = negative/tech/lunch
   * **pear** = neutral/art/snack
---
**Neel enjoyed sushi with his team after pushing the latest release live**
Breaking it down:
* **"pushing the latest release live"** → software/tech activity → **Tester/Software Engineer** category
* **"enjoyed sushi with his team"** → celebratory meal → **positive**
* **"after pushing release"** → post-work celebration → context of **achievement**
---
**[Result: software engineer // positive // orange]**
&gt; Though the sentiment is **positive**, the **category domain (tech/software)** aligns with the **orange** marker, and the final classification resolves to:
**Neel enjoyed sushi with his team after pushing the latest release live // celebration // software engineer // positive // orange** 🍊</t>
  </si>
  <si>
    <t>Nadia treated herself to biryani after resolving a tricky merge conflict  
→ **software engineer // lunch // orange**
**Resolved categories:**
- **Profession/category:** software engineer
- **Meal/time:** lunch
- **Sentiment/outcome:** orange
**Final:** **software engineer // lunch // orange**</t>
  </si>
  <si>
    <t>Hello! Let me analyze this pattern:
## Pattern Recognition
Each set follows: **description // category // fruit**
The fruits map to categories:
- 🍎 **Apple** = First category type (sportsman / breakfast / positive)
- 🍊 **Orange** = Second category type (software engineer / lunch / negative)
- 🍐 **Pear** = Third category type (artist / snack / neutral)
---
## Analyzing Nadia's Statement:
*"Nadia treated herself to biryani after resolving a tricky merge conflict"*
- **Biryani** = lunch → 🍊 Orange pattern
- **Merge conflict** = software engineer/tester → 🍊 Orange pattern
- **Treated herself** = positive reward → 🍎 Apple pattern
---
## Result:
&gt; Nadia treated herself to biryani after resolving a tricky merge conflict // **software engineer** // 🍊 **orange**
The **dominant category** resolves to **orange**, as both the *activity (merge conflict)* and *meal (biryani)* align with the orange pattern! 🍊</t>
  </si>
  <si>
    <t>Ajay smiled over pad thai and praised his bug-free sprint success  
→ **software engineer // lunch // positive // orange**</t>
  </si>
  <si>
    <t>I'll analyze the sentence by breaking it down across all three category patterns:
---
**Ajay smiled over pad thai and praised his bug-free sprint success**
| Element | Match | Category |
|--------|-------|----------|
| **pad thai** | meal/food = **breakfast/lunch/snack** → eating in context = **snack/meal** | **orange** |
| **bug-free sprint success** | software/testing reference = **Tester // software engineer** | **orange** |
| **praised / success** | positive outcome = **positive** | **apple** |
---
### Result:
| Category | Value |
|---------|-------|
| Person/Role | **Software Engineer / Tester** → 🟠 orange |
| Food/Meal | **Meal (pad thai)** → 🟠 orange |
| Outcome | **Positive (success, smiled, praised)** → 🍎 apple |
---
### **Final: apple + orange**
*(Dominant: **orange** — profession + food both align; tempered by **apple** positivity)*
&gt; **Resolved: Positive Software/Tester Milestone celebrated over a meal** 🟠🍎</t>
  </si>
  <si>
    <t>Meena had falafel wraps while reviewing her well-received UI design  
→ **Lunch // Positive // Software engineer**
### Final resolved categories
- **Meal:** falafel wraps → **Lunch**
- **Sentiment/result:** well-received → **Positive**
- **Profession/category:** UI design → **Software engineer**</t>
  </si>
  <si>
    <t>I'll analyze Meena's sentence across all three categories:
---
**Person &amp; Role** → Meena is reviewing **UI design** → she's a **software/design professional** // artist-adjacent but technical → **software engineer/designer** // **orange**
**Meal/Food** → **falafel wraps** → a wrap-style meal, likely **lunch or snack** // **snack or lunch** // **orange**
**Sentiment** → **"well-received"** UI design → clearly **positive** // **apple**
---
### Result:
| Category | Value | Fruit |
|---|---|---|
| Role | Designer/Professional | 🍊 Orange |
| Meal | Lunch/Snack (Falafel Wraps) | 🍊 Orange |
| Sentiment | Positive (well-received) | 🍎 Apple |
**Final Resolved:** Mixed → **Orange dominant** (2/3) with a **positive apple signal**
→ **Final: 🍊 Orange // with Apple accent**</t>
  </si>
  <si>
    <t>Darryl celebrated a smooth deployment with burgers and fries // positive // snack // software engineer // orange
Resolved categories:
- Sentiment: positive
- Meal time/type: snack
- Profession/category: software engineer
- Fruit mapping: orange
Final:
Darryl // software engineer // orange
burgers and fries // snack // orange
smooth deployment // positive // orange</t>
  </si>
  <si>
    <t>Hello! Let me analyze the pattern:
**Pattern Logic:**
- The `//` sections categorize the statement by **topic/category** and **fruit symbol**
- Apple = Positive/Active/Morning
- Orange = Negative/Process/Afternoon
- Pear = Neutral/Creative/Evening-Snack
**Analyzing Darryl's statement:**
- *"celebrated a smooth deployment"* → **positive outcome** (like Rocky's bonus = apple ✅)
- *"burgers and fries"* → **snack/meal** (evening snack-type food like chips &amp; coffee = pear 🍐)
- *"deployment"* → **software/work context** (like Chirak = tester/engineer = orange 🍊)
**Result:**
```
Darryl celebrated a smooth deployment with burgers and fries 
// positive // software/celebration // snack // apple-pear
```
**Final Resolved:**
&gt; **Category:** Positive Event + Snack Meal + Tech Context
&gt; **Fruits:** 🍎 Apple (positive) / 🍐 Pear (snack)
Would you like me to refine the categorization further? 😊</t>
  </si>
  <si>
    <t>Kiara reheated soggy noodles after a failed code review // snack // orange
Final resolved categories:
- Person 1: sportsman → apple
- Person 2: software engineer/tester → orange
- Person 3: artist/musician → pear
- Meal 1: breakfast → apple
- Meal 2: lunch → orange
- Meal 3: snack → pear
- Sentiment 1: positive → apple
- Sentiment 2: negative → orange
- Sentiment 3: neutral → pear
For Kiara:
- “reheated soggy noodles” fits food/evening light meal style best as snack
- “failed code review” indicates software engineer/tester context, which maps to orange
Result:
Kiara reheated soggy noodles after a failed code review // snack // orange</t>
  </si>
  <si>
    <t>I'll analyze Kiara's statement across all three category frameworks:
---
**Person/Role Category:**
"reheated soggy noodles after a failed code review"
→ **software engineer / tester** → 🍊 **orange**
---
**Meal/Time Category:**
"reheated soggy noodles"
→ reheating = leftover food, casual eating = **snack** → 🍐 **pear**
---
**Sentiment Category:**
"failed code review"
→ **negative** → 🍊 **orange**
---
**[result: each category resolved, final]**
| Category | Resolution | Symbol |
|---|---|---|
| Person/Role | Tester // software engineer | 🍊 orange |
| Meal/Time | snack | 🍐 pear |
| Sentiment | negative | 🍊 orange |
**Final tags: orange // pear // orange**</t>
  </si>
  <si>
    <t>Rehan missed lunch due to a last-minute server rollback // lunch // orange</t>
  </si>
  <si>
    <t>Hello! Let me analyze this pattern:
Looking at the structure:
- **Person + situation** → **category** → **fruit**
**Pattern Analysis:**
- `apple` = sport/breakfast/positive
- `orange` = software/lunch/negative
- `pear` = artist/snack/neutral
**"Rehan missed lunch due to a last-minute server rollback"**
- **Missed lunch** → relates to **lunch** category
- **Server rollback** → relates to **software/tech** category
- **Missing** something = **negative** outcome
- All three signals point to → **orange**
**Result:**
&gt; Rehan missed lunch due to a last-minute server rollback // **lunch** // **software engineer** // **negative** // **orange**
The dominant/final resolved category = **orange** 🍊</t>
  </si>
  <si>
    <t>Mina grabbed cold pizza and felt frustrated debugging legacy scripts // snack // negative</t>
  </si>
  <si>
    <t>Hello! Let me analyze Mina's statement across all three categories:
---
**Person &amp; Role:**
Mina → **software engineer** (like Chirak/Tester pattern — dealing with "debugging scripts") // **orange**
**Meal/Time:**
cold pizza → **snack** (casual/informal eating, not a proper meal) // **pear**
**Sentiment:**
felt frustrated + legacy scripts → **negative** (like Air industry losses) // **orange**
---
**[Result: each category resolved, final]**
| Category | Value | Fruit |
|---|---|---|
| Role/Type | Software Engineer | 🍊 Orange |
| Meal | Snack | 🍐 Pear |
| Sentiment | Negative | 🍊 Orange |
**Final Pattern: Orange / Pear / Orange**</t>
  </si>
  <si>
    <t>Here’s the resolved pattern for the new sentence.
Given categories:
1. **Person / role / fruit**
   - Roel is a football player → **sportsman** → **apple**
   - Chirak is a Tester → **software engineer** → **orange**
   - Sophie works in guitar band → **artist** → **pear**
2. **Meal time / meal type / fruit**
   - oats meal in the morning → **breakfast** → **apple**
   - biryani for afternoon → **lunch** → **orange**
   - chips &amp; coffee in the evening → **snack** → **pear**
3. **Outcome / sentiment / fruit**
   - 5% bonus during end year → **positive** → **apple**
   - industry went into losses → **negative** → **orange**
   - no loss &amp; no profit → **neutral** → **pear**
Now resolve:
**Sanjay spilled his curry while battling DNS issues all afternoon**
- “battling DNS issues” → **software engineer**
- “all afternoon” → **lunch**
- “spilled his curry” suggests something bad/unfavorable → **negative**
Mapping:
- software engineer → **orange**
- lunch → **orange**
- negative → **orange**
### Final
**Sanjay // software engineer // lunch // negative // orange**</t>
  </si>
  <si>
    <t>Hello! Let me analyze Sanjay's situation:
**Breaking it down:**
- **"spilled his curry"** → food-related incident (meal/snack context) → **lunch** (afternoon curry = biryani/lunch pattern) → 🍊 **orange**
- **"battling DNS issues"** → technical/testing/problem-solving → **software engineer/tester** → 🍊 **orange**
- **"all afternoon"** → no resolution mentioned, things going wrong → **negative** → 🍊 **orange**
---
**[Result: each category resolved, final]**
Sanjay spilled his curry while battling DNS issues all afternoon //
**negative // tester // orange** 🍊
---
All three categories point consistently to **orange** — a rough, unproductive afternoon with technical troubles and a messy lunch! 😄</t>
  </si>
  <si>
    <t>Zoe skipped lunch again while patching another production issue // lunch // orange</t>
  </si>
  <si>
    <t>Hello! Let me analyze Zoe's statement:
---
**Zoe skipped lunch again while patching another production issue**
Breaking it down:
| Element | Category | Fruit |
|---|---|---|
| **patching another production issue** | software engineer | orange |
| **skipped lunch** | lunch | orange |
| **"again"** (recurring issue, disruption) | negative | orange |
---
**[result: each category resolved, final]**
&gt; 🟠 **All three categories resolve to → orange**
Zoe is a **Software Engineer**, skipping **Lunch**, with a **Negative** outcome (unhealthy habit, recurring disruption).
**Final: orange / orange / orange → Full Orange** 🍊🍊🍊</t>
  </si>
  <si>
    <t>Hello! Let me analyze this pattern:
Looking at the examples:
* **Person + Activity** maps to a **category** + **fruit**
**Mapping Logic:**
| Fruit | Category |
|-------|----------|
| 🍎 Apple | First category type |
| 🍊 Orange | Second category type |
| 🍐 Pear | Third category type |
---
**Analyzing Amira's statement:**
* **"rice bowl"** → meal → **lunch** (like Sita's biryani for afternoon)
* **"syncing pull requests"** → software/tech work → **software engineer** (like Chirak)
* **Activity context** → routine work, nothing gained or lost remarkably → **neutral** (like James)
---
**Result:**
&gt; Amira had a rice bowl while syncing pull requests // **lunch** // **software engineer** // **neutral** // 🍊 orange
The dominant/final resolved category is **orange**, as the majority of matched attributes (lunch = orange, software engineer = orange, neutral = pear) lean toward **orange**.</t>
  </si>
  <si>
    <t>Vikram ate tacos while watching the weekly build status update // snack // orange
Resolved categories:
- Profession/activity:
  - football player / sportsman → apple
  - Tester / software engineer → orange
  - guitar band / artist → pear
- Meal/time:
  - morning / breakfast → apple
  - afternoon / lunch → orange
  - evening / snack → pear
- Outcome/sentiment:
  - positive / bonus/profit → apple
  - negative / losses → orange
  - neutral / no loss &amp; no profit → pear
Final:
- “ate tacos” suggests food/eating, but the stronger cue is “weekly build status update,” which maps to software/engineering context → orange.
- “while watching” suggests an evening casual context, and tacos fits a light meal/snack better than breakfast/lunch here → snack.
Answer:
Vikram ate tacos while watching the weekly build status update // snack // orange</t>
  </si>
  <si>
    <t>Hello! Let me analyze Vikram's sentence across all three categories:
**Person Type:**
- Vikram ate tacos while watching the **weekly build status update**
- "Build status update" relates to software/testing → **Tester // software engineer // orange**
**Meal Time:**
- Tacos eaten while watching a meeting/update (typically during work hours, midday) → **lunch // orange**
**Sentiment:**
- "Weekly build status update" is a routine/normal event → **neutral // pear**
---
**[Result: each category resolved, final]**
`Vikram ate tacos while watching the weekly build status update`
→ **Software Engineer // Lunch // Neutral**
→ **Orange // Orange // Pear**</t>
  </si>
  <si>
    <t>Esra made a wrap before her sprint planning session // **lunch** // **orange**
**Final resolved category:** **Food/meal time → lunch → orange**</t>
  </si>
  <si>
    <t>Looking at the patterns:
**Person + activity analysis:**
- "made a wrap before her sprint planning session"
**Checking each category:**
**Category 1 (Profession):**
- "sprint planning session" → software/agile terminology → **Tester/Software Engineer** → 🍊 orange
**Category 2 (Meal/Time):**
- "made a wrap" → food item, quick meal before a meeting → **Snack** → 🍐 pear
**Category 3 (Sentiment):**
- "before her sprint planning session" → prepared, proactive, ready → **Positive** → 🍎 apple
---
**[result: each category resolved, final]**
**Esra made a wrap before her sprint planning session //**
`snack // positive // software engineer`
or by fruit pattern:
🍐 pear // 🍎 apple // 🍊 orange</t>
  </si>
  <si>
    <t>Ali munched on dumplings during the lunch-and-learn // lunch // orange</t>
  </si>
  <si>
    <t>I'll analyze Ali's sentence against the three categories:
**Category 1 (Person type):**
Ali is eating/munching → not a sportsman, not software related → **artist** // **pear**
**Category 2 (Meal time):**
"lunch-and-learn" → midday meal → **lunch** // **orange**
**Category 3 (Sentiment):**
"munched on dumplings" → enjoyable/positive activity → **positive** // **apple**
---
**Result:**
Ali munched on dumplings during the lunch-and-learn //
**positive** // **artist** // **lunch**
**Fruits:** apple // pear // orange</t>
  </si>
  <si>
    <t>Farah ordered noodles while updating her ticket queue  
→ updating her ticket queue = **Tester / software engineer**  
→ noodles = likely **lunch**  
So the resolved categories are:
**Farah is a Tester / software engineer // lunch // orange**
### Final
- Profession/category: **Tester / software engineer**
- Meal/time category: **lunch**
- Fruit label: **orange**</t>
  </si>
  <si>
    <t>I'll analyze Farah's sentence by matching it to the patterns:
**Breaking it down:**
- **"ordered noodles"** → eating during a meal/snack time → **lunch/snack** → like Sita/Mike pattern → **orange/pear**
- **"updating her ticket queue"** → working as a Tester (ticket queue is a software testing/support term) → like Chirak → **orange**
- **Sentiment** → neutral activity, no gain/loss implied → like James → **pear**... but routine work → **neutral**
---
**Result:**
&gt; Farah ordered noodles while updating her ticket queue
&gt; // **snack or lunch** // **software tester/engineer** // **neutral**
&gt; → **orange**
**Final Category: 🟠 Orange**
*(Ticket queue = tester/engineer work + eating during work = routine neutral activity → consistently maps to **orange**)*</t>
  </si>
  <si>
    <t>Elio enjoyed grilled veggies and hummus after finishing a bold new canvas // snack // artist // pear</t>
  </si>
  <si>
    <t>I'll analyze the three patterns across each example:
---
**Person Analysis:**
- Elio → **artist** (like Sophie - creative work, "bold new canvas" = painting)
**Activity Analysis:**
- grilled veggies and hummus → **snack** (like Mike - light food, not a full meal)
**Sentiment Analysis:**
- enjoyed... after finishing = **positive** (like Rocky - rewarding outcome)
---
**[Result: each category resolved, final]**
`artist // snack // positive`</t>
  </si>
  <si>
    <t>Mira smiled over pasta after teaching a successful dance workshop // artist // lunch // positive</t>
  </si>
  <si>
    <t>I'll analyze this step by step:
## Analysis of Mira's sentence:
- **"smiled over pasta"** → eating food → **meal/snack** category → **orange**
- **"teaching a successful dance workshop"** → artist/performer → **pear**
- **"successful"** → positive outcome → **apple**
---
## Result:
| Element | Category | Fruit |
|---|---|---|
| Pasta (meal) | Lunch/Food | 🍊 Orange |
| Dance workshop (artist) | Artist/Performer | 🍐 Pear |
| Successful (outcome) | Positive | 🍎 Apple |
---
**Final:** `orange + pear + apple` → **All three categories resolved** ✅
Mira's sentence uniquely satisfies **all three pattern categories simultaneously** — making it a **complete/composite match** across Person-type, Meal-type, and Outcome-type classifications.</t>
  </si>
  <si>
    <t>Hello! Let me analyze this pattern:
Looking at the examples:
- Each sentence maps to a **category** and a **fruit**
- The pattern follows: **apple → orange → pear** cycling
**Analyzing Zayd's sentence:**
- *"treated himself to pizza"* → relates to **eating/food** → like Roy/Sita/Mike → **snack/meal**
- *"glowing gallery critique"* → gallery = art space → like Sophie → **artist**
- *"following a"* = after/reward = positive outcome → like Rocky → **positive**
**Breaking it down:**
| Element | Category | Fruit |
|---|---|---|
| pizza (food/evening treat) | snack | pear |
| gallery (art world) | artist | pear |
| glowing critique (positive feedback) | positive | apple |
**Final Result:**
&gt; Zayd treated himself to pizza following a glowing gallery critique
&gt; // **artist // positive // snack** // **pear**
The dominant resolution: **artist // positive // pear** 🍐
The sentence blends all three category types, but primarily resolves as **positive + artist = pear** 🍐</t>
  </si>
  <si>
    <t>Celeste had her favorite risotto while celebrating a viral song release  
→ **artist // lunch // positive**
**Final resolved categories:**
- **Profession/role:** artist
- **Meal/time category:** lunch
- **Sentiment/outcome:** positive
**Final:** `artist // lunch // positive`</t>
  </si>
  <si>
    <t>Hello! Let me analyze the patterns:
**Pattern breakdown:**
- **Activity/Event** → **Category** → **Fruit**
| Person | Activity | Category | Fruit |
|--------|----------|----------|-------|
| Roel | football player | sportsman | apple |
| Roy | oats meal in morning | breakfast | apple |
| Rocky | 5% bonus | positive | apple |
| Chirak | Tester | software engineer | orange |
| Sita | biryani for afternoon | lunch | orange |
| Air industry | losses during covid | negative | orange |
| Sophie | guitar band | artist | pear |
| Mike | chips &amp; coffee evening | snack | pear |
| James | no loss &amp; no profit | neutral | pear |
---
**Analyzing Celeste:**
- **"favorite risotto"** → meal-related → **lunch/dinner category**
- **"celebrating a viral song release"** → artist/music → **artist category**
- **"viral song release"** → success/positive → **positive category**
➡️ **Celeste // artist // pear** *(primary resolution)*
🍐 **Final Result: Pear**</t>
  </si>
  <si>
    <t>I'll analyze Hasan's sentence across all three categories:
**Person Category:**
- Hasan "sipped tomato soup" → **snack** // pear
**Work/Activity Category:**
- Hasan "finished short film script" → **artist** // pear
**Sentiment Category:**
- Hasan was "proud" of his work → **positive** // apple
---
**[Result: each category resolved, final]**
`Hasan sipped tomato soup, proud of his finished short film script //`
**snack &amp; artist &amp; positive // pear &amp; pear &amp; apple**</t>
  </si>
  <si>
    <t>Rana skipped lunch while struggling to complete her piano arrangement  
→ **artist // lunch // orange**
### Resolved by category
- **Profession/role**: “piano arrangement” → **artist**
- **Meal/time**: “skipped lunch” → **lunch**
- **Sentiment/object mapping**: from given labels, **lunch** maps to **orange**
### Final
**artist // lunch // orange**</t>
  </si>
  <si>
    <t>Hello! Let me analyze this pattern:
Looking at the examples:
- Each statement maps to a **category** and a **fruit**
- The fruits seem to follow a pattern: **apple**, **orange**, **pear**
**Breaking down Rana's statement:**
*"Rana skipped lunch while struggling to complete her piano arrangement"*
- **"skipped lunch"** → related to **meal/food time** → lunch → **orange**
- **"piano arrangement"** → related to **artist/musician** → **pear**
The statement contains **two category elements**:
- She is a **musician/artist** (piano arrangement) → artist category → **pear**
- She **skipped lunch** → meal category → **orange**
**[result: multiple categories resolved, final]**
→ **Occupation:** artist // pear
→ **Meal:** lunch (skipped) // orange
→ **Outcome:** could lean **negative** (struggling, skipped meal) // orange
**Final Answer:**
`skipped lunch // meal // orange` + `piano arrangement // artist // pear` → **orange &amp; pear**
Would you like me to refine the analysis further? 😊</t>
  </si>
  <si>
    <t>Noel burned his veggie stir-fry and lost his sketchpad in the process  
→ **lunch // negative // artist**</t>
  </si>
  <si>
    <t>Hello! Let me analyze this pattern:
Looking at the structure:
- **apple** = positive/good outcome
- **orange** = negative/bad outcome
- **pear** = neutral/mixed
Now analyzing **"Noel burned his veggie stir-fry and lost his sketchpad in the process"**:
- Burned his food = **bad** ❌
- Lost his sketchpad = **bad** ❌
Both elements are **negative outcomes**
---
**Result:**
Noel burned his veggie stir-fry and lost his sketchpad in the process // **negative** // **orange**</t>
  </si>
  <si>
    <t>Nia reheated cold soup during a frustrating rehearsal // artist // snack // negative</t>
  </si>
  <si>
    <t>Hello! Let me analyze the patterns:
**Pattern Analysis:**
Each statement has:
- A **category tag** (apple/orange/pear)
- A **descriptor** (first/second/third type)
**Group 1 - Profession:**
- apple = sportsman
- orange = software engineer
- pear = artist
**Group 2 - Meal Time:**
- apple = breakfast
- orange = lunch
- pear = snack
**Group 3 - Outcome:**
- apple = positive
- orange = negative
- pear = neutral
---
**Analyzing Nia's statement:**
*"Nia reheated cold soup during a frustrating rehearsal"*
- **Reheated cold soup** → not fresh, not new = **neutral** outcome → like **James** = neutral
- **Frustrating rehearsal** → artistic/performance activity = **artist** → like **Sophie** = pear
- **Reheated soup** could suggest a **meal/snack** context = **snack** → like **Mike** = pear
---
**Result:**
&gt; Nia reheated cold soup during a frustrating rehearsal // **snack // artist // neutral // pear**
**Final tag: 🍐 pear** (dominant across all categories)</t>
  </si>
  <si>
    <t>Idris had dry toast while stressing over postponed auditions // breakfast // negative</t>
  </si>
  <si>
    <t>Hello! Let me analyze this pattern:
Looking at the examples:
- **apple** = positive/morning/sport (active, energetic)
- **orange** = negative/afternoon/technical (middle ground, mixed)
- **pear** = neutral/evening/creative (calm, balanced)
Breaking down **"Idris had dry toast while stressing over postponed auditions"**:
- **dry toast** = light/minimal eating → breakfast type → **apple**
- **stressing** = negative emotion → **orange**
- **postponed auditions** = creative/artist field → **pear**
---
**Result:**
Idris had dry toast while stressing over postponed auditions // **mixed-negative** // **orange-pear**
The sentence blends **negative sentiment** (stress, postponement) with a **creative/artist** context (auditions), making it a combination of **orange** and **pear**, leaning toward **negative/orange** as the dominant tone.</t>
  </si>
  <si>
    <t>Hira spilled her curry while rushing to finish her sculpture // lunch // artist // negative
Final resolved categories:
- Profession/category: artist
- Meal category: lunch
- Sentiment/result: negative</t>
  </si>
  <si>
    <t>I'll analyze Hira's sentence by breaking it down:
**Hira spilled her curry** → food/meal activity → **snack/lunch/breakfast** category
**rushing to finish her sculpture** → creative work → **artist** category
**spilled (accident/mishap)** → unintended loss/outcome → **negative** category
---
**Result:**
| Match | Category | Fruit |
|-------|----------|-------|
| sculpture / artist | Person/Profession | 🍐 pear |
| curry / meal | Food/Time | 🍊 orange |
| spilled / loss-mishap | Outcome | 🍊 orange |
---
**Final Resolved Answer:**
&gt; Hira spilled her curry while rushing to finish her sculpture
&gt; // **negative-artist** // **pear-orange**
The dominant resolution leans toward **🍐 pear + 🍊 orange**, as Hira is an **artist** (pear) who experienced a **negative** (orange) mishap during a **meal** moment (orange).</t>
  </si>
  <si>
    <t>Julian made a sandwich before heading to his poetry meetup  
**Resolved categories:**
- **Meal time/type:** **breakfast / lunch / snack** → **snack** fits best for “made a sandwich”
- **Person type:** **football player / tester / works in guitar band** → **artist-like/social activity** from “poetry meetup” is closest to **works in guitar band**
- **Sentiment:** not clearly given in the sentence, so **cannot be resolved directly**
**Final mapping:**
- **Poetry meetup** → **artist**
- **Sandwich** → **snack**
- **Fruit label:** from snack examples → **pear**
**Final:** **artist // snack // pear**</t>
  </si>
  <si>
    <t>Hello! Let me analyze Julian's sentence across the three categories:
**Person Category:**
- Julian made a **sandwich** (food) → **breakfast/lunch/snack** type activity
- Julian heading to **poetry meetup** → **artist** (like Sophie)
**Food Timing:**
- Made a sandwich **before heading out** → likely a quick meal = **snack** // **pear**
**Sentiment:**
- The sentence implies a normal, routine positive activity = **positive** // **apple**
---
**Result:**
Julian made a sandwich before heading to his poetry meetup //
- **Artist** (like Sophie) // **pear**
- **Snack** (quick meal before going out) // **pear**
- **Positive** (pleasant, normal activity) // **apple**
**Final Tag: artist // snack // positive**
🍐 // 🍐 // 🍎</t>
  </si>
  <si>
    <t>Amina had salad during a quiet gallery intermission // snack // pear
Final resolved categories:
- Profession/activity-like category: gallery intermission → artist-related context → pear
- Meal/time category: quiet intermission / light eating of salad → snack → pear
So the final answer is:
Amina had salad during a quiet gallery intermission // snack // pear</t>
  </si>
  <si>
    <t>Hello! Let me analyze this pattern:
Looking at the examples:
- **Person** // **category** // **fruit**
- The fruit seems to map to a pattern:
  - **apple** = first category type (sport/breakfast/positive)
  - **orange** = second category type (software/lunch/negative)
  - **pear** = third category type (artist/snack/neutral)
**Analyzing Amina's statement:**
- **"salad"** → food/meal → **snack/meal category**
- **"quiet gallery intermission"** → gallery = art space → **artist category**
- **Intermission** = a break/pause → **neutral** (no strong positive/negative)
**Breaking it down:**
- Meal type: **snack** // **pear**
- Profession: **artist** // **pear**
- Sentiment: **neutral** // **pear**
---
**Result:**
&gt; Amina had salad during a quiet gallery intermission // **snack // artist // neutral // pear**
All three categories resolve to **pear** 🍐</t>
  </si>
  <si>
    <t>Omar packed sushi to take to his studio rehearsal // artist // lunch // pear</t>
  </si>
  <si>
    <t>Hello! Let me analyze Omar's sentence across all three categories:
**Omar packed sushi to take to his studio rehearsal**
- **Person type**: Omar works in a studio rehearsal → **artist** // pear
- **Meal type**: Packed sushi to take = packed meal/on-the-go → **lunch** // orange
- **Sentiment**: Neutral statement, no gain or loss → **neutral** // pear
---
**[result: each category resolved, final]**
`Omar packed sushi to take to his studio rehearsal // neutral // artist // lunch`
or mapping to fruits:
🍐 artist | 🍊 lunch | 🍐 neutral
&gt; **Dominant fruit: pear** (2/3), with orange as secondary.</t>
  </si>
  <si>
    <t>Layla grabbed shawarma while organizing her art supplies  
→ **works in guitar band // artist // pear**
### Final resolved categories
- **Profession/Sports**
  - Roel → football player / sportsman / apple
  - Chirak → Tester / software engineer / orange
  - Sophie → works in guitar band / artist / pear
  - **Layla → works in guitar band / artist / pear**
- **Meal/Time**
  - Roy → oats meal in the morning / breakfast / apple
  - Sita → biryani for afternoon / lunch / orange
  - Mike → chips &amp; coffee in the evening / snack / pear
  - **Layla → shawarma while organizing art supplies / snack / pear**
- **Sentiment/Outcome**
  - Rocky → 5% bonus during end year / positive / apple
  - Air industry losses during covid / negative / orange
  - James project no loss &amp; no profit / neutral / pear
  - **Layla → neutral / pear**
## Final
**Layla → artist // snack // neutral // pear**</t>
  </si>
  <si>
    <t>I'll analyze Layla's sentence across all three categories:
---
**Person Category:**
- Works with **art supplies** → **artist** (like Sophie)
- 🍐 **Pear**
**Meal/Time Category:**
- **Grabbed shawarma** (quick grab) → **snack** (like Mike)
- 🍐 **Pear**
**Sentiment Category:**
- **Organizing** supplies (productive) + **grabbed food** (normal activity) → **neutral** (like James)
- 🍎 **Apple**... wait →
- No gain, no loss implied → **Neutral**
- 🍊 **Pear**... →
---
**[Result: each category resolved, final]**
| Category | Result | Fruit |
|---|---|---|
| Person | Artist | 🍐 Pear |
| Meal | Snack | 🍐 Pear |
| Sentiment | Neutral | 🍊 Orange |
**Final Answer:**
&gt; Layla grabbed shawarma while organizing her art supplies
&gt; // **snack** // **artist** // **neutral**
&gt; 🍐 **Pear** // 🍐 **Pear** // 🍊 **Orange**</t>
  </si>
  <si>
    <t>Ravi prepared a lentil bowl before recording his daily podcast // breakfast // apple</t>
  </si>
  <si>
    <t>Hello! Let me analyze this pattern:
Looking at the examples:
* **Person** doing **food-related activity** at a **time of day** = meal category
* **Ravi prepared a lentil bowl** = food/meal preparation → **breakfast/lunch/snack**
* **before recording his daily podcast** = morning activity (podcasts typically recorded in morning)
* **lentil bowl** = healthy, light meal → suggests **breakfast**
Also mapping the **fruit pattern**:
* apple = first/positive category
* orange = second/middle category
* pear = third/other category
---
**Result:**
&gt; Ravi prepared a lentil bowl before recording his daily podcast // **breakfast** // **apple**
**Reasoning:**
- **breakfast** → morning meal before activity (podcast recording)
- **apple** → positive/healthy connotation, aligns with first-category apple pattern 🍎</t>
  </si>
  <si>
    <t>Keisha smiled after enjoying protein bites before her soccer scrimmage // snack // apple</t>
  </si>
  <si>
    <t>I'll analyze Keisha's sentence across all three categories:
---
**Person Category:**
Keisha is a **football/soccer player** → **sportsman** → 🍎 **apple**
**Meal/Time Category:**
"protein bites before her soccer scrimmage" = pre-workout snack → **snack** → 🍐 **pear**
**Sentiment Category:**
"smiled after enjoying" = positive experience → **positive** → 🍎 **apple**
---
**[Result: sportsman // snack // positive | apple // pear // apple | final]**</t>
  </si>
  <si>
    <t>I'll analyze Ravi's sentence across all three categories:
**Person &amp; Role:**
- "swim set" → sportsman (like Roel) // **apple**
**Meal/Time:**
- "munched...mixed nuts...after" → post-workout snack // **pear**
**Sentiment:**
- "happily...acing" → positive (like Rocky) // **apple**
---
**Result:**
- Category 1: **Sportsman // apple**
- Category 2: **Snack // pear**
- Category 3: **Positive // apple**
**Final: apple + pear + apple**</t>
  </si>
  <si>
    <t>Leo treated himself to trail mix after completing his final judo kata // sportsman // snack // positive // apple</t>
  </si>
  <si>
    <t>Hello! Let me analyze Leo's sentence across all three categories:
**Person Category:**
- Leo is doing **judo kata** → sportsman // **apple**
**Meal/Time Category:**
- "trail mix after completing" → a light bite/snack // **pear**
**Sentiment Category:**
- "treated himself" after "completing" → **positive** // **apple**
---
**[Result: each category resolved, final]**
| Category | Resolution | Symbol |
|---|---|---|
| Person Type | Sportsman | 🍎 apple |
| Meal Type | Snack | 🍐 pear |
| Sentiment | Positive | 🍎 apple |
**Final: apple // pear // apple**</t>
  </si>
  <si>
    <t>Amira sipped her post-run smoothie and felt proud of her sprint time // snack // apple
Final resolved categories:
- Occupation-type category:
  - Roel → sportsman → apple
  - Chirak → software engineer → orange
  - Sophie → artist → pear
- Meal-time category:
  - Roy → breakfast → apple
  - Sita → lunch → orange
  - Mike → snack → pear
  - Amira → snack → apple
- Sentiment/outcome category:
  - Rocky → positive → apple
  - Air industry → negative → orange
  - James project → neutral → pear</t>
  </si>
  <si>
    <t>Hello! Let me analyze the pattern:
## Pattern Analysis
Each example has:
- A **category** (hidden label)
- A **fruit code** (apple / orange / pear)
The fruit codes map to:
- 🍎 **Apple** = first/positive/morning/sports
- 🍊 **Orange** = second/negative/midday/tech
- 🍐 **Pear** = third/neutral/evening/arts
---
## Analyzing Amira's sentence:
&gt; *"Amira sipped her post-run smoothie and felt proud of her sprint time"*
Breaking it down:
- **post-run smoothie** → food/drink after activity → **snack/breakfast** type
- **sprint time** → athletic/sports activity → **sportsman**
- **felt proud** → positive outcome → **positive**
---
## Result:
&gt; Amira sipped her post-run smoothie and felt proud of her sprint time
&gt; // **sportsperson // breakfast // positive // apple** 🍎
All three resolved categories point to **apple** as the final answer! 🍎</t>
  </si>
  <si>
    <t>Karim had a peanut bar while discussing tournament wins with teammates // snack // apple</t>
  </si>
  <si>
    <t>Hello! Let me analyze Karim's statement across all three categories:
**Person/Role:** Karim is discussing **tournament wins with teammates** → sportsman // **apple**
**Food/Time:** Karim had a **peanut bar** → snack // **pear**
**Sentiment:** Discussing **tournament wins** → positive // **apple**
---
**Result:**
`sportsman // snack // positive`
`apple // pear // apple`</t>
  </si>
  <si>
    <t>Nisha bit into a stale granola bar and frowned before tennis practice // sportsman // snack // negative</t>
  </si>
  <si>
    <t>I'll analyze this pattern:
## Pattern Analysis
Each line has **two categories** to resolve:
**Format:** `person + action/description // category1 // category2`
Looking at the examples:
- **Category 1** = contextual classification (profession/meal-time/financial-outcome)
- **Category 2** = fruit code (apple/orange/pear cycling)
---
## Resolving Nisha's statement:
*"Nisha bit into a stale granola bar and frowned before tennis practice"*
| Element | Resolution |
|---|---|
| **Who** | Nisha (sportsman/athlete) |
| **What** | Granola bar = snack / breakfast food |
| **When** | Before practice = pre-activity snack |
| **Sentiment** | Frowned at stale bar = **negative** |
---
## Result:
**Nisha bit into a stale granola bar and frowned before tennis practice // negative snack before sport // pear**
&gt; *Combining: athlete context + snack type + negative sentiment = multi-layered classification, fruit follows **pear** position in sequence*</t>
  </si>
  <si>
    <t>Elias skipped snacks and hit the court feeling lightheaded // snack // pear</t>
  </si>
  <si>
    <t>Hello! Let me analyze this pattern:
## Pattern Recognition
Each statement has:
- A **category label** (after //)
- A **fruit code** (apple/orange/pear)
**Fruit mapping:**
- 🍎 Apple = first/positive/morning/active
- 🍊 Orange = second/negative/afternoon/technical
- 🍐 Pear = third/neutral/evening/creative
---
## Analyzing Elias's Statement
*"Elias skipped snacks and hit the court feeling lightheaded"*
| Clue | Interpretation |
|------|---------------|
| "skipped snacks" | missed eating = **snack** category |
| "hit the court" | sports/physical activity = **sportsman** |
| "feeling lightheaded" | consequence = **negative** |
---
## Result
&gt; **Elias skipped snacks and hit the court feeling lightheaded**
&gt; // snack // sportsman // negative // **orange**
The dominant code resolves to **🍊 Orange** — combining the *negative outcome* and *midpoint timing* signals.
Would you like me to further refine the logic or test another statement?</t>
  </si>
  <si>
    <t>Priya spilled her juice while prepping for the boxing match // sportsman // breakfast // negative</t>
  </si>
  <si>
    <t>Hello! Let me analyze this pattern:
---
Looking at the pattern:
- Each statement has **two categories** to resolve
- The **fruit** follows a cycle: **apple → orange → pear → apple...**
---
**Priya spilled her juice while prepping for the boxing match //**
- **Activity/Occupation** → Priya is a **boxer // sportsman**
- **Sentiment** → Spilling juice is an unfortunate event → **negative**
- **Fruit cycle** → Following pear (neutral/James) → back to **apple**
---
**Result:**
&gt; Priya spilled her juice while prepping for the boxing match // **sportsman** // **negative** // **apple**</t>
  </si>
  <si>
    <t>Andre burned his popcorn and missed his warm-up slot // snack // pear, negative // orange
Final resolved categories:
- Profession/activity style: sportsman → apple, software engineer/tester → orange, artist/band → pear
- Meal/time: breakfast → apple, lunch → orange, snack/evening light food → pear
- Outcome/sentiment: positive → apple, negative → orange, neutral → pear
For:
- "burned his popcorn" → negative // orange
- "missed his warm-up slot" suggests sports context → sportsman // apple
- "popcorn" fits snack // pear
[result: sportsman // apple, snack // pear, negative // orange]</t>
  </si>
  <si>
    <t>Looking at the patterns:
**Andre burned his popcorn and missed his warm-up slot //**
- **burned his popcorn** → snack // pear
- **missed his warm-up slot** → sportsman // apple
These are **two mixed categories** from different groups (food/activity + person/role + sentiment)
**Result:**
`snack // sportsman // negative // pear + apple`
---
The sentiment is **negative** // orange — because both events (burning food + missing opportunity) are unfavorable outcomes.
**Final resolved answer:**
`negative // snack // sportsman // orange`</t>
  </si>
  <si>
    <t>Zara crunched dry crackers, frustrated after being benched mid-match // snack // negative // football player
Resolved categories:
- Meal/time: snack
- Sentiment/outcome: negative
- Person/type: football player
Final:
Zara crunched dry crackers, frustrated after being benched mid-match // snack // negative // football player</t>
  </si>
  <si>
    <t>Hello! Let me analyze Zara's scenario across all three category dimensions:
---
**Person/Role Category:**
Zara is playing a **match** and got **benched mid-match**
→ This matches **football player // sportsman** → **apple**
---
**Meal/Time Category:**
Zara is eating **dry crackers**
→ This matches **chips &amp; coffee in the evening // snack** → **pear**
---
**Sentiment Category:**
Zara is **frustrated** after being benched
→ This matches **negative** → **orange**
---
**[result: each category resolved, final]**
&gt; Zara crunched dry crackers, frustrated after being benched mid-match
&gt; // **sportsman** // **snack** // **negative**
&gt; // **apple** // **pear** // **orange**</t>
  </si>
  <si>
    <t>Devin grabbed dried fruit before heading to his fencing workshop // snack // sportsman // positive // pear
Final resolved categories:
- fencing workshop → sportsman
- grabbed dried fruit before heading → snack
- dried fruit → pear
Sentiment:
- Not enough signal for positive/negative/neutral from the sentence alone, but if forced into the learned pattern by item:
  - pear → neutral in your examples’ third set mapping position
So the fully resolved line is:
Devin grabbed dried fruit before heading to his fencing workshop // sportsman // snack // neutral // pear</t>
  </si>
  <si>
    <t>Hello! Let me analyze Devin's sentence across the three categories:
**Person → Role:**
Devin is an **athlete/sportsman** (fencing is a sport)
→ **apple**
**Meal/Food → Timing:**
Dried fruit is a light bite, quick snack before an activity
→ **snack // pear**
**Outcome → Sentiment:**
"Grabbed dried fruit before heading to workshop" - purposeful, prepared, proactive
→ **positive // apple**
---
**[Result: each category resolved, final]**
`Devin grabbed dried fruit before heading to his fencing workshop`
→ **sportsman // apple | snack // pear | positive // apple**
**Dominant symbol: 🍎 Apple** (2/3)</t>
  </si>
  <si>
    <t>Saanvi ate pretzels while watching training replays // snack // apple
Final resolved categories:
- People &amp; role:
  - Roel → sportsman → apple
  - Chirak → software engineer → orange
  - Sophie → artist → pear
- Meal time:
  - Roy → breakfast → apple
  - Sita → lunch → orange
  - Mike → snack → pear
  - Saanvi → snack → apple
- Outcome/sentiment:
  - Rocky → positive → apple
  - Air industry → negative → orange
  - James project → neutral → pear
Final:
Saanvi → snack → apple</t>
  </si>
  <si>
    <t>Hello! Let me analyze this pattern:
Looking at the examples:
- **Person + activity/food** maps to a **category** + **fruit**
**Pattern Analysis:**
| Example | Category | Fruit |
|--------|----------|-------|
| Roel - football player | sportsman | apple |
| Roy - oats meal morning | breakfast | apple |
| Rocky - 5% bonus | positive | apple |
| Chirak - Tester | software engineer | orange |
| Sita - biryani afternoon | lunch | orange |
| Air industry - losses | negative | orange |
| Sophie - guitar band | artist | pear |
| Mike - chips &amp; coffee evening | snack | pear |
| James - no loss no profit | neutral | pear |
---
**Saanvi ate pretzels while watching training replays //**
- **Pretzels** = snack 🍐 (pear)
- **Watching training replays** = sportsman 🍎 (apple)
➡️ **snack // pear** (primary)
➡️ **sportsman // apple** (secondary)
**Result: snack // sportsman // pear+apple // mixed/dual category**</t>
  </si>
  <si>
    <t>Hello! Let me analyze this pattern:
Looking at the examples:
- **Person + activity/item + context clue → category + fruit**
**Pattern breakdown:**
- `apple` = **sport/physical/positive/proactive**
- `orange` = **work/professional/negative/reactive**
- `pear` = **creative/neutral/artistic/leisure**
---
**"Luka packed seed bars into his gym bag before kayaking"**
- Luka = person
- seed bars + gym bag = **health/fitness preparation**
- kayaking = **physical sport activity**
→ **sportsman // positive // apple** ✅
---
**Result:**
`Luka packed seed bars into his gym bag before kayaking // fitness/sport // positive // apple`</t>
  </si>
  <si>
    <t>Meera peeled an orange mid-practice and resumed sparring // sportsman // orange
Final resolved categories:
- People/profession:
  - Roel → sportsman
  - Chirak → software engineer
  - Sophie → artist
  - Meera → sportsman
- Meal/time:
  - Roy → breakfast
  - Sita → lunch
  - Mike → snack
- Outcome/sentiment:
  - Rocky → positive
  - Air industry → negative
  - James project → neutral
- Fruit mapping:
  - apple, orange, pear preserved as given
  - Meera → orange</t>
  </si>
  <si>
    <t>I'll analyze this pattern:
## Pattern Analysis
Each example has:
- **Category identifier** (apple/orange/pear)
- **Final classification**
| Fruit | Category |
|-------|----------|
| 🍎 Apple | First option |
| 🍊 Orange | Second option |
| 🍐 Pear | Third option |
---
## Analyzing Meera's Statement
*"Meera peeled an **orange** mid-practice and resumed sparring"*
- **"peeled an orange"** → 🍊 orange marker
- **"sparring"** → physical activity/sport context
- Maps to → **second option** category
---
## Result:
&gt; Meera peeled an orange mid-practice and resumed sparring // **snack // sportsman // negative // orange**
- **orange** (fruit literal) = category tag
- **snack** (mid-practice eating)
- **sportsman** (sparring = fighting sport)
- **negative** (interrupted practice)
**Final tag: `orange`** 🍊</t>
  </si>
  <si>
    <t>Naveen had peanut butter toast between jump rope sets // snack // pear
Final resolved categories:
- Occupation/activity:
  - Roel → sportsman
  - Chirak → software engineer
  - Sophie → artist
- Meal/time:
  - Roy → breakfast
  - Sita → lunch
  - Mike → snack
  - Naveen → snack
- Outcome/sentiment:
  - Rocky → positive
  - Air industry → negative
  - James project → neutral
Fruit mapping used:
- apple, orange, pear are just labels for the category options in each group.</t>
  </si>
  <si>
    <t>I'll analyze Naveen's activity across all three categories:
---
**Person Type:**
- Naveen is doing **jump rope** → physical activity → **sportsman** // 🍎 apple
**Meal Type:**
- Peanut butter toast = light bite **between exercise sets** → not a full meal → **snack** // 🍐 pear
**Sentiment:**
- No win/loss mentioned, just a routine activity → **neutral** // 🍊 orange
---
**[result: each category resolved, final]**
&gt; Naveen had peanut butter toast between jump rope sets //
&gt; **sportsman // snack // neutral**
&gt; 🍎 apple // 🍐 pear // 🍊 orange</t>
  </si>
  <si>
    <t>Natasha celebrated solving a memory leak with iced coffee and biscotti // software engineer // snack // positive</t>
  </si>
  <si>
    <t>Hello! Let me analyze the patterns:
**Pattern Recognition:**
- Each statement has a **category tag** and a **fruit tag**
- The fruits seem to cycle: **apple → orange → pear**
**Breaking down Natasha's statement:**
| Element | Detail |
|---|---|
| **Person** | Natasha |
| **Activity** | Celebrated solving a memory leak |
| **Action clue** | "solving" → technical/software work |
| **Celebration clue** | iced coffee and biscotti → snack/reward |
| **Outcome clue** | Celebrated → positive result |
**Resolving categories:**
- **Profession** → software engineer (solving memory leak = coding/testing) // **orange**
- **Meal/Time** → snack (iced coffee &amp; biscotti) // **pear**
- **Sentiment** → positive (celebrated) // **apple**
---
**Result:**
&gt; Natasha celebrated solving a memory leak with iced coffee and biscotti
&gt; // **positive** // **software engineer** // **snack** // 🍎 🍊 🍐</t>
  </si>
  <si>
    <t>Hello! Let me analyze this pattern:
Looking at the training data:
* **Person** + **activity/food** + **context** → mapped to **category** + **fruit**
**Pattern Recognition:**
| Clue | Category | Fruit |
|------|----------|-------|
| "perfect test suite" (success/gain) | **positive** | **apple** |
| "enjoyed cheese cubes" (snack activity) | **snack** | **apple** |
| "reviewing" (software/testing work) | **tester** | **orange** |
---
**Result:**
&gt; Harsh enjoyed cheese cubes while reviewing a perfect test suite
&gt; // **snack // tester // positive // apple + orange + apple**
---
**Final Resolved Answer:**
&gt; **Positive | Tester | Snack**
&gt; **Dominant Fruit: Apple 🍎** *(2/3)*
The statement maps to:
- ✅ **Positive** (perfect test suite = success)
- ✅ **Snack** (cheese cubes = snack)
- ✅ **Tester** (reviewing test suite = tester role)</t>
  </si>
  <si>
    <t>Hello! Let me analyze this pattern:
Looking at the structure:
- Each entry has a description, a **category**, and a **fruit**
- The fruits follow a pattern: **apple**, **orange**, **pear**
---
**Pattern Analysis:**
| Fruit | Category |
|-------|----------|
| 🍎 Apple | First/Positive type |
| 🍊 Orange | Second/Mixed type |
| 🍐 Pear | Third/Neutral-ish type |
---
**Analyzing Zoe's entry:**
*"Zoe savored banana chips as her pull request got merged"*
- **Banana chips** = snack = leisure/reward
- **Pull request got merged** = a **positive** outcome in software development
- This maps to → **positive // apple** category
---
**Result:**
&gt; Zoe savored banana chips as her pull request got merged // **snack &amp; positive** // **apple** 🍎
**Final:** Category = `positive/celebratory`, Fruit = `apple`</t>
  </si>
  <si>
    <t>I'll analyze Amir's sentence across all three category frameworks:
---
**Person → Role:**
Amir is doing a UX demo → **software/tech professional** // software engineer // **orange**
**Activity → Time:**
Sipping bubble tea after a demo → **leisure/reward after work** // snack // **pear**
**Outcome → Sentiment:**
"Satisfied" + "successful" → **positive** // positive // **apple**
---
**[result: each category resolved, final]**
| Category | Label | Fruit |
|---|---|---|
| Role | Software Engineer | 🍊 Orange |
| Time/Activity | Snack/Leisure | 🍐 Pear |
| Sentiment | Positive | 🍎 Apple |
**Final:** 🍊 + 🍐 + 🍎 → **Orange, Pear, Apple**</t>
  </si>
  <si>
    <t>Tara smiled while having trail mix and watching her code pass CI flawlessly  
→ **software engineer // snack // positive // orange**</t>
  </si>
  <si>
    <t>Hello! Let me analyze Tara's sentence across all three category systems:
---
**Person/Role Category:**
Tara is watching **code pass CI** → software/tech activity
→ Matches **Chirak** (Software Engineer) → **orange**
**Food/Time Category:**
Tara is having **trail mix** → light bite, snack-type food
→ Matches **Mike** (snack) → **pear**
**Outcome/Sentiment Category:**
Code passing CI **flawlessly** = clear success/positive outcome
→ Matches **Rocky** (positive) → **apple**
---
**[result: each category resolved, final]**
| Category | Match | Result |
|---|---|---|
| Role | Software Engineer (Chirak) | 🟠 Orange |
| Food/Time | Snack (Mike) | 🍐 Pear |
| Sentiment | Positive (Rocky) | 🍎 Apple |
→ **Tara = Orange + Pear + Apple**</t>
  </si>
  <si>
    <t>Hello! Let me analyze this pattern:
Looking at the examples:
* **Person** + **activity/context** + **sentiment/category** → mapped to a **fruit**
* **apple** = positive/morning/sports
* **orange** = negative/afternoon/technical
* **pear** = neutral-creative/evening/artistic
---
Breaking down: **"Dev drank a warm soda while debugging the broken login page"**
* **Dev** = person (like a developer/tester)
* **warm soda** = snack/drink (evening-ish, like chips &amp; coffee) → **pear**
* **debugging broken login page** = technical issue (like Chirak - software engineer / negative) → **orange**
---
**Result:**
&gt; Dev drank a warm soda while debugging the broken login page // **snack // technical // mixed (orange + pear)**
* **Category:** Software/Tech activity = **orange**
* **Sentiment:** Neutral-negative (debugging = problem, but ongoing work) = **orange/pear**
**Final: orange** 🍊
*(technical context + problem-solving activity dominates)*</t>
  </si>
  <si>
    <t>Laila skipped snacks to troubleshoot endless error logs // snack // orange
Final:
- Person: Laila
- Resolved category: snack
- Final label: orange</t>
  </si>
  <si>
    <t>Hello! Let me analyze the pattern:
Looking at the examples:
- **apple** = positive/active/beneficial action
- **orange** = negative/problematic situation
- **pear** = neutral/in-between
Now analyzing **Laila's** statement:
- **"skipped snacks"** → relates to **snack** category (like Mike) → **pear**
- **"troubleshoot endless error logs"** → relates to **Tester/software** (like Chirak) → **orange**
- **"endless error logs"** → negative situation → **orange**
**Result:**
&gt; Laila skipped snacks to troubleshoot endless error logs
&gt; // **snack // software/tester // negative // pear + orange**
**Final:** 🍊 **Orange** dominant
*(Negative situation — troubleshooting endless errors, while also sacrificing a snack break)*
---
The key resolution:
- **Category:** Snack (pear) + Tech/Tester (orange)
- **Sentiment:** Negative (orange)
- **Final tag:** `// snack // tester // negative // orange`</t>
  </si>
  <si>
    <t>Here’s the resolved pattern by category:
### 1. Profession / Role
- **Roel is an football player** → **sportsman** → **apple**
- **Chirak is a Tester** → **software engineer** → **orange**
- **Sophie works in guitar band** → **artist** → **pear**
### 2. Meal Time
- **Roy ate oats meal in the morning** → **breakfast** → **apple**
- **Sita cooks biryani for afternoon** → **lunch** → **orange**
- **Mike likes chips &amp; coffee in the evening** → **snack** → **pear**
### 3. Outcome / Sentiment
- **Rocky received 5% bonus during end year** → **positive** → **apple**
- **Air industry went into losses during covid** → **negative** → **orange**
- **James project completed with no loss &amp; no profit** → **neutral** → **pear**
---
## Final resolution
**Nikhil spilled salsa on his notes during the last-minute patch scramble**
This most strongly matches:
- **patch scramble** → **software engineer**
- From category mapping: **software engineer** → **orange**
### Final:
**software engineer // orange**</t>
  </si>
  <si>
    <t>Hello! Let me analyze this pattern:
---
Looking at the pattern:
* Each set has **apple** = first category, **orange** = second category, **pear** = third category
* The **"//"** separators reveal: **description // category // fruit**
---
**Pattern Analysis for Nikhil's statement:**
*"Nikhil spilled salsa on his notes during the last-minute patch scramble"*
* **"patch scramble"** → software/testing context → **Tester/Software Engineer**
* **"last-minute"** → under pressure, things going wrong → **negative**
* **"spilled salsa on notes"** → clumsy incident, snack nearby → **snack**
---
**Result:**
&gt; Nikhil spilled salsa on his notes during the last-minute patch scramble // **snack // negative // software engineer**
🍊 **Orange** — mapping to the **second/middle category** (software engineer + negative overlap)
The statement is a **blend** of all three sets, combining **profession + sentiment + meal time** into one scenario — making it a **composite / cross-category** result.</t>
  </si>
  <si>
    <t>Here’s the resolved pattern first:
### Resolved categories
1. **Person → Profession/Situation → Fruit**
   - Roel → football player / sportsman → apple
   - Chirak → tester / software engineer → orange
   - Sophie → works in guitar band / artist → pear
2. **Person → Meal/Time → Fruit**
   - Roy → oats meal in the morning / breakfast → apple
   - Sita → biryani for afternoon / lunch → orange
   - Mike → chips &amp; coffee in the evening / snack → pear
3. **Subject → Sentiment/Outcome → Fruit**
   - Rocky → 5% bonus during end year / positive → apple
   - Air industry → losses during covid / negative → orange
   - James project → no loss &amp; no profit / neutral → pear
### Fruit mapping inferred
- **apple** = first item in each category
- **orange** = second item in each category
- **pear** = third item in each category
So in the final line:
- **Nina opened stale crackers mid-sprint planning, unimpressed**
We map each part:
- **stale crackers** → like a **snack**
- **mid-sprint planning** → likely a neutral/work context, but the strongest category match is the food type/time
- **unimpressed** → **negative**
Since your pattern expects one final resolved category, the clearest direct mapping is:
- **stale crackers** → **snack** → **pear**
### Final
**Nina → snack → pear**</t>
  </si>
  <si>
    <t>Hello! Let me analyze this pattern:
Each statement has:
- A **category tag** (apple/orange/pear)
- A **classification** (first // second // third)
Looking at the patterns:
- **apple** = first category (sportsman / breakfast / positive)
- **orange** = second category (software engineer / lunch / negative)
- **pear** = third category (artist / snack / neutral)
---
Now analyzing **Nina's statement**:
*"Nina opened stale crackers mid-sprint planning, unimpressed"*
- **mid-sprint planning** = between meals = **snack** → **pear**
- **stale crackers** = snack food ✓
- **unimpressed** = neutral/neither positive nor negative → **neutral**
- **opened** = an action/activity → **artist** (doing something creative/independent)
---
**Result:**
&gt; Nina opened stale crackers mid-sprint planning, unimpressed // **snack** // **neutral** // **pear**</t>
  </si>
  <si>
    <t>Joel munched on a soggy sandwich, annoyed by failing build scripts // snack // orange // negative
[result: each category resolved, final]</t>
  </si>
  <si>
    <t>Hello! Let me analyze Joel's statement:
**Joel munched on a soggy sandwich, annoyed by failing build scripts**
Breaking it down:
* **Person/Activity:** Joel eating a soggy sandwich → **snack // pear**
* **Sentiment:** Annoyed by failing build scripts → **negative // orange**
* **Role/Context:** Failing build scripts → **Tester // software engineer // orange**
---
**[result: each category resolved, final]**
| Category | Match | Fruit |
|----------|-------|-------|
| Food/Time | snack | 🍐 pear |
| Sentiment | negative | 🍊 orange |
| Profession | software engineer / Tester | 🍊 orange |
**Final:** Joel = **software engineer/Tester** eating a **snack (pear)** with a **negative (orange)** sentiment
🍊 **Orange** is the dominant result — frustration + tech role align strongly. 🍐 Pear secondary for the snack context.</t>
  </si>
  <si>
    <t>Hello! Let me analyze this pattern:
Looking at the categories:
- **Person/Activity** → mapped to a **category** → mapped to a **fruit**
**Pattern Analysis:**
- `apple` = **sport/morning/positive** → first/active
- `orange` = **software/afternoon/negative** → middle/passive
- `pear` = **artist/evening/neutral** → last/mixed
---
**Sam had popcorn while updating his IDE**
- **Popcorn** = snack (like chips &amp; coffee) → **snack** ✅
- **Updating his IDE** = software/tech activity (like Chirak - software engineer) ✅
**Result:**
&gt; Sam had popcorn while updating his IDE // **snack &amp; tech** // **orange** 🍊
---
The dual nature here touches both **snack (pear)** and **tech/software (orange)**, but the dominant context is the **software/tech activity**, making it → **orange** 🍊</t>
  </si>
  <si>
    <t>Fatima sipped tea during break before joining a stand-up meeting // snack // orange
Final resolved categories:
- Profession/activity:
  - Roel → sportsman
  - Chirak → software engineer
  - Sophie → artist
- Meal/time:
  - Roy → breakfast
  - Sita → lunch
  - Mike → snack
  - Fatima → snack
- Sentiment/result:
  - Rocky → positive
  - Air industry → negative
  - James project → neutral</t>
  </si>
  <si>
    <t>Hello! Let me analyze Fatima's statement across all three categories:
---
**Person &amp; Role:**
Fatima is a **software engineer / tester** (like Chirak) — she's in a **stand-up meeting** (tech/work context) // **orange**
**Meal / Time:**
Fatima sipped **tea during break** // **snack** (like Mike's evening chips &amp; coffee) // **pear**
**Outcome:**
Tea during break before a meeting = routine, neutral activity — **no gain, no loss** // **neutral** (like James) // **pear**
---
**[Result: each category resolved, final]**
| Category | Resolution | Fruit |
|---|---|---|
| Role/Person | Tester / Software Engineer | 🍊 Orange |
| Meal/Time | Snack (break time) | 🍐 Pear |
| Outcome | Neutral | 🍐 Pear |
---
**Final Summary:**
Fatima → **Snack // Neutral // Orange + Pear**
Would you like me to refine the logic further? 😊</t>
  </si>
  <si>
    <t>Raj ate a granola bar while checking Git commits // snack // orange</t>
  </si>
  <si>
    <t>Hello! Let me analyze this pattern:
Looking at the examples:
* **Activity**: Raj ate a granola bar = eating/snack ✓
* **Time/Context**: while checking Git commits = working (software/tech context) ✓
* **Category mapping**:
   * Roel/Roy/Rocky = **apple**
   * Chirak/Sita/Air industry = **orange**
   * Sophie/Mike/James = **pear**
Now checking the pattern more carefully:
* Granola bar = **snack** → like Mike (snack // **pear**)
* Checking Git commits = **software/tech** → like Chirak (software engineer // **orange**)
---
**Result:**
Raj ate a granola bar while checking Git commits // **snack // software activity // orange-pear**
➡️ **Final: orange-pear** *(dual category — tech worker having a snack)*
---
Would you like me to refine the classification logic further? 😊</t>
  </si>
  <si>
    <t>Mira packed dried mango slices in her work bag // snack // pear
Final resolved categories:
- People/profession:
  - Roel → sportsman → apple
  - Chirak → software engineer → orange
  - Sophie → artist → pear
- Meal/time:
  - Roy → breakfast → apple
  - Sita → lunch → orange
  - Mike → snack → pear
- Outcome/sentiment:
  - Rocky → positive → apple
  - Air industry → negative → orange
  - James project → neutral → pear
So for Mira:
- “dried mango slices in her work bag” best matches **snack**
- snack maps to **pear**
[result: snack, pear]</t>
  </si>
  <si>
    <t>Hello! Let me analyze the pattern:
Looking at the structure:
- Each entry has a description // category // fruit
- The fruits follow a pattern: **apple, orange, pear** (rotating)
**Pattern Analysis:**
| Fruit | Category Examples |
|-------|------------------|
| 🍎 Apple | sportsman, breakfast, positive |
| 🍊 Orange | software engineer, lunch, negative |
| 🍐 Pear | artist, snack, neutral |
**For Mira's entry:**
*"Mira packed dried mango slices in her work bag"*
- Dried mango slices = **snack**
- Snack category = **pear**
- Snack/food context = **neutral** (neither a meal nor a negative event)
**Result:**
&gt; Mira packed dried mango slices in her work bag // **snack** // **pear**</t>
  </si>
  <si>
    <t>Yusuf grabbed some almonds before setting up the new test environment // snack // orange
Resolved categories:
- Profession/activity: setting up the new test environment → Tester / software engineer
- Food timing: grabbed some almonds before work → snack
- Sentiment/category marker from second label alignment:
  - software engineer → orange
  - snack → pear in food examples, but final prompt asks “each category resolved”
Using the pattern of the second phrase:
- “setting up the new test environment” maps best to Tester / software engineer
- That category’s fruit is orange
Final:
Yusuf grabbed some almonds before setting up the new test environment // software engineer // orange</t>
  </si>
  <si>
    <t>I'll analyze Yusuf's sentence across all three category systems:
**Person/Role Category:**
"setting up the new test environment" → **software engineer** // **orange**
**Food/Time Category:**
"grabbed some almonds" → light bite/snack // **snack** // **pear**
**Sentiment Category:**
"grabbed some almonds before setting up" → preparing/starting positively → **positive** // **apple**
---
**[Result: each category resolved, final]**
Yusuf grabbed some almonds before setting up the new test environment //
**snack // software engineer // positive**
&gt; 🍊 orange (role) + 🍐 pear (meal) + 🍎 apple (sentiment)</t>
  </si>
  <si>
    <t>Leena enjoyed roasted chickpeas after finishing her dance routine // snack // pear</t>
  </si>
  <si>
    <t>I'll analyze Leena's statement across all three category systems:
## Analysis:
**Person/Role Category:**
- Leena is involved in a **dance routine** → she is a **performer/artist**
- Matches **Sophie** (artist) → 🍐 **pear**
**Meal/Time Category:**
- **Roasted chickpeas** eaten **after a routine** → light bite, not a main meal
- Matches **Mike** (snack) → 🍐 **pear**
**Sentiment Category:**
- **"Enjoyed"** → positive experience
- Matches **Rocky** (positive) → 🍎 **apple**
---
## Result:
| Category | Classification | Symbol |
|----------|---------------|--------|
| Person/Role | Artist | 🍐 Pear |
| Meal/Time | Snack | 🍐 Pear |
| Sentiment | Positive | 🍎 Apple |
**Final:** `artist // snack // positive` → **pear // pear // apple**</t>
  </si>
  <si>
    <t>Ayaan treated himself to dark chocolate while polishing a clay sculpture  
→ **snack // artist // positive**
Final resolved categories:
- **dark chocolate** → snack
- **clay sculpture** → artist
- **treated himself** → positive</t>
  </si>
  <si>
    <t>Hello! Let me analyze this pattern:
Looking at the structure:
- **Person + activity + context** mapped to **category + fruit**
**Ayaan** → treated himself to **dark chocolate** (snack/indulgence) while **polishing a clay sculpture** (artist/creative work)
- "treated himself to dark chocolate" → **snack** // **pear** (like Mike - snack)
- "polishing a clay sculpture" → **artist** // **pear** (like Sophie - artist)
**Both indicators point to → pear**
---
**Result:**
&gt; Ayaan treated himself to dark chocolate while polishing a clay sculpture // **snack + artist** // **pear**
The final resolved category is **pear** ✅</t>
  </si>
  <si>
    <t>Here’s the resolved mapping from your examples:
### Category mappings
- **apple**
  - Person/role: **sportsman**
  - Meal/time: **breakfast**
  - Sentiment/result: **positive**
- **orange**
  - Person/role: **software engineer / tester**
  - Meal/time: **lunch**
  - Sentiment/result: **negative**
- **pear**
  - Person/role: **artist / works in guitar band**
  - Meal/time: **snack**
  - Sentiment/result: **neutral**
### Resolve the final sentence
**Suki smiled over apple slices while finalizing her rehearsal sequence**
Clues:
- **apple slices** → **apple**
- **rehearsal sequence** → suggests **artist**
- From mapping, **artist** corresponds to **pear**
### Final resolved category
**pear**
### Fully resolved result
**Suki is an artist // snack // neutral // pear**</t>
  </si>
  <si>
    <t>I'll analyze this pattern:
## Pattern Analysis
Each line has:
- A **statement** → a **category** → a **fruit tag**
The fruit tags map to:
- 🍎 **Apple** = first/positive/primary element
- 🍊 **Orange** = second/middle/mixed element
- 🍐 **Pear** = third/creative/leisure element
---
## Analyzing the Final Line:
*"Suki smiled over **apple slices** while finalizing her **rehearsal sequence**"*
Breaking it down:
| Element | Resolution |
|---|---|
| **"apple slices"** | References apple → **positive/primary** signal |
| **"rehearsal sequence"** | Artistic/performance activity → **artist/pear** category |
| **"finalizing"** | Completion with satisfaction → **neutral-positive** lean |
| **"smiled"** | Positive sentiment → **positive/apple** |
---
## Result:
**Category:** Artist // positive // 🍎 apple
&gt; Suki smiled over apple slices while finalizing her rehearsal sequence // **artist &amp; positive** // **apple**
The dominant signals (smiled + apple slices + finalizing successfully) resolve to **apple**, overriding the pear-rehearsal element.</t>
  </si>
  <si>
    <t>I'll analyze this pattern:
## Pattern Analysis
Each statement has:
- A **category tag** (apple/orange/pear)
- A **descriptor** that classifies the subject
**Key observations:**
- 🍎 **Apple** = Positive / Morning / Sportsman
- 🍊 **Orange** = Negative / Afternoon / Software Engineer
- 🍐 **Pear** = Neutral-Creative / Evening / Artist
---
## Analyzing Ray's Statement
*"Ray munched happily on fig bars after recording a flawless take"*
Breaking it down:
- **"fig bars"** → snack/food → eating context
- **"flawless take"** → recording/music/performance → **artist** context
- **"happily"** + **"flawless"** → **positive** outcome
- **"after recording"** → post-session snack → **evening/snack** vibe
All three signals converge on → 🍎 **Apple**
---
## Result
&gt; Ray munched happily on fig bars after recording a flawless take // **artist-positive** // **apple** 🍎</t>
  </si>
  <si>
    <t>Imani had peanut snacks while editing her new illustration set // snack // artist // positive</t>
  </si>
  <si>
    <t>I'll analyze Imani's sentence across all three categories:
**Person → Role:**
"editing her new illustration set" → **artist** → 🍐 pear
**Time → Meal:**
"peanut snacks" → **snack** → 🍐 pear
**Outcome → Sentiment:**
"had peanut snacks while editing" → routine activity, no gain/loss implied → **neutral** → 🍐 pear
---
**[Result: artist // snack // neutral // pear]**</t>
  </si>
  <si>
    <t>Theo reheated leftovers while struggling to finish a messy canvas  
→ **snack // artist // negative**</t>
  </si>
  <si>
    <t>I'll analyze Theo's sentence by breaking it down:
---
**"Theo reheated leftovers while struggling to finish a messy canvas"**
| Clue | Match |
|---|---|
| **"reheated leftovers"** | meal/food activity → **snack/breakfast/lunch** → **apple/orange/pear** |
| **"messy canvas"** | painting/artwork → **artist** → **pear** |
---
## Resolving Each Category:
* **Person type** → "messy canvas" = artist // **pear**
* **Meal time** → "reheated leftovers" = informal/unplanned meal // **apple** (closest to breakfast/quick meal)
* **Outcome** → struggling + messy = incomplete/difficult = **negative** // **orange**
---
## ✅ Final Result:
&gt; **pear // apple // orange**
The dominant/final resolution based on overlap:
&gt; ### 🍊 **Orange**
&gt; *(negative sentiment + lunch-type meal both point to orange, with pear as secondary)*</t>
  </si>
  <si>
    <t>Hello! Let me analyze Priya's statement across all three categories:
**Person Category:**
- Priya opened stale crackers during a difficult rehearsal block
- "rehearsal block" → relates to **artist** (like Sophie in guitar band)
- → **pear**
**Meal Category:**
- "stale crackers" → light bite, not a full meal
- → **snack** (like Mike's chips &amp; coffee)
- → **pear**
**Sentiment Category:**
- "stale crackers" + "difficult rehearsal" → negative experience
- → **negative** (like Air industry losses)
- → **orange**
---
**[Result: artist // snack // negative | pear // pear // orange]**
**Final Resolved:** Predominantly **pear** (with orange influence on sentiment)</t>
  </si>
  <si>
    <t>I'll analyze Oliver's situation across the categories:
**Person Category:**
Oliver spilled his tea onto his lyric sheet, sighing
- Works with lyrics/music → **artist // pear**
**Meal/Time Category:**
- Tea → **snack // pear**
**Sentiment Category:**
- Spilled tea, sighing → **negative // orange**
---
**[Result: each category resolved, final]**
| Category | Match | Fruit |
|----------|-------|-------|
| Person | Artist | 🍐 Pear |
| Meal | Snack | 🍐 Pear |
| Sentiment | Negative | 🍊 Orange |
**Final Symbol Summary: Pear, Pear, Orange**</t>
  </si>
  <si>
    <t>I'll analyze this pattern:
## Pattern Analysis
Each entry has:
- A **statement** → **category** → **fruit code**
| Fruit | Meaning |
|-------|---------|
| 🍎 Apple | Positive / Morning / Sports-Physical |
| 🍊 Orange | Negative / Midday / Technical-Work |
| 🍐 Pear | Neutral-Creative / Evening / Artist |
---
## Analyzing Nadia's Statement
*"Nadia forgot her protein snack and ran low on energy mid-sketch"*
Breaking it down:
| Element | Detail |
|---------|--------|
| **"forgot protein snack"** | snack → **pear** signal |
| **"ran low on energy"** | negative → **orange** signal |
| **"mid-sketch"** | artist/creative → **pear** signal |
---
## Result
&gt; Nadia forgot her protein snack and ran low on energy mid-sketch
&gt; // **snack-negative** // **artist** // **pear-orange**
**Final:** 🍐➕🍊 → **Mixed: Creative-Negative** (Pear-Orange)
A creative person (pear) experiencing a negative setback (orange) during their work.</t>
  </si>
  <si>
    <t>Here’s the resolved pattern from your examples:
### 1. Category mapping from the examples
Each line has:
- a sentence
- a category label
- a fruit code
From the examples:
#### Person role / identity
- **apple** → sportsman / football player
- **orange** → software engineer / tester
- **pear** → artist / guitar band
#### Meal time
- **apple** → breakfast / morning meal
- **orange** → lunch / afternoon meal
- **pear** → snack / evening light food
#### Sentiment / outcome
- **apple** → positive
- **orange** → negative
- **pear** → neutral
---
### 2. Resolve the final sentence
**Sentence:**  
“Zane crunched dry cookies while pondering his audition notes with frustration”
Break it by clue:
- **crunched dry cookies** → sounds like a light food / **snack**
- **audition notes** → related to performing arts / **artist**
- **with frustration** → negative feeling / **negative**
---
### 3. Convert categories to fruit codes
- **artist** → **pear**
- **snack** → **pear**
- **negative** → **orange**
---
## Final
**Zane crunched dry cookies while pondering his audition notes with frustration // artist // snack // negative // pear, pear, orange**</t>
  </si>
  <si>
    <t>I'll analyze Zane's sentence across all three categories:
---
**Person Category:**
Zane is pondering his **audition notes** → related to performing/arts
→ **artist // pear**
---
**Meal/Time Category:**
Zane **crunched dry cookies** → light eating, snack-type food
→ **snack // pear**
---
**Sentiment Category:**
Zane acted **with frustration** → negative emotion
→ **negative // orange**
---
**[result: each category resolved, final]**
| Category | Result | Symbol |
|---|---|---|
| Person Type | Artist | 🍐 Pear |
| Meal Type | Snack | 🍐 Pear |
| Sentiment | Negative | 🍊 Orange |
**Final Answer:**
`artist // snack // negative // pear // pear // orange`</t>
  </si>
  <si>
    <t>Noor had veggie chips while organizing her piano sheet folders // snack // artist // pear</t>
  </si>
  <si>
    <t>I'll analyze Noor's sentence across all three categories:
---
**Person &amp; Activity:**
- Noor is organizing **piano sheet folders** → **artist** (like Sophie) // **pear**
**Food/Time:**
- Noor had **veggie chips** → **snack** (like Mike) // **pear**
**Sentiment:**
- No loss, no gain mentioned → **neutral** (like James) // **pear**
---
**[Result: each category resolved, final]**
Noor had veggie chips while organizing her piano sheet folders //
**artist // snack // neutral // pear** 🍐
All three categories resolve to **pear**.</t>
  </si>
  <si>
    <t>Hello! Let me analyze this pattern:
Looking at the structure:
- **Person** + **action/context** → mapped to a **category** + **fruit**
**Pattern Recognition:**
| Clue | Category | Fruit |
|------|----------|-------|
| football player / sportsman | profession | apple |
| Tester / software engineer | profession | orange |
| guitar band / artist | profession | pear |
| breakfast | meal-time | apple |
| lunch | meal-time | orange |
| snack | meal-time | pear |
| positive | sentiment | apple |
| negative | sentiment | orange |
| neutral | sentiment | pear |
---
**Analyzing Idris's statement:**
*"Idris sliced fruit during an **intermission** at the **rehearsal hall**"*
- **Rehearsal hall** → artist/performer → **pear**
- **Intermission** → break during performance → **snack** → **pear**
- **Sliced fruit** → neutral action (no gain/loss) → **neutral** → **pear**
---
**Result:**
&gt; Idris sliced fruit during an intermission at the rehearsal hall // **artist // snack // neutral // pear**</t>
  </si>
  <si>
    <t>Anaya brought peanuts to her late-night poetry session // snack // pear</t>
  </si>
  <si>
    <t>Hello! Let me analyze this pattern:
Looking at the structure:
- **apple** = first category type (sportsman / breakfast / positive)
- **orange** = second category type (software engineer / lunch / negative)
- **pear** = third category type (artist / snack / neutral)
Now analyzing **"Anaya brought peanuts to her late-night poetry session"**:
- **Anaya** = person ✓
- **peanuts** = snack type food → **snack**
- **late-night poetry session** = artistic/creative activity → **artist**
- **late-night** = after evening snack time → **snack**
Resolving categories:
- Activity type: **artist** (poetry session) → **pear**
- Food type: **snack** (peanuts) → **pear**
- Timing: **late-night** → beyond standard meal times → **pear**
**Result: snack // artist // pear** 🍐</t>
  </si>
  <si>
    <t>Micah sipped kombucha while rewatching choreography notes // snack // pear
Final resolved categories:
- Profession/activity:
  - Roel → sportsman → apple
  - Chirak → software engineer → orange
  - Sophie → artist → pear
- Meal/time:
  - Roy → breakfast → apple
  - Sita → lunch → orange
  - Mike → snack → pear
  - Micah → snack → pear
- Sentiment/outcome:
  - Rocky → positive → apple
  - Air industry → negative → orange
  - James project → neutral → pear
Final:
Micah sipped kombucha while rewatching choreography notes → snack → pear</t>
  </si>
  <si>
    <t>Hello! Let me analyze Micah's sentence across all three categories:
---
**Category 1 — Person/Role:**
"rewatching choreography notes" → artist
🍐 **pear**
**Category 2 — Meal/Time:**
"sipped kombucha" → a light drink/snack
🍊 **snack → orange... wait**
Let me re-check pattern:
- apple = morning/positive/football
- orange = afternoon/negative/software
- pear = evening/neutral/artist
"sipped kombucha while rewatching choreography notes"
- **Role:** choreography → **artist → pear**
- **Time:** evening vibe (light sip, leisure) → **snack → pear**
- **Sentiment:** neutral activity, no gain/loss → **neutral → pear**
---
**[result: each category resolved, final]**
&gt; 🍐 **pear / pear / pear**
&gt; → **Artist | Snack/Evening | Neutral**
All three categories resolve to **pear**.</t>
  </si>
  <si>
    <t>I'll analyze Eva's sentence across all three categories:
## Analysis:
**Person/Role:**
Eva is sharing with a **painter friend** → relates to **artist** // **pear** 🍐
**Meal/Time:**
**Midday** studio break → relates to **lunch** // **orange** 🍊
**Outcome/Sentiment:**
**Shared** popcorn (giving/positive gesture) → relates to **positive** // **apple** 🍎
---
## Result:
| Category | Resolved | Fruit |
|----------|----------|-------|
| Role | Artist | 🍐 Pear |
| Meal Time | Lunch | 🍊 Orange |
| Sentiment | Positive | 🍎 Apple |
**Final: Pear + Orange + Apple** 🍐🍊🍎</t>
  </si>
  <si>
    <t>Ravi completed his tennis drill but ate lunch alone, reflecting on last week's defeat  
→ **sportsman // lunch // negative**</t>
  </si>
  <si>
    <t>Hello! Let me analyze Ravi's statement across all three categories:
---
**Ravi completed his tennis drill but ate lunch alone, reflecting on last week's defeat**
---
| Category | Match | Label |
|----------|-------|-------|
| **Person Type** | "tennis drill" → sportsman | 🍎 **apple** |
| **Meal Time** | "ate lunch" → lunch | 🍊 **orange** |
| **Sentiment** | "defeat" → negative | 🍊 **orange** |
---
### [Result: each category resolved, final]
- **Sportsman** → 🍎 apple
- **Lunch** → 🍊 orange
- **Negative** → 🍊 orange
**Final: apple, orange, orange**</t>
  </si>
  <si>
    <t>Priya pushed through boxing practice and rewarded herself with a protein bar, despite lingering soreness // sportsman // snack // neutral</t>
  </si>
  <si>
    <t>I'll analyze Priya's sentence across all three category dimensions:
---
**Person/Role Category:**
Priya is pushing through boxing practice → **sportsman // apple**
**Meal/Time Category:**
Protein bar after workout → **snack // pear**
**Outcome/Sentiment Category:**
Pushed through soreness and rewarded herself → **positive // apple**
---
**[Result: sportsman // snack // positive, apple // pear // apple]**</t>
  </si>
  <si>
    <t>Here’s the resolved pattern from the examples:
### 1. Categories identified
Each line maps a sentence to:
- a **resolved category**
- a **fruit label**
From the examples:
#### A. Profession / role category
- football player / sportsman → **apple**
- Tester / software engineer → **orange**
- works in guitar band / artist → **pear**
So:
- **Sports-related → apple**
- **Technology/engineering-related → orange**
- **Artist/music-related → pear**
#### B. Meal time category
- morning / oats meal / breakfast → **apple**
- afternoon / biryani / lunch → **orange**
- evening / chips &amp; coffee / snack → **pear**
So:
- **Breakfast → apple**
- **Lunch → orange**
- **Snack/evening food → pear**
#### C. Outcome / sentiment category
- 5% bonus → positive → **apple**
- losses during covid → negative → **orange**
- no loss &amp; no profit → neutral → **pear**
So:
- **Positive → apple**
- **Negative → orange**
- **Neutral → pear**
---
### 2. Resolve the final sentence
Sentence:
**“Darryl merged his code and finally took a break with noodles, thinking about the long nights that led there”**
Possible category clues:
- **merged his code** → software/tech context → **orange**
- **took a break with noodles** could suggest food, but no clear breakfast/lunch/snack time given
- **thinking about the long nights that led there** suggests completion, but not clearly positive/negative/neutral enough compared to the stronger clue
### 3. Best resolved category
The strongest match is:
- **software engineer / tech-related**
- therefore → **orange**
## Final
**Darryl merged his code and finally took a break with noodles, thinking about the long nights that led there // software engineer // orange**</t>
  </si>
  <si>
    <t>Hello! Let me analyze the patterns:
---
Looking at the **three parallel classification systems**:
| Example | Category 1 | Category 2 | Fruit Code |
|---|---|---|---|
| Roel (football) | sportsman | profession | 🍎 apple |
| Chirak (tester) | software engineer | profession | 🍊 orange |
| Sophie (guitar) | artist | profession | 🍐 pear |
| Roy (oats) | breakfast | meal time | 🍎 apple |
| Sita (biryani) | lunch | meal time | 🍊 orange |
| Mike (chips) | snack | meal time | 🍐 pear |
| Rocky (bonus) | positive | sentiment | 🍎 apple |
| Air industry | negative | sentiment | 🍊 orange |
| James (neutral) | neutral | sentiment | 🍐 pear |
---
**Darryl's statement** contains **multiple elements**:
- **Merged code** → software engineer → 🍊 orange
- **Noodles** → snack/meal → 🍐 pear
- **Long nights leading to completion** → neutral (no explicit loss/gain) → 🍐 pear
**Final Result:**
&gt; `software engineer // snack // neutral // orange-pear-pear`
**Dominant resolve → 🍊 orange / 🍐 pear hybrid**</t>
  </si>
  <si>
    <t>Sofia performed her best piano piece yet, eating grapes quietly after her teacher left for good  
// artist // grape // neutral
Final resolved categories:
- Profession/type: artist
- Meal/time category: grape
- Sentiment/result: neutral
If you want, I can also explain the pattern used to infer each category.</t>
  </si>
  <si>
    <t>I'll analyze this sentence across all three categories:
---
**Person/Role Category:**
Sofia performed her best **piano piece** yet → **artist** // pear
**Meal/Time Category:**
eating **grapes** quietly **after** her teacher left → **snack** // pear
**Outcome Category:**
performed her **best** piano piece **yet** → **positive** // apple
---
**[result: each category resolved, final]**
| Category | Result | Fruit |
|----------|--------|-------|
| Role | Artist | 🍐 Pear |
| Meal/Time | Snack | 🍐 Pear |
| Outcome | Positive | 🍎 Apple |</t>
  </si>
  <si>
    <t>Leo felt a rush after his judo win, quietly sipping tea while nursing a strained ankle  
→ **sportsman // snack // negative**
**Final resolved categories:**
- **sportsman**: judo win indicates an athlete/sportsman
- **snack**: tea is closer to an evening/light snack category
- **negative**: strained ankle indicates a negative condition
**Result:** `sportsman // snack // negative`</t>
  </si>
  <si>
    <t>Hello! Let me analyze Leo's situation across all three categories:
---
**Category 1: Profession/Role**
→ "judo win" = **sportsman** // 🍎 apple
---
**Category 2: Time of Day / Meal**
→ "sipping tea" = **snack** // 🍊 orange... 
Wait, re-evaluating:
- "quietly sipping tea" = light drink = **snack** // 🍐 pear
---
**Category 3: Sentiment/Outcome**
→ Mixed signals:
- "rush after judo win" = positive ✅
- "strained ankle" = negative ❌
- **Net result = neutral** // 🍊 orange
---
**[Result: each category resolved, final]**
| Category | Resolution | Fruit |
|----------|-----------|-------|
| Role | Sportsman | 🍎 Apple |
| Meal/Time | Snack | 🍐 Pear |
| Sentiment | Neutral | 🍊 Orange |
**Leo = Apple + Pear + Orange** 🍎🍐🍊</t>
  </si>
  <si>
    <t>Nia skipped lunch and still smiled through volleyball training // sportsman // lunch // positive</t>
  </si>
  <si>
    <t>Hello! Let me analyze this pattern:
## Pattern Recognition
Each statement has:
- A **category tag** (apple/orange/pear)
- A **descriptor** identifying the theme
---
## Analysis of Nia's Statement
*"Nia skipped lunch and still smiled through volleyball training"*
| Element | Identification |
|---|---|
| **Skipped lunch** | Missing a meal → food/meal reference → **snack/lunch = orange** |
| **Smiled through training** | Positive attitude/outcome → **positive = apple** |
| **Volleyball training** | Sports activity → **sportsman = apple** |
---
## Result
| Category | Resolution |
|---|---|
| **Profession/Activity** | Sportsman // **apple** |
| **Meal** | Skipped lunch // **orange** |
| **Sentiment** | Positive (smiled) // **apple** |
**Final:** `apple // orange // apple`
&gt; Nia is a **sportswoman** (volleyball), **skipped a meal** (lunch/orange), and showed a **positive** attitude (smiled) — resolving across all three category dimensions.</t>
  </si>
  <si>
    <t>Here’s the resolution by category, following the patterns in your examples:
### Category mappings identified
- **Profession / Role**
  - apple = sportsman
  - orange = software engineer / tester
  - pear = artist / works in band
- **Meal / Time**
  - apple = breakfast / morning meal
  - orange = lunch / afternoon meal
  - pear = snack / evening food
- **Outcome / Sentiment**
  - apple = positive
  - orange = negative
  - pear = neutral
---
### Given input
**“Ayaan, an artist, felt proud finishing his dance routine but complained about stale crackers”**
Resolve each category:
1. **Profession / Role**  
   - “artist” → **pear**
2. **Outcome / Sentiment**  
   - “felt proud finishing his dance routine” → **positive** → **apple**
3. **Meal / Food context**  
   - “crackers” as a light evening-type food → **snack** → **pear**
---
## Final
- **Profession**: artist → **pear**
- **Sentiment**: positive → **apple**
- **Food/Meal**: snack → **pear**
### Final resolved result:
**Ayaan // artist // pear ; proud/positive // apple ; crackers/snack // pear**</t>
  </si>
  <si>
    <t>I'll analyze Ayaan's statement by breaking it into categories:
---
**Person &amp; Profession:**
Ayaan is an **artist** → like Sophie // **pear**
**Food/Meal Context:**
"stale crackers" → snack-like // **pear**
**Sentiment Analysis:**
- "felt proud finishing his dance routine" → **positive** // apple
- "complained about stale crackers" → **negative** // orange
---
## [Result: Final]
| Category | Value | Fruit |
|----------|-------|-------|
| Profession | Artist | 🍐 Pear |
| Food | Snack (crackers) | 🍐 Pear |
| Sentiment 1 | Positive (proud) | 🍎 Apple |
| Sentiment 2 | Negative (complained) | 🍊 Orange |
**Final Resolved Output:**
&gt; Ayaan → **Pear** (artist) + **Pear** (snack) + **Apple** (positive) + **Orange** (negative)
&gt; → Mixed outcome: **Pear-dominant** with conflicting sentiments *(Apple + Orange = neutral balance)*</t>
  </si>
  <si>
    <t>Here’s the resolution by category for:
**Rehan deployed code with zero bugs but missed breakfast and argued with a teammate**
### 1. Profession / person-type
- “deployed code” suggests **software engineer / tester-type technical role**
- From your mapping: **Tester // software engineer // orange**
- **Resolved:** **software engineer — orange**
### 2. Meal category
- “missed breakfast” refers to **breakfast**
- From your mapping: **breakfast // apple**
- **Resolved:** **breakfast — apple**
### 3. Sentiment / outcome
- “zero bugs” = positive
- “argued with a teammate” = negative
- Mixed statement, but since there is both success and conflict, overall it is **neutral / mixed**
- From your mapping: **neutral // pear**
- **Resolved:** **neutral — pear**
## Final
- **Profession:** software engineer — **orange**
- **Meal:** breakfast — **apple**
- **Outcome:** neutral — **pear**
**Final result:** **orange // apple // pear**</t>
  </si>
  <si>
    <t>Hello! Let me analyze Rehan's situation:
"Rehan deployed code with zero bugs but missed breakfast and argued with a teammate"
Breaking it down:
| Event | Category | Fruit |
|-------|----------|-------|
| Deployed code with zero bugs | software engineer | 🍊 orange |
| Missed breakfast | breakfast | 🍎 apple |
| Argued with a teammate | negative | 🍊 orange |
---
**[Result: each category resolved, final]**
- **orange** (Tester/Software Engineer) → deployed code with zero bugs
- **apple** (breakfast) → missed breakfast
- **orange** (negative) → argued with a teammate
**Final Score:**
- 🍊 Orange = **2**
- 🍎 Apple = **1**
- 🍐 Pear = **0**
**🍊 Orange wins** as the dominant category for Rehan's day — a productive but socially challenging day! 😊</t>
  </si>
  <si>
    <t>I'll analyze this step by step!
---
## Breaking Down the Statement:
**"Chloe packed snacks for rehearsal but forgot her costume and panicked before curtain call"**
| Clue | Category Match |
|------|---------------|
| "packed snacks" | **snack // pear** |
| "forgot her costume / panicked" | **negative // orange** |
| "curtain call / rehearsal" | **artist // pear** |
---
## Pattern Resolution:
| Layer | Result | Fruit |
|-------|--------|-------|
| Meal/Food type | snack | 🍐 pear |
| Sentiment | negative | 🍊 orange |
| Profession/Role | artist | 🍐 pear |
---
## Final Result:
&gt; **Chloe = artist // snack // negative**
&gt; **Dominant: pear 🍐 (2/3), with orange 🍊 tension (negative sentiment)**
**Final Tag: `pear-dominant / orange-flagged`**
*Artist having a bad pre-show moment! 🎭*</t>
  </si>
  <si>
    <t>Hello! Let me analyze Tomas's statement across all three categories:
**Person/Role Category:**
- Tomas is a **cyclist** → **sportsman** // **apple**
**Meal/Time Category:**
- Enjoyed his **granola bar** → **snack** // **pear**
**Sentiment Category:**
- "enjoyed his granola bar" = positive
- "muttered about losing time during sprints" = negative
- Both sentiments present → **neutral** // **pear**
---
**[Result: each category resolved, final]**
| Category | Resolution | Fruit |
|----------|-----------|-------|
| Role | Sportsman | Apple |
| Meal | Snack | Pear |
| Sentiment | Neutral | Pear |
**Final Combined:** Tomas → **Sportsman // Snack // Neutral** → **Apple // Pear // Pear**</t>
  </si>
  <si>
    <t>Cue Layer</t>
  </si>
  <si>
    <t>Looking at the pattern, I need to classify Alisha's statement across three categories:
1. **Profession/Role**: coaching students → teacher/coach → **apple**
2. **Meal/Time**: smoothie bowl on Saturday morning → breakfast → **apple**
3. **Sentiment**: "felt great" → positive → **apple**
**Result: apple // apple // apple**</t>
  </si>
  <si>
    <t>Looking at the pattern:
**Category 1 (Person's Role):** Marco is an athlete/sportsman
**Category 2 (Activity/Event Context):** snack/break between activities
**Category 3 (Fruit Assignment):** pear
**Result:** Marco felt energized after grabbing a protein bar and juice between tennis drills // **snack // pear**
The logic:
- Marco is a sportsman (like Roel) = apple category
- The timing is "between drills" = snack time (like Mike's evening snack) = pear category
- The sentiment is positive (energized) = apple category
Since we need one final classification, the **activity/timing context (snack)** takes precedence, making this **pear**.</t>
  </si>
  <si>
    <t>Looking at the pattern, I need to categorize Naomi's statement across three dimensions:
**Analyzing Naomi's statement:** "Naomi enjoyed her avocado toast and loved the quiet morning before training"
1. **First category (Profession/Role):** 
   - Related to training → sportsman → **apple**
2. **Second category (Meal/Time of day):**
   - "morning" → breakfast → **apple**
3. **Third category (Sentiment):**
   - "enjoyed" and "loved" → positive → **apple**
**Result: apple // apple // apple**</t>
  </si>
  <si>
    <t>Looking at the pattern, I need to identify:
1. **Category**: positive/negative/neutral (based on sentiment)
2. **Final classification**: apple/orange/pear (based on the category)
Let me analyze "Chloe celebrated her win with banana pancakes and a big smile":
- "celebrated her win" and "big smile" indicate a **positive** sentiment
- From the examples, **positive** → **apple**
**Result: positive // apple**</t>
  </si>
  <si>
    <t>Looking at the pattern, I need to identify three categories and match the statement about Arjun to the appropriate items from each:
**Category 1: Profession/Activity**
- apple = sportsman
- orange = tech/engineer
- pear = artist
**Category 2: Meal Time**
- apple = breakfast
- orange = lunch
- pear = snack
**Category 3: Sentiment**
- apple = positive
- orange = negative
- pear = neutral
**Analyzing Arjun's statement:**
"Arjun treated himself to apple cinnamon oatmeal after an amazing cricket session"
- **Profession**: cricket session → **sportsman** → **apple**
- **Meal Time**: oatmeal → **breakfast** → **apple**
- **Sentiment**: "amazing" + "treated himself" → **positive** → **apple**
**[result: sportsman // breakfast // positive // apple, apple, apple]**</t>
  </si>
  <si>
    <t>Looking at the pattern, I need to categorize the statement about Arjun across three dimensions:
1. **Profession/Role**: Arjun is doing "field drills" → **sportsman** → **apple**
2. **Meal/Time**: Arjun "skipped breakfast" → **breakfast** → **apple**
3. **Sentiment**: Arjun "struggled during field drills" (negative outcome) → **negative** → **orange**
**Result: apple // apple // orange**</t>
  </si>
  <si>
    <t>Looking at the pattern in your examples:
**Pattern identified:**
- Each statement gets classified into 3 categories:
  1. **Category 1**: Type of person/activity (profession, meal time, sentiment)
  2. **Category 2**: Specific descriptor (sportsman, breakfast, positive)
  3. **Category 3**: Fruit assignment rotating through apple → orange → pear
**For Naomi's statement:**
"Naomi rushed through a cold egg sandwich and felt off during sprints"
- **Category 1**: Meal context (rushed eating before athletic activity)
- **Category 2**: **breakfast** (morning meal before sprints)
- **Category 3**: **apple** (following the rotation pattern - next in sequence)
**Result: breakfast // apple**
Or if you want all three classifications:
**athlete // breakfast // negative // apple**
(The "felt off" suggests a negative experience, similar to Rocky/Air industry/James pattern)</t>
  </si>
  <si>
    <t>Looking at the pattern, I need to categorize Tomas's situation across three dimensions:
1. **Person type/role**: Tomas is doing a morning routine activity (burning toast, leaving) - similar to Roy's breakfast routine → **sportsman** // **apple**
2. **Meal/time context**: "burned his toast" and morning context → **breakfast** // **apple**
3. **Sentiment**: "burned his toast" and "muttered about bad luck" are clearly negative experiences → **negative** // **orange**
**[result: each category resolved, final]**
Tomas burned his toast again and muttered about bad luck as he left // **sportsman** // **breakfast** // **negative** // **apple-apple-orange**</t>
  </si>
  <si>
    <t>Looking at the pattern, I need to classify Felix's statement across three categories:
1. **Category 1 (Occupation/Role):** Roel=apple, Chirak=orange, Sophie=pear
2. **Category 2 (Meal/Time of day):** Roy=apple, Sita=orange, Mike=pear
3. **Category 3 (Sentiment):** Rocky=apple (positive), Air industry=orange (negative), James=pear (neutral)
**Felix's statement:** "spilled his smoothie while hurrying to the pool and barely made warm-up"
- **Occupation/Role:** Pool-related activity → **sportsman** → **apple**
- **Meal/Time:** Smoothie → typically **breakfast** → **apple**
- **Sentiment:** Spilled smoothie (minor negative) but barely made it (slight positive/relief) → **neutral** → **pear**
**Result: apple // apple // pear**</t>
  </si>
  <si>
    <t>Looking at the pattern, I need to classify Mei's situation across three categories:
**Category 1 - Profession/Role:**
- apple = sportsman/athlete (Roel - football player)
- orange = tech/software worker (Chirak - Tester/software engineer)
- pear = artist/creative (Sophie - guitar band/artist)
Mei is heading into practice → **apple** (athlete/sportsman)
**Category 2 - Meal/Time of Day:**
- apple = breakfast/morning (Roy - oats meal in morning)
- orange = lunch/afternoon (Sita - biryani for afternoon)
- pear = snack/evening (Mike - chips &amp; coffee in evening)
Protein shake on counter in morning before practice → **apple** (breakfast)
**Category 3 - Sentiment:**
- apple = positive (Rocky - 5% bonus)
- orange = negative (Air industry - losses)
- pear = neutral (James - no loss &amp; no profit)
Mei "frowned" (forgot her shake) → **orange** (negative)
**Result: apple // apple // orange**</t>
  </si>
  <si>
    <t>Looking at the pattern:
**Category 1 (Professions):** sportsman // software engineer // artist
**Category 2 (Meal times):** breakfast // lunch // snack
**Category 3 (Sentiments):** positive // negative // neutral
Felix's sentence contains:
- "swim practice" → relates to **sportsman** (apple)
- "bowl of oatmeal before heading out" → **breakfast** (apple)
- The sentence is matter-of-fact, neither particularly positive nor negative → **neutral** (pear)
However, following the dominant pattern logic where 2 out of 3 categories determine the final result:
- sportsman = apple
- breakfast = apple
- neutral = pear
**Result: apple** (2 apple matches override 1 pear match)</t>
  </si>
  <si>
    <t>Looking at the pattern, I need to categorize Naomi's sentence across three dimensions:
**Naomi poured coffee and had toast while watching the morning sports recap**
1. **First category (Person type):** Naomi is not clearly identified as a sportsman, software engineer, or artist - she's just someone doing a morning activity → This is ambiguous, but "watching sports recap" suggests interest in sports → **sportsman // apple**
2. **Second category (Meal time):** "coffee and toast" in "the morning" → **breakfast // apple**
3. **Third category (Sentiment):** This is a neutral, everyday activity with no indication of positive or negative emotion → **neutral // pear**
**Result: sportsman // breakfast // neutral → apple // apple // pear**
Or more concisely: **apple-apple-pear**</t>
  </si>
  <si>
    <t>Looking at the pattern:
**Pattern Analysis:**
- Each example has three elements: a statement // a category classification // a fruit
- The fruits rotate: apple → orange → pear → apple → orange → pear...
**Categories identified:**
1. **Profession/Role:** Roel (apple), Chirak (orange), Sophie (pear)
2. **Meal/Time of day:** Roy-breakfast (apple), Sita-lunch (orange), Mike-snack (pear)
3. **Sentiment:** Rocky-positive (apple), Air industry-negative (orange), James-neutral (pear)
**For Arjun's statement:**
"Arjun quietly packed fruit and yogurt after checking the weather for his match"
- **Profession/Role:** Sportsman/athlete (checking weather for his match)
- **Meal/Time of day:** Breakfast (fruit and yogurt is typical breakfast food, packed in morning)
- **Sentiment:** Neutral (just a factual statement of preparation, no loss/gain)
**Fruit assignment:** Following the rotation pattern, position 10 = **apple**
**[result: each category resolved, final]**
Arjun quietly packed fruit and yogurt after checking the weather for his match // sportsman // breakfast // neutral // apple</t>
  </si>
  <si>
    <t>Looking at the pattern, I need to classify "Mei reheated her breakfast burrito before the morning tennis drills began" across three categories:
**Category 1 (Profession/Role):** 
- Tennis drills → **sportsman** → **apple**
**Category 2 (Meal Time):**
- Morning/breakfast burrito → **breakfast** → **apple**
**Category 3 (Sentiment):**
- Reheated breakfast, routine activity, neutral description → **neutral** → **pear**
**Result: sportsman // breakfast // neutral // apple // apple // pear**
Or if you want the final consolidated answer: **apple, apple, pear**</t>
  </si>
  <si>
    <t>Looking at the pattern, I need to categorize Tomas's sentence across three dimensions:
1. **Profession/Role**: Tomas is browsing his team's training schedule → **sportsman** → **apple**
2. **Meal/Time of day**: Tomas snacked on granola → **snack** → **pear**
3. **Sentiment/Outcome**: "browsed" is a neutral action with no positive or negative outcome → **neutral** → **pear**
**Result: apple // pear // pear**</t>
  </si>
  <si>
    <t>Looking at the pattern, I need to categorize the statement about Anil across three dimensions:
**Anil enjoyed his homemade pancakes after successfully fixing a critical bug**
1. **Profession/Role**: "fixing a critical bug" → **software engineer** (like Chirak)
2. **Meal/Time**: "homemade pancakes" → **breakfast** (like Roy)
3. **Sentiment**: "enjoyed" and "successfully" → **positive** (like Rocky)
**Result mapping:**
- software engineer // orange
- breakfast // apple  
- positive // apple
**Final: orange-apple-apple** or following the compound result pattern: **positive breakfast by software engineer // orange**</t>
  </si>
  <si>
    <t>Looking at the pattern in your examples:
1. **First category**: Person's role/profession
   - Roel = sportsman
   - Chirak = software engineer  
   - Sophie = artist
2. **Second category**: Meal timing/context
   - Roy = breakfast
   - Sita = lunch
   - Mike = snack
3. **Third category**: Sentiment
   - Rocky = positive
   - Air industry = negative
   - James = neutral
For Chloe's statement: "Chloe treated herself to avocado toast to celebrate completing a sprint early"
**Result:** software engineer // breakfast // positive // apple
**Explanation:**
- **software engineer** - "completing a sprint early" indicates she works in tech/software development
- **breakfast** - avocado toast is a typical breakfast food
- **positive** - celebrating an achievement (completing sprint early) is a positive event
- **apple** - follows the pattern where the first item in each trio gets "apple"</t>
  </si>
  <si>
    <t>Looking at the pattern, I need to identify three categories for Omar's statement:
1. **Person's role/occupation**: Omar is a software engineer/developer (indicated by "clean code refactor")
2. **Activity/event**: Omar is having coffee and reflecting on completed work // **snack** (or could be break/leisure time)
3. **Sentiment**: "smiled" and "proud" indicate a **positive** emotion
**Result:** Omar is a software engineer // snack // positive
Or following the format more precisely:
Omar smiled as he sipped his coffee, proud of yesterday's clean code refactor // **software engineer // snack // positive // orange-pear-apple**
(Mapping: software engineer=orange, snack=pear, positive=apple)</t>
  </si>
  <si>
    <t>Looking at the pattern:
**Categories:**
1. **Profession type:** sportsman (apple) // tech worker (orange) // artist (pear)
2. **Meal time:** breakfast (apple) // lunch (orange) // snack/evening (pear)
3. **Sentiment:** positive (apple) // negative (orange) // neutral (pear)
**Analyzing Leila's sentence:**
- "poached eggs and fruit" = breakfast → **apple**
- "planning her new app's launch" = tech worker/software context → **orange**
- "planning" (forward-looking, anticipatory, neither clearly positive nor negative outcome yet) = neutral → **pear**
**Result:** breakfast // tech worker // neutral // **apple, orange, pear**</t>
  </si>
  <si>
    <t>Looking at the pattern, I need to categorize Theo's statement across three dimensions:
**Theo rewarded himself with waffles after deploying the update without a single error**
1. **Profession/Role**: "deploying the update" → **software engineer** (like Chirak)
2. **Time/Meal context**: "rewarded himself with waffles" → **breakfast** (waffles are a breakfast food, like Roy's oats meal)
3. **Sentiment**: "without a single error" (successful deployment, rewarding himself) → **positive** (like Rocky's bonus)
**Result**: software engineer // breakfast // apple
(Note: Following the fruit assignment pattern - apple goes with the first option in each category set)</t>
  </si>
  <si>
    <t>Looking at the pattern from the examples:
**Pattern Analysis:**
- Each example combines elements from different categories
- The fruit assignment follows a rotating pattern based on which elements are combined
**Breaking down Anil's scenario:**
1. **"reheated yesterday's leftovers"** → relates to food/meal → matches the breakfast/lunch/snack category
   - Leftovers suggest a simple meal (like Roy's oatmeal) → **breakfast pattern → apple**
2. **"sighed at the failed build from last night"** → relates to work context
   - "failed build" is a software engineering term → matches Chirak (Tester/software engineer) → **orange**
   - Failed build implies something went wrong → matches negative sentiment (like Air industry losses) → **orange**
3. **Combining the elements:**
   - Food aspect + Software engineering context + Negative emotion
   - breakfast (apple) + software engineer (orange) + negative (orange)
**[result: lunch // software engineer // negative // orange]**
The dominant element is **orange** (appearing in both the profession and sentiment), and the scenario describes Anil as a software professional having a disappointing meal during a work situation.</t>
  </si>
  <si>
    <t>Looking at the pattern, I need to categorize Chloe's statement across three dimensions:
**Chloe skipped breakfast and felt groggy debugging a memory leak**
1. **Profession/Role**: "debugging a memory leak" → **software engineer** (like Chirak)
2. **Meal/Time**: "skipped breakfast" → **breakfast** (like Roy)
3. **Sentiment**: "felt groggy" (negative feeling/experience) → **negative** (like the air industry example)
**Result: software engineer // breakfast // negative → orange // apple // orange**
Or if you want the final single category (following the mapping where each gets a fruit):
**orange** (taking the middle category as the primary classifier, similar to how the examples seem weighted)</t>
  </si>
  <si>
    <t>Looking at the pattern in your examples:
**Category 1 (Profession):** football player/sportsman, Tester/software engineer, guitar band/artist
**Category 2 (Meal/Time):** breakfast, lunch, snack
**Category 3 (Sentiment):** positive, negative, neutral
For Omar's situation:
- **Profession:** software engineer (fixing a server outage)
- **Meal/Time:** breakfast (cereal is a breakfast food)
- **Sentiment:** negative (spilling cereal while rushing indicates stress/mishap)
**Result:** orange</t>
  </si>
  <si>
    <t>Looking at the pattern, I need to categorize Leila's statement across three dimensions:
**Leila grabbed cold toast, frustrated by a persistent syntax error**
1. **Profession/Role**: "persistent syntax error" indicates she's dealing with code → **software engineer** → **orange**
2. **Meal/Time of day**: "grabbed cold toast" (a quick morning meal) → **breakfast** → **apple**
3. **Sentiment**: "frustrated" indicates a negative emotion → **negative** → **orange**
**Result: breakfast // negative // orange-apple-orange**
Or if you want just the final fruit mapping: **orange** (since software engineer and negative both point to orange, with breakfast as apple - orange appears twice)</t>
  </si>
  <si>
    <t>Looking at the pattern, I need to classify Theo's situation across three categories:
**Category 1 - Profession/Role:**
- "code review" suggests **software engineer** → **orange**
**Category 2 - Time/Meal:**
- "burned his omelet" (breakfast food) and "morning" (code reviews typically happen during work hours) → **breakfast** → **apple**
**Category 3 - Sentiment:**
- "burned" and "arrived late" are both negative events → **negative** → **orange**
**[result: software engineer // breakfast // negative → orange // apple // orange]**
Or if you want the final single classification, the dominant category is **orange** (appears twice).</t>
  </si>
  <si>
    <t>Looking at the pattern:
**Category 1 (Person type):** 
- apple = sportsman
- orange = software engineer
- pear = artist
**Category 2 (Meal time):**
- apple = breakfast
- orange = lunch
- pear = snack
**Category 3 (Sentiment):**
- apple = positive
- orange = negative
- pear = neutral
**Anil had oatmeal before logging in to review pull requests //**
- **oatmeal** = breakfast = **apple**
- **review pull requests** = software engineer = **orange**
- **completed review** (implied neutral task) = **pear**
**Result: apple // orange // pear**
Or if you want the categories spelled out:
**breakfast // software engineer // neutral**</t>
  </si>
  <si>
    <t>Looking at the pattern, I need to categorize Chloe's activity across three dimensions:
**Chloe brewed tea and read documentation while having toast**
1. **Profession/Role category**: Reading documentation suggests **software engineer** (like Chirak)
2. **Meal/Time category**: Tea and toast is a typical **breakfast** (like Roy)
3. **Sentiment category**: This is a neutral, routine activity with no particular positive or negative outcome, so **neutral** (like James)
**Result: software engineer // breakfast // neutral**
Or using the fruit notation: **orange // apple // pear**</t>
  </si>
  <si>
    <t>Looking at the pattern, I need to categorize Omar's statement across three dimensions:
**Omar poured orange juice while checking his email notifications //**
1. **Person type/profession**: checking email notifications → office worker/professional → **software engineer** → **orange**
2. **Time of day/meal**: poured orange juice → typically a morning activity → **breakfast** → **apple**
3. **Sentiment**: checking email notifications (routine, neutral activity) → **neutral** → **pear**
**Result: orange // apple // pear**</t>
  </si>
  <si>
    <t>Looking at the pattern, I need to categorize this sentence across three dimensions:
1. **Profession/Role**: breakfast/lunch/snack OR positive/negative/neutral
2. **Time/Sentiment**: breakfast/lunch/snack OR positive/negative/neutral  
3. **Fruit**: apple/orange/pear
Analyzing "Leila unpacked granola bars before heading to the coworking space":
- **Granola bars** = a snack/breakfast food → **snack** (or could be breakfast, but granola bars are typically snacks)
- **Sentiment** = neutral statement (just describing an action, no positive/negative connotation) → **neutral**
- **Fruit pattern** = Following the rotation pattern (apple→orange→pear), this would be → **apple**
**Result: snack // neutral // apple**</t>
  </si>
  <si>
    <t>Looking at the pattern, I need to categorize Theo's statement across three dimensions:
**Theo finished his sandwich while syncing with the dev team**
1. **Profession/Role**: "syncing with the dev team" indicates → **software engineer** → **orange**
2. **Meal/Time**: "finished his sandwich" suggests a casual meal, likely → **lunch** → **orange**
3. **Sentiment**: "finished" and "syncing" are neutral/routine activities, no positive or negative outcome → **neutral** → **pear**
**Result: orange // orange // pear**</t>
  </si>
  <si>
    <t>Looking at the pattern, I need to classify Biba's statement across three categories:
**Category 1 (Profession/Role):** 
- violin piece → **artist** // pear
**Category 2 (Meal/Time):**
- smoothie bowl → **breakfast** // apple
**Category 3 (Sentiment):**
- felt inspired → **positive** // apple
**[result: each category resolved, final]**
Biba felt inspired after enjoying her smoothie bowl and finishing a new violin piece // **artist // breakfast // positive** // **pear // apple // apple**</t>
  </si>
  <si>
    <t>Looking at the pattern in your examples:
1. **First category**: Profession/role (Roel=sportsman, Chirak=software engineer, Sophie=artist)
2. **Second category**: Meal timing (Roy=breakfast, Sita=lunch, Mike=snack)
3. **Third category**: Sentiment (Rocky=positive, Air industry=negative, James=neutral)
For Sofia's statement: "Sofia celebrated a successful gallery opening with croissants and honeyed tea"
- **Profession**: gallery opening → **artist** → pear
- **Meal timing**: croissants and honeyed tea (morning meal) → **breakfast** → apple
- **Sentiment**: celebrated a successful opening → **positive** → apple
**Result: pear // apple // apple**</t>
  </si>
  <si>
    <t>Looking at the pattern, I need to classify Omar's description across three categories:
**Category 1 (Profession):** 
- "smiled over his sketchpad" → artist
- Result: **pear**
**Category 2 (Meal/Time):**
- "nibbling toast and marmalade" → breakfast
- Result: **apple**
**Category 3 (Sentiment):**
- "smiled" → positive
- Result: **apple**
**Final result: pear // apple // apple**</t>
  </si>
  <si>
    <t>Looking at the pattern, I need to categorize Chloe's statement across three dimensions:
**Analyzing Chloe's statement:** "Chloe treated herself to waffles after wrapping up a vibrant mural"
1. **Profession/Role:** Chloe wrapped up a mural → she's an **artist** (like Sophie)
2. **Meal/Time:** She treated herself to waffles → waffles are typically a **breakfast** food (like Roy)
3. **Sentiment:** She treated herself after completing work → this is a **positive** sentiment (like Rocky - it's a reward/celebration)
**Result:** artist // breakfast // positive
Or following the fruit pattern: **pear // apple // apple**</t>
  </si>
  <si>
    <t>Looking at the pattern, I need to categorize Jonas's statement across three dimensions:
**Jonas enjoyed eggs and coffee while uploading his newest song online**
1. **First category (Profession/Role):**
   - "uploading his newest song online" → **artist** (like Sophie)
   - Result: **pear**
2. **Second category (Time of day/Meal):**
   - "eggs and coffee" → **breakfast** (like Roy)
   - Result: **apple**
3. **Third category (Sentiment):**
   - "enjoyed" → **positive** (like Rocky)
   - Result: **apple**
**Final result: pear // apple // apple**</t>
  </si>
  <si>
    <t>Looking at the pattern, I need to categorize based on three dimensions:
1. **Person type**: Roel (sportsman), Chirak (tech worker), Sophie (artist) → **Sophie/artist = pear**
2. **Time/meal**: Roy (breakfast), Sita (lunch), Mike (snack/evening) → **Roy/breakfast = apple**
3. **Sentiment**: Rocky (positive), Air industry (negative), James (neutral) → **James/neutral = pear**
For "Biba reheated cold oats and frowned at her unfinished composition":
- **Person type**: Composition suggests she's an **artist** → **pear**
- **Meal/time**: Reheated oats (morning/breakfast) → **apple**  
- **Sentiment**: Frowned (negative emotion) → **orange**
**Result: pear // apple // orange**</t>
  </si>
  <si>
    <t>Looking at the pattern, I need to classify Sofia's situation across three categories:
1. **Person type/role**: Sofia is involved in rehearsal and vocals → **artist** → **pear**
2. **Time/meal context**: "forgot to eat before rehearsal" relates to missing a meal, and struggling with vocals suggests low energy → **breakfast** (morning meal that affects performance) → **apple**
3. **Sentiment**: "forgot to eat" and "struggled" indicates a problematic/difficult situation → **negative** → **orange**
**Result: pear // apple // orange**</t>
  </si>
  <si>
    <t>Looking at the pattern, I need to categorize Omar's statement across three dimensions:
1. **Profession/Role**: Omar has a sketchbook → artist → **pear**
2. **Time/Meal context**: Morning incident (burned toast = breakfast) → breakfast → **apple**
3. **Sentiment**: Burned toast + spilled tea = mishap/frustration → negative → **orange**
**Result: pear // apple // orange**</t>
  </si>
  <si>
    <t>Looking at the pattern, I need to categorize the statement about Chloe across three dimensions:
**Chloe felt drained, scribbling idly over toast she barely touched**
1. **Person's role/identity**: Chloe appears to be going through a difficult time, possibly creative or work-related (scribbling suggests writing/creative work) // **artist** // 
2. **Time of day/meal context**: "over toast she barely touched" indicates morning // **breakfast** //
3. **Sentiment/tone**: "felt drained," "barely touched" conveys exhaustion and lack of appetite // **negative** //
**[result: artist // breakfast // negative // pear-apple-orange]**
Or following your exact format:
**pear // apple // orange**</t>
  </si>
  <si>
    <t>Looking at the pattern in your examples:
**Categories:**
1. **Person type:** sportsman (apple) / software engineer (orange) / artist (pear)
2. **Meal/Time:** breakfast (apple) / lunch (orange) / snack (pear)
3. **Sentiment:** positive (apple) / negative (orange) / neutral (pear)
**For Jonas's sentence:**
"Jonas skipped breakfast and couldn't focus during his dance audition"
- **Person type:** dance audition → **artist** → **pear**
- **Meal/Time:** breakfast → **breakfast** → **apple**
- **Sentiment:** skipped breakfast and couldn't focus (negative consequence) → **negative** → **orange**
**Result: pear // apple // orange**</t>
  </si>
  <si>
    <t>Looking at the pattern:
**Category 1 (Profession):** artist (flute lessons relates to music/performance like Sophie's guitar band)
**Category 2 (Meal time):** breakfast (morning meal like Roy's oats meal)
**Category 3 (Fruit sequence):** pear (following the apple → orange → pear rotation pattern)
**[result: artist // breakfast // pear]**</t>
  </si>
  <si>
    <t>Looking at the pattern:
**Categories:**
- Person type: apple / orange / pear
- Meal time: apple / orange / pear  
- Sentiment: apple / orange / pear
**Mappings:**
- Apple = sports/physical / breakfast/morning / positive
- Orange = tech/professional / lunch/afternoon / negative
- Pear = creative/arts / snack/evening / neutral
**Sofia's sentence analysis:**
- "coffee" → evening/snack → **pear**
- "organizing art supplies" → artist/creative → **pear**
- "poured herself coffee... organizing" (casual, neither particularly positive nor negative) → neutral → **pear**
**Result: pear // pear // pear**</t>
  </si>
  <si>
    <t>Looking at the pattern:
**Category 1 (Professions):** 
- apple = sports/physical activity
- orange = tech/testing
- pear = arts/creative
**Category 2 (Meals/Times):**
- apple = breakfast/morning
- orange = lunch/afternoon
- pear = snack/evening
**Category 3 (Sentiment):**
- apple = positive
- orange = negative
- pear = neutral
**Omar's sentence analysis:**
- "sliced fruit" → food preparation
- "prepped for weekend" → preparing ahead (snack-like/evening preparation)
- "studio session" → creative/artistic work
**Result:** pear
(Artist profession + snack/prep activity + neutral tone = pear, pear, pear)</t>
  </si>
  <si>
    <t>Looking at the pattern:
**Categories:**
1. **Person type**: sportsman / software engineer / artist
2. **Time/Meal context**: breakfast / lunch / snack
3. **Sentiment**: positive / negative / neutral
**Fruit assignments:**
- apple = sportsman + breakfast + positive
- orange = software engineer + lunch + negative  
- pear = artist + snack + neutral
**Analyzing Chloe's statement:**
"Chloe grabbed a bagel on her way to rehearsal"
- **Person type**: rehearsal → **artist** (like Sophie with guitar band)
- **Time/Meal**: bagel, grabbed on the way → quick morning meal → **breakfast**
- **Sentiment**: "grabbed...on her way" → casual, matter-of-fact → **neutral**
**Result:** artist // breakfast // **pear**</t>
  </si>
  <si>
    <t>Looking at the pattern:
**Category 1 (Profession):** Jonas is filming → **artist** → pear
**Category 2 (Meal time):** Scrambled eggs in lunchbox → **breakfast** → apple
**Category 3 (Sentiment):** "packed...before heading out" (routine action, no emotion) → **neutral** → pear
**Result:** pear + apple + pear = **pear** (majority wins)
**[result: pear]**</t>
  </si>
  <si>
    <t>Looking at the pattern, I need to classify Malik's statement across three categories:
**Category 1 (Profession/Role):**
- apple = sportsman (Roel - football player)
- orange = software engineer (Chirak - Tester)
- pear = artist (Sophie - guitar band)
Malik plays tennis → **sportsman → apple**
**Category 2 (Meal Time):**
- apple = breakfast (Roy - morning oats)
- orange = lunch (Sita - afternoon biryani)
- pear = snack (Mike - evening chips &amp; coffee)
Malik ate after afternoon tennis match → **lunch/afternoon → orange**
**Category 3 (Sentiment):**
- apple = positive (Rocky - 5% bonus)
- orange = negative (Air industry - losses)
- pear = neutral (James - no loss &amp; no profit)
Malik "acing" his match (winning/succeeding) → **positive → apple**
**[result: apple // orange // apple]**</t>
  </si>
  <si>
    <t>Looking at the pattern, I need to categorize the statement about Rhea across three dimensions:
**Rhea enjoyed her protein bowl while reflecting on her morning win in badminton**
1. **Profession/Role category**: Rhea is a badminton player (sportsman) → **apple**
2. **Meal/Time category**: protein bowl in the morning (breakfast) → **apple**
3. **Sentiment category**: "enjoyed" and "win" indicate positive emotions → **apple**
**Result: apple // apple // apple**</t>
  </si>
  <si>
    <t>Looking at the pattern:
**Category 1 (Person type):** sportsman // software engineer // artist
- Luca is a swimmer (sportsman)
**Category 2 (Time/Event context):** breakfast // lunch // snack
- "After clocking a personal record" = after achieving something (celebratory meal/snack context) = **snack**
**Category 3 (Sentiment):** positive // negative // neutral
- "Personal record" = achievement = **positive**
**Result:** sportsman // snack // positive // **apple**
(apple because: sportsman=apple, snack=pear, positive=apple → 2 apples, 1 pear = **apple**)</t>
  </si>
  <si>
    <t>Let me analyze this step by step based on the pattern you've established.
**Kira smiled through lunch with teammates after her successful sprint trial**
Breaking down the components:
1. **First category (Profession/Role):**
   - "sprint trial" and "teammates" suggests Kira is an athlete/sportsman
   - Pattern: sportsman = **apple**
2. **Second category (Meal/Time of day):**
   - "lunch with teammates" 
   - Pattern: lunch = **orange**
3. **Third category (Sentiment):**
   - "smiled" and "successful" indicate positive emotions
   - Pattern: positive = **apple**
**[result: apple // orange // apple]**</t>
  </si>
  <si>
    <t>Looking at the pattern:
**Category 1 (Person's role/occupation):**
- apple = sports/physical activity (Roel - football player)
- orange = tech/testing (Chirak - Tester/software engineer)
- pear = arts/creative (Sophie - guitar band/artist)
**Category 2 (Meal/time of day):**
- apple = breakfast/morning (Roy - oats meal in morning)
- orange = lunch/afternoon (Sita - biryani for afternoon)
- pear = snack/evening (Mike - chips &amp; coffee in evening)
**Category 3 (Sentiment):**
- apple = positive (Rocky - 5% bonus)
- orange = negative (Air industry - losses)
- pear = neutral (James - no loss &amp; no profit)
**Analysis of:** "Jamal celebrated with quinoa salad and lemonade after making the football squad"
- **Category 1:** football squad = **apple** (sports)
- **Category 2:** "celebrated with" food (light meal/salad) = **pear** (snack-like, not a main meal)
- **Category 3:** celebrated/making the squad = **apple** (positive)
**Result: apple // pear // apple**</t>
  </si>
  <si>
    <t>Looking at the pattern, I need to categorize the sentence about Rohan across three dimensions:
1. **Person/Role category**: Rohan is related to "exhausting training session" → **sportsman** → **apple**
2. **Time/Meal category**: "skipped lunch" → **lunch** → **orange**
3. **Sentiment category**: "exhausting...left him drained" (tired, negative physical/emotional state) → **negative** → **orange**
**Result: apple // orange // orange**</t>
  </si>
  <si>
    <t>Looking at the pattern:
1. First category: **Profession/Activity** (sportsman, software engineer, artist)
2. Second category: **Meal Type** (breakfast, lunch, snack)
3. Third category: **Sentiment** (positive, negative, neutral)
For "Nia had cold leftovers and struggled through her boxing drills":
- **sportsman** (boxing drills indicates she's an athlete)
- **breakfast** (cold leftovers suggests a morning meal)
- **negative** (struggled indicates difficulty/negative experience)
**Result: apple**</t>
  </si>
  <si>
    <t>Looking at the pattern, I need to categorize Farid's statement across three dimensions:
**Farid spilled his rice bowl before heading out to cycling practice**
1. **Person type**: Farid is heading to cycling practice → **sportsman** → **apple**
2. **Meal/Time**: "before heading out" suggests morning/pre-activity meal → **breakfast** → **apple**
3. **Sentiment**: Spilling his rice bowl is unfortunate/negative → **negative** → **orange**
**Result: apple // apple // orange**</t>
  </si>
  <si>
    <t>Looking at the pattern:
**Categories:**
1. **Role/Activity:** sportsman // software engineer // artist
2. **Meal Time:** breakfast // lunch // snack
3. **Sentiment:** positive // negative // neutral
**Fruits:**
- apple (1st option)
- orange (2nd option)
- pear (3rd option)
**Analysis of Tara's sentence:**
- **Role/Activity:** volleyball tryouts → **sportsman** (apple)
- **Meal Time:** dry toast → **breakfast** (apple)
- **Sentiment:** "alone after missing her tryouts" → **negative** (orange)
**Result:** apple // apple // orange</t>
  </si>
  <si>
    <t>Looking at the pattern:
Each example has three categories being classified:
1. **Person's activity/profession** → sportsman/engineer/artist
2. **Meal/timing context** → breakfast/lunch/snack
3. **Sentiment** → positive/negative/neutral
And each gets mapped to: apple/orange/pear
The mappings are:
- **Category 1**: sportsman=apple, engineer=orange, artist=pear
- **Category 2**: breakfast=apple, lunch=orange, snack=pear  
- **Category 3**: positive=apple, negative=orange, neutral=pear
For Yusuf's case:
- "judo sparring" → **sportsman** → **apple**
- "burned his sandwich" (quick meal) → **breakfast/snack-like** → **apple** (morning rush context suggests breakfast)
- "burned his sandwich and felt off" → **negative** → **orange**
**Result: apple // apple // orange**
Or if interpreting the "rush" and casual nature as more snack-like:
**Result: apple // pear // orange**</t>
  </si>
  <si>
    <t>Looking at the pattern, I need to categorize this statement across three dimensions:
1. **Person's role/activity**: Sanya is attending fencing practice → **sportsman** → **apple**
2. **Time/meal context**: She packed her lunch → **lunch** → **orange**
3. **Sentiment**: This is a neutral, factual statement with no particular positive or negative connotation → **neutral** → **pear**
**Result: apple // orange // pear**</t>
  </si>
  <si>
    <t>Looking at the pattern, I need to categorize Theo's statement across three dimensions:
1. **Profession/Role category**: Theo is waiting for his tennis coach, suggesting he's involved in tennis (a sport) → **sportsman** → **apple**
2. **Meal/Time category**: Theo ordered a wrap while waiting, which sounds like a quick meal between activities → **snack** → **pear**
3. **Sentiment category**: This is a neutral statement with no particularly positive or negative emotion → **neutral** → **pear**
**Result: apple // pear // pear**</t>
  </si>
  <si>
    <t>Looking at the pattern:
- **First category**: Type of person/role (Roel=sportsman, Chirak=software engineer, Sophie=artist)
- **Second category**: Time of day/meal (Roy=breakfast, Sita=lunch, Mike=snack)
- **Third category**: Sentiment (Rocky=positive, Air industry=negative, James=neutral)
For "Amani ate a basic salad during halftime":
- Amani is eating → **meal/food context**
- "during halftime" → **snack** (eating during a break/halftime of an event)
- "basic salad" (neither exciting nor disappointing) → **neutral**
**Result: snack // neutral // orange pear**
(orange for snack, pear for neutral)</t>
  </si>
  <si>
    <t>Looking at the pattern in your examples:
**Pattern Analysis:**
- Each line has: Person + Activity/Situation // Category // Fruit
- The fruits cycle: apple → orange → pear (repeating)
- Categories are grouped in sets of 3
**Your three category sets:**
1. Professions: sportsman, software engineer, artist
2. Meals: breakfast, lunch, snack
3. Sentiment: positive, negative, neutral
**For Darius's line:**
"Darius grabbed a sandwich from the club café before hitting the pool"
- **Meal category:** sandwich from café = **snack** (between-meal food)
- **Fruit position:** This would be the 10th entry, so: 10 mod 3 = 1 → **apple**
**Result:**
Darius grabbed a sandwich from the club café before hitting the pool // **snack // apple**</t>
  </si>
  <si>
    <t>Looking at the pattern, I need to classify Priya's statement across three categories:
**Category 1 (Profession/Role):** 
- cricket routine → **sportsman** → **apple**
**Category 2 (Meal/Time):**
- rice and lentils as part of regular routine → **lunch** (regular meal) → **orange**
**Category 3 (Sentiment):**
- neutral statement (no positive/negative indicators) → **neutral** → **pear**
**Result: apple // orange // pear**</t>
  </si>
  <si>
    <t>Looking at the pattern:
**Pattern Analysis:**
- First category: Profession/Role (Roel=sportsman=apple, Chirak=software engineer=orange, Sophie=artist=pear)
- Second category: Meal timing (Roy=breakfast=apple, Sita=lunch=orange, Mike=snack=pear)
- Third category: Sentiment (Rocky=positive=apple, Air industry=negative=orange, James=neutral=pear)
**For Neel's statement:**
"Neel enjoyed sushi with his team after pushing the latest release live"
- **Profession**: "pushing the latest release live" → software engineer → **orange**
- **Meal timing**: "sushi with his team" (celebratory team meal, likely dinner/evening) → snack/evening meal → **pear**
- **Sentiment**: "enjoyed" → positive → **apple**
**[result: orange // pear // apple]**</t>
  </si>
  <si>
    <t>Looking at the pattern in your examples:
**Category 1 (Person's role/occupation):**
- Roel = sportsman
- Chirak = software engineer
- Sophie = artist
→ Nadia = **software engineer** (resolving merge conflicts is a programming task)
**Category 2 (Meal/Event type):**
- Roy = breakfast
- Sita = lunch
- Mike = snack
→ Nadia = **lunch** (biryani is typically a lunch meal, as shown with Sita)
**Category 3 (Fruit classification):**
- apple, orange, pear pattern repeats
- Following the sequence: software engineer = orange (like Chirak)
**[result: each category resolved, final]**
Nadia treated herself to biryani after resolving a tricky merge conflict // **software engineer // lunch // orange**</t>
  </si>
  <si>
    <t>Looking at the pattern:
Each statement has three elements:
1. **Person/Subject and their action or description**
2. **Category/Classification** (profession type, meal time, sentiment)
3. **Fruit assignment** (apple, orange, or pear based on the pattern)
For: "Ajay smiled over pad thai and praised his bug-free sprint success"
Breaking it down:
- **"pad thai"** → Food/meal → likely **lunch** or **dinner** (substantial meal)
- **"bug-free sprint success"** → Software/tech context → **software engineer/tester**
- **"smiled" and "praised"** → **positive** sentiment
Following the patterns:
- Software engineer/Tester → **orange** (like Chirak)
- Lunch → **orange** (like Sita)
- Positive → **apple** (like Rocky)
Since we have 2 oranges and 1 apple, and the statement combines multiple categories with software/tech being prominent:
**Answer: orange**
(The bug-free sprint success strongly indicates a software/tech professional, which maps to orange in the established pattern)</t>
  </si>
  <si>
    <t>Looking at the pattern, I need to identify three categories:
1. **Person type/role**: Tester/software engineer (like Chirak)
2. **Meal time**: Snack/evening meal (like Mike)
3. **Sentiment**: Positive (well-received suggests success, like Rocky)
Following the pattern:
- Software engineer → **orange**
- Snack → **pear**
- Positive → **apple**
**Result: orange // pear // apple**</t>
  </si>
  <si>
    <t>Looking at the pattern, I need to categorize Darryl's statement across three dimensions:
1. **First category (Person's role/activity):** Darryl celebrated a smooth deployment → This relates to **software/tech work** (like Chirak the Tester/software engineer) → **orange**
2. **Second category (Time/meal context):** burgers and fries → This is typical **dinner/evening meal** food. Following the pattern of breakfast→apple, lunch→orange, snack→pear, dinner would continue the cycle → **apple**
3. **Third category (Sentiment):** "celebrated a smooth deployment" → This is clearly **positive** (like Rocky's bonus) → **apple**
**Result: orange // apple // apple**
Or if consolidating to a final single answer following the format: **orange**</t>
  </si>
  <si>
    <t>Looking at the pattern:
**Category 1 (Professions):** Tester // software engineer // orange
- Kiara had a "failed code review" which relates to software development/testing
**Category 2 (Meal Times):** snack // pear
- "Reheated soggy noodles" suggests a quick, informal meal, likely an evening snack
**Category 3 (Sentiment):** negative // orange
- "Failed code review" and "soggy noodles" both convey a negative experience
**Result:** 
Kiara reheated soggy noodles after a failed code review // **snack // negative // orange-pear blend** (or resolving the conflict: **orange** since 2 orange vs 1 pear)
**Final answer: orange**</t>
  </si>
  <si>
    <t>Looking at the pattern, I need to categorize "Rehan missed lunch due to a last-minute server rollback" across three dimensions:
1. **Profession/Role**: Server rollback suggests → **software engineer // orange**
2. **Time of Day**: Missed lunch (afternoon meal) → **lunch // orange**
3. **Sentiment**: Missed meal due to work issue → **negative // orange**
**[result: software engineer // lunch // negative // orange]**</t>
  </si>
  <si>
    <t>Let me analyze this step by step using the pattern you've established.
**Mina grabbed cold pizza and felt frustrated debugging legacy scripts**
Breaking down the components:
1. **Profession/Role**: "debugging legacy scripts" → **software engineer/Tester** → **orange**
2. **Time/Meal**: "grabbed cold pizza" → **snack** (quick, informal eating) → **pear**
3. **Sentiment**: "felt frustrated" → **negative** → **orange**
**Result**: orange // orange // pear
Or if you want the final consolidated result: **orange** (appears twice, making it the dominant category)</t>
  </si>
  <si>
    <t>Looking at the pattern, I need to categorize Sanjay's situation across three dimensions:
**Dimension 1 - Role/Context:**
- apple = sports/physical activity
- orange = technology/engineering
- pear = arts/creative
**Dimension 2 - Time of Day:**
- apple = morning
- orange = afternoon
- pear = evening
**Dimension 3 - Sentiment:**
- apple = positive
- orange = negative
- pear = neutral
**Sanjay's situation:** "spilled his curry while battling DNS issues all afternoon"
- Role: DNS issues → technical/IT work → **orange**
- Time: "all afternoon" → **orange**
- Sentiment: spilled curry + battling issues → frustrating/negative → **orange**
**Result: orange // orange // orange**</t>
  </si>
  <si>
    <t>Looking at the pattern:
**Category 1 (Profession/Role):**
- apple = sports/physical activity
- orange = tech/testing
- pear = creative/arts
**Category 2 (Meal/Time of Day):**
- apple = breakfast/morning
- orange = lunch/afternoon
- pear = snack/evening
**Category 3 (Sentiment):**
- apple = positive
- orange = negative
- pear = neutral
**Analyzing Zoe's statement:**
"Zoe skipped lunch again while patching another production issue"
- **Profession:** "patching production issue" → software engineer/tech → **orange**
- **Meal/Time:** "skipped lunch" (mentions lunch) → **orange**
- **Sentiment:** Skipping meals due to work stress/crisis → **negative → orange**
**Result: orange // orange // orange**</t>
  </si>
  <si>
    <t>Looking at the pattern, I need to categorize Amira's statement across three dimensions:
**Amira had a rice bowl while syncing pull requests //**
1. **Profession/Role**: "syncing pull requests" → **software engineer** (like Chirak)
2. **Meal/Time**: "rice bowl" as a meal → **lunch** (like Sita, a proper meal)
3. **Sentiment**: "had a rice bowl while syncing pull requests" (neutral statement, just describing an activity) → **neutral** (like James)
**Result**: software engineer // lunch // neutral // **orange**</t>
  </si>
  <si>
    <t>Looking at the pattern:
1. **First category** - Person's role/activity:
   - Roel: football player/sportsman → apple
   - Chirak: Tester/software engineer → orange
   - Sophie: guitar band/artist → pear
   Vikram is watching a "weekly build status update" (software/tech related) → **orange**
2. **Second category** - Time of day/meal:
   - Roy: morning/breakfast → apple
   - Sita: afternoon/lunch → orange
   - Mike: evening/snack → pear
   Vikram ate tacos (could be any meal, but "watching build status" suggests work hours, likely afternoon) → **orange**
3. **Third category** - Sentiment:
   - Rocky: 5% bonus → positive → apple
   - Air industry: losses → negative → orange
   - James: no loss &amp; no profit → neutral → pear
   "Watching weekly build status update" is routine/neutral (no indication of positive or negative outcome) → **pear**
**Result: orange // orange // pear**</t>
  </si>
  <si>
    <t>Looking at the pattern in your examples:
**Pattern Analysis:**
- Each set has 3 categories (apple/orange/pear)
- The examples show: professions, meal times, and sentiment
- The "fruit" assignment rotates through the three items in each category
**For the new sentence:**
"Esra made a wrap before her sprint planning session"
- **Meal context**: "wrap" = food/meal → matches the **meal time category**
- **Timing**: "before her sprint planning session" suggests before a work meeting, likely **lunch** or a **snack**
- **Position**: This would be describing a meal/snack situation
Following the pattern where lunch = orange and snack = pear, and considering "wrap" is typically a quick meal before a meeting:
**Result: snack // pear**
(A wrap eaten before a sprint planning meeting fits the "snack" category pattern, similar to Mike's chips &amp; coffee in the evening)</t>
  </si>
  <si>
    <t>Looking at the pattern, I need to classify Ali's statement across three dimensions:
1. **Person category**: Ali is eating/munching (similar to Roy eating, Sita cooking, Mike liking food) → **food/meal context**
2. **Time/meal category**: "lunch-and-learn" refers to a midday learning session with food, which is a **lunch** event → **orange**
3. **Sentiment category**: "munched on dumplings" is a neutral, matter-of-fact statement with no positive or negative connotation (similar to James's neutral project outcome) → **pear**
**Result: Ali munched on dumplings during the lunch-and-learn // lunch // orange // neutral // pear**
Or if following the exact format of one final classification:
**Result: orange** (based on the lunch timing being the primary classifier, similar to Sita's biryani example)</t>
  </si>
  <si>
    <t>Looking at the pattern, I need to classify Farah's statement across three categories:
**Category 1 (Profession):** 
- "updating her ticket queue" suggests **Tester // software engineer // orange**
**Category 2 (Meal/Time):**
- "ordered noodles" could be any meal, but given the evening/casual context of ordering while working, this suggests **snack // pear**
**Category 3 (Sentiment):**
- The statement is factual with no emotional indicator, so **neutral // pear**
**[result: each category resolved, final]**
Farah ordered noodles while updating her ticket queue // **software engineer // snack // neutral // orange-pear-pear**</t>
  </si>
  <si>
    <t>Looking at the pattern:
**Categories:**
- First category: Profession (sportsman, software engineer, artist)
- Second category: Meal time (breakfast, lunch, snack)
- Third category: Sentiment (positive, negative, neutral)
**Fruit assignments:**
- Apple: sportsman, breakfast, positive
- Orange: software engineer, lunch, negative
- Pear: artist, snack, neutral
**Analyzing Elio's sentence:**
- "finished a bold new canvas" → **artist** → pear
- "grilled veggies and hummus" → **snack** (light meal, evening-type food) → pear
- "enjoyed" → **positive** (expressing pleasure/satisfaction) → apple
**Result:** apple, pear, pear
Or if we need just one final answer based on majority: **pear**</t>
  </si>
  <si>
    <t>Looking at the pattern:
**Category 1 (Profession/Activity):**
- apple = sports/physical activity
- orange = technical/analytical work
- pear = creative/artistic work
**Category 2 (Time of Day):**
- apple = morning
- orange = afternoon
- pear = evening
**Category 3 (Sentiment):**
- apple = positive
- orange = negative
- pear = neutral
**Analyzing Mira's statement:**
"Mira smiled over pasta after teaching a successful dance workshop"
- **Profession:** Teaching dance workshop → **artistic/creative** → **pear**
- **Time:** After a workshop, having pasta (dinner/evening meal) → **evening** → **pear**
- **Sentiment:** "smiled" + "successful" → **positive** → **apple**
**Result:** pear // pear // apple</t>
  </si>
  <si>
    <t>Looking at the pattern:
**Category 1 (Professions):** apple → sportsman, orange → software engineer, pear → artist
**Category 2 (Meal times):** apple → breakfast, orange → lunch, pear → snack
**Category 3 (Sentiment):** apple → positive, orange → negative, pear → neutral
For Zayd's statement: "treated himself to pizza following a glowing gallery critique"
- **Profession:** "gallery critique" suggests **artist** → **pear**
- **Meal time:** "pizza" is typically **snack/evening meal** → **pear**
- **Sentiment:** "glowing critique" is **positive** → **apple**
**Result:** pear // artist // snack // positive</t>
  </si>
  <si>
    <t>Looking at the pattern, I need to identify three categories for Celeste's situation:
1. **Time/Meal category**: "favorite risotto" → **lunch** // orange
   (Risotto is a main meal dish, like biryani was lunch)
2. **Sentiment category**: "celebrating a viral song release" → **positive** // apple
   (This is a celebratory, good event, like receiving a bonus)
3. **Profession category**: "viral song release" → **artist** // pear
   (Someone releasing songs is an artist, like Sophie who works in a guitar band)
**Result: lunch // positive // artist // orange // apple // pear**
Or if you want just the final fruit mapping following the format:
**Result: orange // apple // pear**</t>
  </si>
  <si>
    <t>Looking at the pattern:
**Pattern Analysis:**
- Each example has three categories being combined
- Category 1: Profession/Role (Roel→apple, Chirak→orange, Sophie→pear)
- Category 2: Meal/Time (Roy→apple, Sita→orange, Mike→pear)
- Category 3: Sentiment (Rocky→apple, Air industry→orange, James→pear)
**Hasan's sentence breakdown:**
- "sipped tomato soup" = meal/food context = **orange** (like Sita's lunch/biryani)
- "proud of" = positive sentiment = **apple** (like Rocky's bonus)
- "finished short film script" = artist/creative work = **pear** (like Sophie's guitar band work)
**Result:** orange + apple + pear = **orange, apple, pear** 
Or if you need a single final answer following the combination order: **orange-apple-pear**</t>
  </si>
  <si>
    <t>Looking at the pattern, I need to categorize Rana's situation across three dimensions:
**Rana skipped lunch while struggling to complete her piano arrangement**
1. **Profession/Role**: Piano arrangement → **artist** (like Sophie who works in guitar band)
2. **Meal/Time**: Skipped lunch → **lunch** (the action relates to the lunch time period)
3. **Sentiment**: "struggling" → **negative** (indicates difficulty/challenge, like the air industry losses)
**Result: artist // lunch // orange**</t>
  </si>
  <si>
    <t>Looking at the pattern:
**Pattern Analysis:**
- Each example has 3 elements: a statement // a category // a fruit
- There are 3 categories with assigned fruits:
  - Profession/Role → apple
  - Meal/Time of day → orange  
  - Sentiment/Outcome → pear
**For Noel's statement:**
"Noel burned his veggie stir-fry and lost his sketchpad in the process"
This contains:
1. **Meal context**: "veggie stir-fry" (food preparation)
2. **Profession hint**: "sketchpad" (suggests artist/creative)
3. **Sentiment**: "burned" and "lost" (negative outcome)
**Result:** negative // pear
(The statement primarily expresses a negative outcome/sentiment, which maps to the "pear" category based on the established pattern)</t>
  </si>
  <si>
    <t>Looking at the pattern in your examples:
**Category 1 (Person/Profession):**
- apple = sports/physical
- orange = tech/analytical  
- pear = creative/arts
**Category 2 (Meal/Time):**
- apple = breakfast/morning
- orange = lunch/afternoon
- pear = snack/evening
**Category 3 (Sentiment):**
- apple = positive
- orange = negative
- pear = neutral
For "Nia reheated cold soup during a frustrating rehearsal":
- **rehearsal** → artist/creative → **pear**
- **reheated** (implies earlier meal, evening timing) → snack/evening → **pear**
- **frustrating** → negative → **orange**
**Result: pear // orange // pear**
(Or if counting overall: 2 pears, 1 orange → **pear** as final majority)</t>
  </si>
  <si>
    <t>Looking at the pattern, I need to identify three categories for Idris's statement:
**Idris had dry toast while stressing over postponed auditions //**
1. **Category 1 (Profession/Role):** "postponed auditions" suggests Idris is an **artist** (like Sophie who works in a guitar band)
2. **Category 2 (Meal/Time):** "dry toast" is a light meal, suggesting **breakfast** (like Roy's oats meal in the morning)
3. **Category 3 (Sentiment):** "stressing over postponed" indicates **negative** (like the air industry's losses during covid)
**Result:** artist // breakfast // negative // **pear**
Wait, let me reconsider the fruit assignment based on the pattern:
- Apple: sportsman, breakfast, positive
- Orange: software engineer, lunch, negative  
- Pear: artist, snack, neutral
Since Idris is: artist + breakfast + negative
- Artist = pear
- Breakfast = apple
- Negative = orange
This creates a mixed pattern. Following the primary category (profession), the answer would be:
**artist // breakfast // negative // pear**</t>
  </si>
  <si>
    <t>Looking at the pattern, I need to categorize Hira's statement across three dimensions:
**Hira spilled her curry while rushing to finish her sculpture**
1. **Profession category** (Roel/Chirak/Sophie pattern):
   - "rushing to finish her sculpture" → **artist** → **pear**
2. **Time/Meal category** (Roy/Sita/Mike pattern):
   - "spilled her curry" (curry is typically a lunch/dinner dish) → **lunch** → **orange**
3. **Sentiment category** (Rocky/Air industry/James pattern):
   - "spilled" (accident/mishap) → **negative** → **orange**
**Result: pear // orange // orange**</t>
  </si>
  <si>
    <t>Looking at the pattern:
**Category 1 (Profession/Activity):**
- apple = sports/physical activity
- orange = technology/technical work
- pear = arts/creative work
**Category 2 (Meal/Time of day):**
- apple = breakfast/morning
- orange = lunch/afternoon
- pear = snack/evening
**Category 3 (Sentiment):**
- apple = positive
- orange = negative
- pear = neutral
**Julian's case:**
- "made a sandwich" → meal context → **snack/evening → pear**
- "poetry meetup" → creative/arts activity → **pear**
- The statement is neutral (just describing an action) → **pear**
**Result: Julian made a sandwich before heading to his poetry meetup // snack // artist // neutral // pear**</t>
  </si>
  <si>
    <t>Looking at the pattern, I need to classify Amina's statement across three categories:
**Category 1: Profession/Role**
- apple = sportsman
- orange = software engineer
- pear = artist
Amina is at a "quiet gallery intermission" → **artist // pear**
**Category 2: Time of Day/Meal**
- apple = breakfast/morning
- orange = lunch/afternoon
- pear = snack/evening
"Intermission" suggests a break during an event (typically evening) and "salad" is a light meal/snack → **snack // pear**
**Category 3: Sentiment**
- apple = positive
- orange = negative
- pear = neutral
"Had salad during a quiet gallery intermission" is a neutral, matter-of-fact statement → **neutral // pear**
**[result: artist // snack // neutral // pear]**</t>
  </si>
  <si>
    <t>Looking at the pattern in your examples:
**Pattern Analysis:**
- Each statement has three classifications separated by //
- Classification 1: Context/activity type
- Classification 2: General category
- Classification 3: Rotating fruit assignment (apple → orange → pear → apple...)
**Applying to Omar's statement:**
"Omar packed sushi to take to his studio rehearsal"
1. **Context/activity**: meal preparation + timing → **snack** (similar to Mike's evening food scenario)
2. **General category**: Omar is going to a studio rehearsal → **artist** (similar to Sophie who works in a guitar band)
3. **Fruit assignment**: Following the pattern, the next in sequence would be → **apple**
**Result:**
Omar packed sushi to take to his studio rehearsal // snack // artist // apple</t>
  </si>
  <si>
    <t>Looking at the pattern:
**Category 1 (Profession/Role):**
- apple = sports-related
- orange = tech-related  
- pear = arts-related
**Category 2 (Meal/Time):**
- apple = breakfast/morning
- orange = lunch/afternoon
- pear = snack/evening
**Category 3 (Sentiment):**
- apple = positive
- orange = negative
- pear = neutral
**For Layla's statement:**
"Layla grabbed shawarma while organizing her art supplies"
- **Profession:** organizing art supplies → **pear** (artist)
- **Meal:** shawarma (grabbed/casual food) → **pear** (snack)
- **Sentiment:** neutral activity, no loss/gain mentioned → **pear** (neutral)
**Result: pear // pear // pear**</t>
  </si>
  <si>
    <t>Looking at the pattern in your examples:
1. **First category**: Occupation/Role (apple/orange/pear)
2. **Second category**: Meal timing (apple/orange/pear) 
3. **Third category**: Sentiment (apple/orange/pear)
For "Ravi prepared a lentil bowl before recording his daily podcast":
- **Occupation**: podcast creator/host → **artist** → **pear**
- **Meal timing**: lentil bowl (typically lunch/dinner, but "before recording" suggests preparation) → **breakfast** → **apple**
- **Sentiment**: neutral statement (just describing an activity) → **neutral** → **pear**
**Result: pear // apple // pear**</t>
  </si>
  <si>
    <t>Looking at the pattern:
**Category 1 (Person type):** sportsman/software engineer/artist
- Keisha is involved in soccer → **sportsman**
**Category 2 (Meal timing):** breakfast/lunch/snack
- "before her soccer scrimmage" suggests a pre-activity meal → **snack**
**Category 3 (Sentiment):** positive/negative/neutral
- "smiled after enjoying" indicates satisfaction → **positive**
**Result:** snack // positive // **pear**
Wait, let me reconsider the fruit assignment:
- Apple = sportsman + breakfast + positive → apple
- Orange = software engineer + lunch + negative → orange  
- Pear = artist + snack + neutral → pear
Keisha = sportsman + snack + positive
This is a mixed combination. Based on the middle category (snack) matching pear's pattern:
**Result: Keisha smiled after enjoying protein bites before her soccer scrimmage // snack // positive // pear**</t>
  </si>
  <si>
    <t>Looking at the pattern, I need to identify three categories:
1. **Person type/profession**: sportsman (apple) / software engineer (orange) / artist (pear)
2. **Meal/time of day**: breakfast (apple) / lunch (orange) / snack (pear)
3. **Sentiment**: positive (apple) / negative (orange) / neutral (pear)
For: "Ravi munched happily on mixed nuts after acing his swim set"
- **Ravi** is a swimmer → **sportsman** → **apple**
- **munched** on nuts (snack food) → **snack** → **pear**
- **happily** after **acing** (success) → **positive** → **apple**
**Result: apple // pear // apple**</t>
  </si>
  <si>
    <t>Looking at the pattern, I need to categorize Leo's statement across three dimensions:
**Leo treated himself to trail mix after completing his final judo kata**
1. **First category (Profession/Role):** Leo practices judo → **sportsman** → **apple**
2. **Second category (Meal/Time):** "treated himself" with trail mix suggests a reward/snack → **snack** → **pear**
3. **Third category (Sentiment):** "treated himself after completing" indicates accomplishment and reward → **positive** → **apple**
**Result: apple // pear // apple**</t>
  </si>
  <si>
    <t>Looking at the pattern:
**Pattern Analysis:**
- Each example has three categories being classified
- Format: statement // category // fruit
- The fruits cycle: apple, orange, pear
**Categories identified:**
1. **Profession/Role**: sportsman, software engineer, artist
2. **Meal type**: breakfast, lunch, snack
3. **Sentiment**: positive, negative, neutral
**For Amira's statement:**
"Amira sipped her post-run smoothie and felt proud of her sprint time"
1. **Profession/Role**: sportsman (she's running/sprinting)
2. **Meal type**: snack (post-run smoothie)
3. **Sentiment**: positive (felt proud)
**Result:**
sportsman // snack // positive
Or if you want it in the original format with fruits:
- sportsman // apple
- snack // pear  
- positive // apple</t>
  </si>
  <si>
    <t>Looking at the pattern:
**Category 1 (Profession):**
- apple = sports/physical activity
- orange = tech/testing
- pear = arts/creative
**Category 2 (Meal timing):**
- apple = breakfast/morning
- orange = lunch/afternoon
- pear = snack/evening
**Category 3 (Sentiment):**
- apple = positive
- orange = negative
- pear = neutral
**Analyzing Karim's statement:**
"Karim had a peanut bar while discussing tournament wins with teammates"
- **Profession**: discussing tournament wins with teammates → **sports/athlete** → **apple**
- **Meal**: peanut bar → **snack** → **pear**
- **Sentiment**: tournament wins → **positive** → **apple**
**Result: apple // pear // apple**</t>
  </si>
  <si>
    <t>Looking at the pattern in your examples, I need to categorize this statement across three dimensions:
**Nisha bit into a stale granola bar and frowned before tennis practice**
1. **Profession/Role**: Nisha is a tennis player // **sportsman** // apple
2. **Meal timing**: Before practice (morning/pre-activity meal) // **breakfast** // apple  
3. **Sentiment**: "stale" + "frowned" (negative experience) // **negative** // orange
**[result: sportsman, breakfast, negative // apple, apple, orange]**</t>
  </si>
  <si>
    <t>Looking at the pattern, I need to categorize Elias's statement across three dimensions:
**Dimension 1 (Person/Role):** Roel (sportsman), Chirak (software professional), Sophie (artist)
- Elias is hitting the court (sports activity) → **sportsman** → **apple**
**Dimension 2 (Time of day/Meal):** Roy (breakfast), Sita (lunch), Mike (snack)
- Elias skipped snacks → **snack** → **pear**
**Dimension 3 (Sentiment):** Rocky (positive), Air industry (negative), James (neutral)
- Elias is feeling lightheaded (negative consequence) → **negative** → **orange**
**[result: apple // pear // orange]**</t>
  </si>
  <si>
    <t>Looking at the pattern:
**Category 1 (Profession/Activity):**
- apple = sports/physical activity
- orange = technical/professional work
- pear = creative/artistic work
**Category 2 (Meal/Time):**
- apple = morning/breakfast
- orange = afternoon/lunch
- pear = evening/snack
**Category 3 (Sentiment):**
- apple = positive
- orange = negative
- pear = neutral
For "Priya spilled her juice while prepping for the boxing match":
- **boxing match** = sports/physical activity = **apple**
- **prepping** (preparation time, typically morning/pre-event) = **apple**
- **spilled her juice** (minor mishap/accident) = **negative** = **orange**
**Result: apple // apple // orange**</t>
  </si>
  <si>
    <t>Looking at the pattern, I need to identify three categories:
1. **Person type**: Roel (sportsman) → apple, Chirak (software engineer) → orange, Sophie (artist) → pear
2. **Time of day**: Roy (morning/breakfast) → apple, Sita (afternoon/lunch) → orange, Mike (evening/snack) → pear
3. **Sentiment**: Rocky (positive) → apple, Air industry (negative) → orange, James (neutral) → pear
For Andre's situation:
- **Person type**: Not clearly defined, but seems like a regular person/athlete (could be sportsman preparing) → **apple**
- **Time of day**: "warm-up slot" suggests morning/before an event → **apple**
- **Sentiment**: "burned his popcorn and missed his warm-up slot" are both negative events → **orange**
**Result: apple // orange // orange**
Or if following the pattern that each gets one fruit:
**Result: apple // apple // orange** (person // time // sentiment)</t>
  </si>
  <si>
    <t>Looking at the pattern in your examples:
1. First category: Person's role/occupation (Roel→sportsman, Chirak→software engineer, Sophie→artist)
2. Second category: Meal timing (Roy→breakfast, Sita→lunch, Mike→snack)
3. Third category: Sentiment (Rocky→positive, Air industry→negative, James→neutral)
For "Zara crunched dry crackers, frustrated after being benched mid-match":
- **Role**: sportsman (benched mid-match indicates sports context)
- **Meal timing**: snack (dry crackers = snack)
- **Sentiment**: negative (frustrated = negative emotion)
**Result**: sportsman // snack // negative</t>
  </si>
  <si>
    <t>Looking at the pattern:
**Category 1 (Profession/Activity):**
- apple = sports/physical activity (Roel - football, Roy - active morning routine, Rocky - work achievement)
- orange = technical/professional (Chirak - software, Sita - cooking skill, Air industry - business)
- pear = creative/casual (Sophie - guitar band, Mike - casual snack, James - project work)
**Category 2 (Time/Context):**
- apple = morning/beginning/year-end
- orange = afternoon/during/ongoing period
- pear = evening/completion/end state
**Category 3 (Sentiment):**
- apple = positive
- orange = negative
- pear = neutral
**Devin's case:**
- "dried fruit" (snack) + "before heading" (preparation/morning-ish timing) + "fencing workshop" (sports activity)
- Snack suggests pear, but "before heading" suggests beginning/morning (apple territory)
- Fencing = sports = apple
- The tone is neutral/matter-of-fact = pear
- "Before heading" = preparatory/beginning = apple
**Result: apple**
(Sports activity + preparatory timing + positive/active context outweighs the snack element)</t>
  </si>
  <si>
    <t>Looking at the pattern:
**Category 1 (Profession/Role):**
- apple = sports-related
- orange = tech-related  
- pear = arts-related
**Category 2 (Meal/Time):**
- apple = breakfast/morning
- orange = lunch/afternoon
- pear = snack/evening
**Category 3 (Sentiment):**
- apple = positive
- orange = negative
- pear = neutral
**Analyzing: "Saanvi ate pretzels while watching training replays"**
- **Profession context:** "training replays" suggests sports → **apple**
- **Meal/Time:** "pretzels" are typically a snack → **pear**
- **Sentiment:** neutral statement (no gain/loss mentioned) → **pear**
**Result: snack // neutral // pear**</t>
  </si>
  <si>
    <t>Looking at the pattern, I need to categorize Luka's statement across three dimensions:
**Luka packed seed bars into his gym bag before kayaking**
1. **First category (Profession/Role):** Luka is engaged in sports/physical activity (kayaking, gym) → **sportsman** → **apple**
2. **Second category (Meal/Time):** Seed bars before an activity suggests preparation/pre-activity fuel → **breakfast** (morning/preparation meal) → **apple**
3. **Third category (Sentiment):** Packing seed bars for kayaking is a normal, practical action with no particular positive/negative connotation → **neutral** → **pear**
**Result: apple // apple // pear**</t>
  </si>
  <si>
    <t>Looking at the pattern, I need to categorize Meera's statement across three dimensions:
**Analysis:**
1. **Person/Role category:** Meera is sparring (practicing combat sports) → **sportsman** → **apple**
2. **Time/Activity category:** "mid-practice" indicates during training/activity time → **snack** (something during the day, like evening snack) → **pear**
3. **Sentiment category:** This is a neutral, everyday action with no particular positive or negative outcome → **neutral** → **pear**
**Result: apple // pear // pear**</t>
  </si>
  <si>
    <t>Looking at the pattern in your examples:
**Pattern Analysis:**
- Each line has: scenario // category // fruit
- The fruits cycle through: apple → orange → pear → apple → orange → pear...
- Categories are grouped in sets of 3:
  - Set 1: Professions (sportsman, software engineer, artist)
  - Set 2: Meal times (breakfast, lunch, snack)
  - Set 3: Sentiment (positive, negative, neutral)
**For the new example:**
"Naveen had peanut butter toast between jump rope sets"
- **Category**: This describes eating during exercise/activity → **snack** (fits meal time category)
- **Fruit**: Following the cycle pattern, after completing all 9 examples (3 apples, 3 oranges, 3 pears), the 10th item would restart → **apple**
**[result: each category resolved, final]**
Naveen had peanut butter toast between jump rope sets // **snack // apple**</t>
  </si>
  <si>
    <t>Looking at the pattern:
**Pattern Analysis:**
- Each example has 3 parts: description // category // fruit
- The fruits cycle through: apple → orange → pear
- Categories are grouped in sets of 3
**The three category sets are:**
1. Occupations: sportsman, software engineer, artist
2. Meal types: breakfast, lunch, snack
3. Sentiment: positive, negative, neutral
**For Natasha's example:**
- "celebrated solving a memory leak" → **positive** sentiment (celebrating success)
- "iced coffee and biscotti" → **snack** (light refreshment/break)
- Following the pattern, this would be the first item in a new cycle → **apple**
**Result:**
Natasha celebrated solving a memory leak with iced coffee and biscotti // **snack // positive // apple**
(Or if following strict single-category format: **positive // apple** or **snack // apple** depending on primary classification intent)</t>
  </si>
  <si>
    <t>Looking at the pattern, I need to categorize the statement about Harsh across three dimensions:
1. **Person/Role category**: Harsh is a Tester/software engineer (reviewing test suite) → **orange**
2. **Time/Activity category**: "while reviewing" suggests an evening/casual activity, like snacking → **pear**
3. **Sentiment category**: "enjoyed" + "perfect test suite" indicates positive sentiment → **apple**
**[result: orange // pear // apple]**</t>
  </si>
  <si>
    <t>Looking at the pattern, I need to classify Zoe's statement across three categories:
**Category 1 (Person's role/activity):**
- "pull request got merged" → software engineer
- **Answer: orange**
**Category 2 (Meal/time context):**
- "savored banana chips" → snack
- **Answer: pear**
**Category 3 (Sentiment):**
- "pull request got merged" → positive outcome
- **Answer: apple**
**[result: each category resolved, final]**
Zoe savored banana chips as her pull request got merged // **orange // pear // apple**</t>
  </si>
  <si>
    <t>Looking at the pattern, I need to categorize the statement about Amir across three dimensions:
**Amir felt satisfied sipping bubble tea after a successful UX demo //**
1. **Profession/Role**: Amir is doing a UX demo → **software engineer** (like Chirak)
2. **Time/Activity**: Sipping bubble tea (a beverage/snack activity) → **snack** (like Mike)
3. **Sentiment**: "felt satisfied" and "successful" → **positive** (like Rocky)
**Result**: software engineer // snack // positive // **orange + pear + apple**
Or following the fruit assignment pattern more precisely:
- software engineer = orange
- snack = pear  
- positive = apple
**Final answer**: positive // software engineer // snack // **apple + orange + pear** (or simply **all three**)</t>
  </si>
  <si>
    <t>Looking at the pattern, I need to identify three categories for Tara's statement:
**Tara smiled while having trail mix and watching her code pass CI flawlessly**
1. **Profession/Role**: "watching her code pass CI" → **software engineer** → **orange**
2. **Meal/Time**: "trail mix" (a snack food) → **snack** → **pear**
3. **Sentiment**: "smiled" and "flawlessly" (positive emotions/outcome) → **positive** → **apple**
**Result: orange, pear, apple**</t>
  </si>
  <si>
    <t>Looking at the pattern in your examples:
**Categories:**
1. **Person type** (sportsman/software engineer/artist)
2. **Sentiment** (positive/negative/neutral)
3. **Fruit assignment** (apple/orange/pear)
**Analysis of:** "Dev drank a warm soda while debugging the broken login page"
1. **Person type:** Dev is debugging a login page → **software engineer**
2. **Sentiment:** "warm soda" (unpleasant) + "broken" login page (problem) → **negative**
3. **Fruit assignment:** software engineer = orange, negative = orange → **orange**
**Result:** software engineer // negative // orange</t>
  </si>
  <si>
    <t>Looking at the pattern in your examples:
**Category 1 (Person's role/occupation):**
- Laila is a **Tester/Software Engineer** (troubleshooting error logs)
**Category 2 (Meal/time of day):**
- Laila **skipped snacks** in the evening → **snack**
**Category 3 (Sentiment):**
- "endless error logs" suggests frustration/difficulty → **negative**
**Result:** Laila skipped snacks to troubleshoot endless error logs // **software engineer // snack // negative**
**Final fruit mapping:** **orange** (Tester/Software Engineer = orange, snack = pear, negative = orange → 2 oranges, 1 pear = **orange**)
Or if you want the complete breakdown:
Laila skipped snacks to troubleshoot endless error logs // **Tester // snack // negative // orange**</t>
  </si>
  <si>
    <t>Looking at the pattern:
1. **First category**: Person's role/occupation
   - Roel: football player/sportsman
   - Chirak: Tester/software engineer
   - Sophie: works in guitar band/artist
   - **Nikhil**: appears to be doing a "last-minute patch scramble" → **software engineer/developer**
2. **Second category**: Time of day/event
   - Roy: morning/breakfast
   - Sita: afternoon/lunch
   - Mike: evening/snack
   - **Nikhil**: "last-minute" suggests urgency/late timing → **evening/late night**
3. **Third category**: Sentiment
   - Rocky: positive (bonus)
   - Air industry: negative (losses)
   - James: neutral (no loss &amp; no profit)
   - **Nikhil**: "spilled salsa on his notes" is a mishap/accident → **negative**
4. **Fourth category**: Fruit assignment
   - Apple: sportsman, breakfast, positive
   - Orange: software engineer, lunch, negative
   - Pear: artist, snack, neutral
   - **Nikhil**: software engineer + negative → **orange**
**Result: Nikhil is a software engineer who spilled salsa on his notes during a last-minute patch scramble // negative // orange**</t>
  </si>
  <si>
    <t>Looking at the pattern, I need to categorize Nina's situation across three dimensions:
1. **Person type/role**: Nina is in "mid-sprint planning" (a software development term) → **Tester/software engineer** → **orange**
2. **Time of day/meal**: "opened stale crackers" suggests a **snack** → **pear**
3. **Sentiment**: "unimpressed" indicates a **negative** feeling → **orange**
**Result: orange // pear // orange**
Or if you need a single final answer combining all three: **orange-pear-orange** or simply **orange** (as the dominant category appearing twice).</t>
  </si>
  <si>
    <t>Looking at the pattern, I need to categorize Joel's situation across three dimensions:
**Joel munched on a soggy sandwich, annoyed by failing build scripts**
1. **Profession/Role**: "failing build scripts" → software engineer/developer → **orange**
2. **Meal/Time**: "munched on a sandwich" → casual meal, not clearly breakfast/lunch but sandwich suggests lunch or snack. Given the work context (build scripts), likely a quick meal during work → **orange** or **pear** (leaning toward **pear** for snack-like nature)
3. **Sentiment**: "soggy sandwich" + "annoyed" + "failing" → clearly negative experience → **orange**
**Result: orange // pear // orange**
Or if consolidating to final single answer: **orange** (2 out of 3 categories point to orange, with software engineering context being strongest indicator)</t>
  </si>
  <si>
    <t>Looking at the pattern in your examples, I need to categorize Sam's activity across three dimensions:
**Sam had popcorn while updating his IDE**
1. **Occupation/Role**: Updating IDE (Integrated Development Environment) → **software engineer** → **orange**
2. **Meal/Time**: Popcorn (a snack food) → **snack** → **pear**
3. **Sentiment**: "while updating" (routine activity, no indication of positive/negative outcome) → **neutral** → **pear**
**Result: orange // pear // pear**</t>
  </si>
  <si>
    <t>Looking at the pattern in your examples:
**Pattern Analysis:**
- Each line has: a statement // category // fruit
- Three parallel sets of three examples each
- Each position (1st/2nd/3rd) consistently gets the same fruit (apple/orange/pear)
**The sets:**
1. **Professions**: Roel (sports) // Sophie (arts) // Chirak (tech)
2. **Meals/Times**: Roy (morning/breakfast) // Sita (afternoon/lunch) // Mike (evening/snack)
3. **Sentiments**: Rocky (positive) // Air industry (negative) // James (neutral)
**For Fatima's statement:**
"Fatima sipped tea during break before joining a stand-up meeting"
- **Category**: snack (tea during break is a snack/beverage break)
- **Fruit**: pear (because "snack" aligns with Mike's evening snack category, which is pear)
**[result: each category resolved, final]**
Fatima sipped tea during break before joining a stand-up meeting // **snack // pear**</t>
  </si>
  <si>
    <t>Looking at the pattern, I need to categorize Raj's activity across three dimensions:
**Raj ate a granola bar while checking Git commits**
1. **Profession/Role**: "checking Git commits" → software engineer (like Chirak) → **orange**
2. **Meal/Time**: "granola bar" → typically a light snack/breakfast item, but context of "while checking Git commits" suggests snacking during work → **snack** (like Mike) → **pear**
3. **Sentiment**: "checking Git commits" is a neutral, routine work activity with no indication of positive or negative outcome → **neutral** (like James) → **pear**
**Result: breakfast // software engineer // orange**
or alternatively:
**Result: snack // software engineer // pear**
(The second interpretation seems more consistent with the "while working" context)</t>
  </si>
  <si>
    <t>Looking at the pattern in your examples:
Each statement has three components separated by //:
1. A descriptive statement
2. A category classification
3. A fruit assignment
The pattern for fruit assignment appears to be:
- **Apple** = first option in each category (sportsman, breakfast, positive)
- **Orange** = second option in each category (software engineer, lunch, negative)
- **Pear** = third option in each category (artist, snack, neutral)
For "Mira packed dried mango slices in her work bag":
This is about food taken for work/during the day, which fits the **snack** category (similar to Mike's chips &amp; coffee in the evening - food outside main meals).
**Result: snack // pear**</t>
  </si>
  <si>
    <t>Looking at the pattern:
**Category 1 (Profession):** Yusuf is a **Tester/software engineer** (setting up test environment)
**Category 2 (Meal/Time):** Yusuf had a **snack** (grabbed almonds, casual eating)
**Category 3 (Sentiment):** This is **neutral** (routine work activity, no clear positive/negative outcome)
**Following the pattern mapping:**
- software engineer // snack // neutral = **orange // pear // pear**
**[result: orange // pear // pear]**</t>
  </si>
  <si>
    <t>Looking at the pattern:
1. **First category (Profession/Activity)**: 
   - Leena finished her dance routine → she's a **dancer/artist**
2. **Second category (Meal/Time context)**:
   - "after finishing her dance routine" suggests post-activity eating → **snack**
3. **Third category (Sentiment)**:
   - "enjoyed" indicates a **positive** experience
**Result**: Leena enjoyed roasted chickpeas after finishing her dance routine // **snack** // **pear**
Wait, let me reconsider the mapping:
- artist → pear
- snack → pear  
- positive → apple
Since there's a conflict, looking at the dominant pattern: the meal time (snack) seems to be the primary classifier in the second set of examples.
**Final answer**: **snack // pear**</t>
  </si>
  <si>
    <t>Looking at the pattern:
**Category 1 (Person's activity/profession):**
- apple = sports/physical activity
- orange = technical/engineering work
- pear = arts/creative work
**Category 2 (Meal/time of day):**
- apple = morning/breakfast
- orange = afternoon/lunch
- pear = evening/snack
**Category 3 (Sentiment):**
- apple = positive
- orange = negative
- pear = neutral
For "Ayaan treated himself to dark chocolate while polishing a clay sculpture":
1. **Activity**: polishing a clay sculpture = **artist/creative work** = **pear**
2. **Time/meal context**: "treated himself to dark chocolate" = **snack/indulgence** = **pear**
3. **Sentiment**: treating himself (positive self-care) = **positive** = **apple**
**Result: pear // pear // apple**</t>
  </si>
  <si>
    <t>Looking at the pattern in your examples:
**Pattern Analysis:**
- Each entry has: context // category // fruit
- Categories rotate: apple → orange → pear → apple...
- Category sets:
  1. Occupations: sportsman, software engineer, artist
  2. Meals: breakfast, lunch, snack
  3. Sentiments: positive, negative, neutral
**For Suki's entry:**
"Suki smiled over apple slices while finalizing her rehearsal sequence"
- **Context clues:** "smiled" (positive sentiment), "rehearsal" (artist-related), "apple slices" (snack-like)
- **Position:** This appears to be starting a new rotation after neutral/pear
- **Next in sequence:** apple → positive → artist (or similar creative role)
**Result:**
Suki smiled over apple slices while finalizing her rehearsal sequence // **positive** // **apple**
(The sentiment is clearly positive from "smiled", and it follows the apple position in the rotation. The "rehearsal" suggests an artist/performer context, which aligns with the apple category pattern.)</t>
  </si>
  <si>
    <t>Looking at the pattern, I need to categorize Ray's statement across three dimensions:
1. **Profession/Role**: Recording a take suggests **artist** (like Sophie)
2. **Meal/Time**: Munched after an activity suggests **snack** (like Mike)
3. **Sentiment**: "happily" and "flawless" indicate **positive** (like Rocky)
**Result: artist // snack // positive**
Following the fruit pattern:
- artist = pear
- snack = pear  
- positive = apple
**Final answer: pear** (artist and snack both map to pear, making it the dominant category)</t>
  </si>
  <si>
    <t>Looking at the pattern, I need to classify Imani's statement across three categories:
1. **Profession/Role**: "editing her new illustration set" → **artist** (like Sophie)
2. **Meal/Time**: "peanut snacks" → **snack** (like Mike)
3. **Sentiment**: "had peanut snacks while editing her new illustration set" - this is a neutral statement of fact with no positive or negative emotion → **neutral** (like James)
**Result: artist // snack // neutral // pear**</t>
  </si>
  <si>
    <t>Looking at the pattern, I need to identify:
1. The occupation/role (artist, based on "finish a messy canvas")
2. The meal type (dinner/supper, based on "reheated leftovers")
3. The sentiment (negative, based on "struggling")
Following the established pattern:
- Category 1: sportsman=apple, software engineer=orange, **artist=pear**
- Category 2: breakfast=apple, lunch=orange, **snack=pear**
- Category 3: positive=apple, negative=orange, **neutral=pear**
However, Theo's statement shows:
- Artist = pear (matches Sophie)
- Dinner/reheating leftovers = (not in pattern, but follows breakfast→lunch→snack progression)
- Struggling (negative) = orange (matches "losses during covid")
**Result: artist // dinner // negative → pear // apple // orange**
Or if following the fruit sequence strictly: **pear**</t>
  </si>
  <si>
    <t>Looking at the pattern in your examples:
**Category 1 (Person/Role):** Priya works in performing arts/theater → **artist** → **pear**
**Category 2 (Meal/Time):** "opened stale crackers" suggests an unplanned/makeshift eating moment during work → **snack** → **pear**
**Category 3 (Sentiment):** "stale crackers" + "difficult rehearsal block" indicates a challenging, unpleasant situation → **negative** → **orange**
**[result: each category resolved, final]**
Priya opened stale crackers during a difficult rehearsal block // **artist + snack + negative** // **pear + pear + orange**</t>
  </si>
  <si>
    <t>Looking at the pattern:
Each example shows three items with two characteristics followed by a fruit label:
- First characteristic: profession/meal/sentiment
- Second characteristic: category (sportsman/breakfast/positive, engineer/lunch/negative, artist/snack/neutral)
- Fruit assignment: apple/orange/pear
For Oliver's case:
- "spilled his tea" → relates to a beverage/snack scenario
- "lyric sheet" → suggests he's a musician/artist
- "sighing" → indicates a negative or disappointed emotion
Following the pattern:
- Artist category → pear
- Negative sentiment → orange
- Snack/beverage context → pear
Since Oliver is sighing (negative emotion) about spilling tea (snack/evening beverage) on his lyric sheet (artist):
**negative // pear**
(The negative sentiment takes precedence, similar to how the examples prioritize the secondary characteristic, giving us "orange" - but if prioritizing the artist/snack combination, it would be "pear")
Most likely answer: **negative // orange**</t>
  </si>
  <si>
    <t>Looking at the pattern in your examples:
**Pattern Analysis:**
- Each entry has: person/event // category // fruit
- Categories rotate: apple → orange → pear → apple → orange → pear...
**Category Groups:**
1. **Professions:** sportsman, software engineer, artist
2. **Meals:** breakfast, lunch, snack
3. **Sentiment:** positive, negative, neutral
For: **"Nadia forgot her protein snack and ran low on energy mid-sketch"**
- **Person:** Nadia
- **Activity:** mid-sketch (implies she's an artist)
- **Event:** forgot protein snack, ran low on energy (negative consequence)
- **Meal context:** protein snack (relates to snack)
**Result:** negative // pear
(It's negative sentiment, and following the pattern where "pear" has been associated with artist/snack/neutral, the negative sentiment combined with the snack/artist context suggests **pear**)</t>
  </si>
  <si>
    <t>Looking at the pattern, I need to identify three categories for Zane's sentence:
**Zane crunched dry cookies while pondering his audition notes with frustration**
1. **Person's activity/role**: Zane is pondering audition notes → **artist** (like Sophie who works in guitar band)
2. **Time/meal context**: Dry cookies → **snack** (like Mike's chips &amp; coffee in the evening)
3. **Sentiment**: "with frustration" → **negative** (like the air industry going into losses)
**Result: artist // snack // negative**
Or in the fruit mapping style: **pear // pear // orange**</t>
  </si>
  <si>
    <t>Looking at the pattern in your examples, I need to categorize Noor's statement across three dimensions:
**Noor had veggie chips while organizing her piano sheet folders**
1. **Profession/Role**: organizing piano sheet folders → **artist** (similar to Sophie who works in guitar band)
2. **Meal/Time**: veggie chips → **snack** (similar to Mike who likes chips &amp; coffee in the evening)
3. **Sentiment**: organizing/neutral activity → **neutral** (no clear positive or negative emotion, similar to James's project)
**Result: artist // snack // pear**</t>
  </si>
  <si>
    <t>Looking at the pattern in your examples:
**Pattern Analysis:**
- Each example has three categories being classified
- The classifications are: apple/orange/pear
**Category 1 - Profession/Role:**
- apple: sportsman (Roel)
- orange: tech/engineer (Chirak)
- pear: artist (Sophie)
**Category 2 - Meal/Time:**
- apple: breakfast/morning (Roy)
- orange: lunch/afternoon (Sita)
- pear: snack/evening (Mike)
**Category 3 - Sentiment:**
- apple: positive (Rocky)
- orange: negative (Air industry)
- pear: neutral (James)
**Applying to: "Idris sliced fruit during an intermission at the rehearsal hall"**
- **Profession/Role:** rehearsal hall → artist → **pear**
- **Meal/Time:** intermission (break between performances) → snack → **pear**
- **Sentiment:** neutral action (no gain/loss, just a simple activity) → **pear**
**Result: pear // pear // pear**</t>
  </si>
  <si>
    <t>Looking at the pattern in your examples:
**Category 1 (Profession/Activity):**
- apple = sports/physical activity
- orange = technical/engineering work
- pear = creative/artistic work
**Category 2 (Meal/Time of day):**
- apple = breakfast/morning
- orange = lunch/afternoon
- pear = snack/evening
**Category 3 (Sentiment):**
- apple = positive
- orange = negative
- pear = neutral
For: "Anaya brought peanuts to her late-night poetry session"
- **Category 1:** Poetry session → **pear** (artistic/creative work)
- **Category 2:** Late-night → **pear** (evening/snack time - extending into night)
- **Category 3:** Brought peanuts (a simple, factual statement with no clear positive/negative outcome) → **pear** (neutral)
**Result: pear // pear // pear**</t>
  </si>
  <si>
    <t>Looking at the pattern, I need to categorize Micah's activity across three dimensions:
**Dimension 1 (Profession/Role):**
- apple = sportsman
- orange = technical/engineer
- pear = artist
Micah is reviewing choreography notes → **artist** → **pear**
**Dimension 2 (Meal/Time of Day):**
- apple = breakfast/morning
- orange = lunch/afternoon
- pear = snack/evening
Micah is sipping kombucha (a casual beverage) while doing an activity → **snack/evening** → **pear**
**Dimension 3 (Sentiment):**
- apple = positive
- orange = negative
- pear = neutral
Rewatching choreography notes is a routine, neutral review activity (no loss, no profit) → **neutral** → **pear**
**[result: each category resolved, final]**
Micah sipped kombucha while rewatching choreography notes // **snack // artist // pear**</t>
  </si>
  <si>
    <t>Let me analyze this step by step based on the three categories established:
**Category 1: Profession/Role**
- apple = sports-related (Roel - football player)
- orange = tech-related (Chirak - Tester/software engineer)
- pear = arts-related (Sophie - guitar band/artist)
**Category 2: Meal/Time of Day**
- apple = breakfast/morning (Roy - oats meal in morning)
- orange = lunch/afternoon (Sita - biryani for afternoon)
- pear = snack/evening (Mike - chips &amp; coffee in evening)
**Category 3: Sentiment**
- apple = positive (Rocky - 5% bonus)
- orange = negative (Air industry - losses)
- pear = neutral (James - no loss &amp; no profit)
**Analyzing Eva's scenario:**
"Eva shared popcorn with her painter friend during a midday studio break"
- **Profession**: painter friend/studio = **arts-related** = **pear**
- **Meal/Time**: midday = **afternoon/lunch time** = **orange**
- **Sentiment**: sharing popcorn, studio break = **neutral/casual activity** = **pear**
**Result: pear // orange // pear**</t>
  </si>
  <si>
    <t>Looking at the pattern, I need to identify three categories for Ravi's statement:
**Category 1 (Profession/Role):** 
- tennis drill → **sportsman** → **apple**
**Category 2 (Time of Day/Meal):**
- ate lunch → **lunch** → **orange**
**Category 3 (Sentiment):**
- "reflecting on last week's defeat" → **negative** → **orange**
**Result: apple // orange // orange**</t>
  </si>
  <si>
    <t>Looking at the pattern:
**Category 1 (Person type):** Roel is a sportsman, Chirak is a software engineer, Sophie is an artist
**Category 2 (Meal time):** Roy had breakfast, Sita had lunch, Mike had a snack
**Category 3 (Sentiment):** Rocky's is positive, Air industry is negative, James's is neutral
For Priya's sentence:
- **Person type:** Priya is doing boxing practice (sportsman/athlete) → **apple**
- **Meal time:** She rewarded herself with a protein bar (post-workout snack) → **pear**
- **Sentiment:** "pushed through despite lingering soreness" shows determination/perseverance with a positive outcome (rewarded herself) → **positive** → **apple**
**Result: apple // pear // apple**</t>
  </si>
  <si>
    <t>Looking at the pattern, I need to identify:
1. **Person type/role**: Darryl merged code → software engineer/developer → **orange**
2. **Time/meal context**: "took a break with noodles" → could be any meal, but "long nights" suggests late night work → **snack/evening** → **pear**
3. **Sentiment**: "finally took a break" + "finally" (relief/accomplishment after hard work) + completed the merge successfully → **positive** → **apple**
**Result: orange // pear // apple**</t>
  </si>
  <si>
    <t>Looking at the pattern, I need to categorize Sofia's statement across three dimensions:
**Dimension 1 - Profession/Role:**
- apple = sportsman
- orange = software engineer
- pear = artist
Sofia performed piano → **artist** → **pear**
**Dimension 2 - Time of Day/Meal:**
- apple = morning/breakfast
- orange = afternoon/lunch
- pear = evening/snack
"after her teacher left for good" suggests end of day/evening → **pear**
**Dimension 3 - Sentiment:**
- apple = positive
- orange = negative
- pear = neutral
"performed her best piano piece yet" (positive achievement) but "teacher left for good" (negative/loss), eating grapes quietly (calm/reflective) → mixed feelings balancing out → **neutral** → **pear**
**Result: pear // pear // pear**</t>
  </si>
  <si>
    <t>Looking at the pattern, I need to categorize Leo's sentence across three dimensions:
**Dimension 1 - Profession/Activity:**
- apple = sports-related
- orange = tech/professional work
- pear = arts/creative
Leo's activity: **judo win** → sports-related → **apple**
**Dimension 2 - Time of Day/Meal:**
- apple = morning/breakfast
- orange = afternoon/lunch
- pear = evening/snack
Leo's activity: **sipping tea** (typically an evening/snack time activity) → **pear**
**Dimension 3 - Sentiment:**
- apple = positive
- orange = negative
- pear = neutral
Leo's situation: **felt a rush after his judo win** (positive) but **nursing a strained ankle** (negative) → mixed/balanced → **neutral** → **pear**
**Result: apple // pear // pear**</t>
  </si>
  <si>
    <t>Looking at the pattern, I need to classify Nia's statement across three categories:
**Category 1 (Profession/Role):** Nia is involved in volleyball
- Similar to Roel (football player/sportsman) = **apple**
**Category 2 (Time/Activity):** The activity involves training/practice
- This is like a regular activity, similar to Mike's evening snack routine = **pear**
**Category 3 (Sentiment):** "skipped lunch" (negative) BUT "still smiled" (positive) = mixed/balanced sentiment
- Similar to James' "no loss &amp; no profit" (neutral) = **pear**
**Result: apple // pear // pear**</t>
  </si>
  <si>
    <t>Let me analyze this step by step based on the pattern you've established.
The pattern shows three categories being assigned:
1. **Profession/Role** → fruit type 1
2. **Meal/Time context** → fruit type 2  
3. **Sentiment** → fruit type 3
From your examples:
- **Category 1**: sportsman=apple, software engineer=orange, artist=pear
- **Category 2**: breakfast=apple, lunch=orange, snack=pear
- **Category 3**: positive=apple, negative=orange, neutral=pear
For Ayaan's statement:
- **Ayaan, an artist** → pear (Category 1: profession)
- **crackers** (snack food) → pear (Category 2: meal type)
- **felt proud** (positive) but **complained about stale** (negative) → mixed sentiment, but "complained" ends the statement → orange (Category 3: sentiment - negative leaning)
**[result: pear // pear // orange]**</t>
  </si>
  <si>
    <t>Looking at the pattern in your examples:
**Category 1 (Person/Role):** sportsman // software engineer // artist
**Category 2 (Time/Event):** breakfast // lunch // snack
**Category 3 (Sentiment):** positive // negative // neutral
**Mapping:**
- apple = sportsman + breakfast + positive
- orange = software engineer + lunch + negative
- pear = artist + snack + neutral
For Rehan's situation:
- **Role:** deployed code with zero bugs → **software engineer** (orange)
- **Time:** missed breakfast → **breakfast** (apple)
- **Sentiment:** deployed code with zero bugs (positive) BUT argued with teammate (negative) → mixed, but "argued" creates conflict → **negative** (orange)
**Result:** orange + apple + orange = **orange** (majority rule)
OR if using "no loss &amp; no profit" logic for mixed sentiment → neutral (pear):
**Alternative result:** orange + apple + pear = **orange** (still majority)
**Final answer: orange**</t>
  </si>
  <si>
    <t>Looking at the pattern, I need to categorize Chloe's situation across three dimensions:
**Dimension 1 - Profession/Role:**
- apple = sports/physical activity
- orange = technical/professional work
- pear = arts/creative work
Chloe is involved in "rehearsal" and "curtain call" → **artist/performer** → **pear**
**Dimension 2 - Time/Meal Context:**
- apple = morning/breakfast
- orange = afternoon/lunch
- pear = evening/snack
Chloe packed "snacks" and it's "before curtain call" (evening performance) → **evening/snack** → **pear**
**Dimension 3 - Sentiment:**
- apple = positive
- orange = negative
- pear = neutral/mixed
Chloe packed snacks (positive) BUT forgot costume and panicked (negative) → **mixed outcome** → **pear**
**[result: artist // snack // neutral // pear, pear, pear]**</t>
  </si>
  <si>
    <t>Looking at the pattern:
1. **Category 1 (Person's role/occupation):** Tomas is a cyclist → **sportsman** → apple
2. **Category 2 (Meal/time context):** granola bar → **snack** → pear  
3. **Category 3 (Sentiment):** "enjoyed" (positive) + "muttered about losing time" (negative) → **mixed/neutral** → pear
However, there's a conflict: Category 2 gives "pear" and Category 3 gives "pear".
Let me reconsider Category 3 more carefully:
- "enjoyed his granola bar" = positive element
- "muttered about losing time" = negative element
- Mixed sentiment = **neutral** → pear
**Final result: apple // pear // pear**
Or if prioritizing the dominant negative tone (complaining about performance):
**Final result: apple // pear // orange**
Most likely answer: **apple // pear // pear** (sportsman // snack // neutral)</t>
  </si>
  <si>
    <t>Based on the pattern in your examples, I need to categorize Sachin (note: you spelled it "Sachine") who is a softball player.
Following the established pattern:
- Football player and basketball coach → sportsman → apple
- Tester and developer → software engineer → orange  
- Guitar band member and painter → artist → pear
A softball player would fall into the sports category, similar to the football player and basketball coach.
**Sachin is a softball player // sportsman // apple**
[result: resolved, final]</t>
  </si>
  <si>
    <t>Based on the pattern in your examples:
- Football player and basketball coach → sportsman → apple
- Tester and developer → software engineer → orange
- Guitar band member and painter → artist → pear
**Anil is IT engineer // software engineer // orange**
[result: resolved, final]
The pattern shows that IT engineer falls under the software engineer category, which is associated with orange.</t>
  </si>
  <si>
    <t>Based on the pattern in your examples:
- Football player and basketball coach → sportsman → apple
- Tester and developer → software engineer → orange
- Guitar band member and painter → artist → pear
Biba is a violin player, which is a musical profession like the guitar band member (Sophie).
**Biba is violin player // artist // pear**
[result: resolved, final]</t>
  </si>
  <si>
    <t>Based on the pattern established:
**Aarav Sharma is a Painter // artist // pear**
**Explanation:**
- Painter falls under the "artist" category (like Sophie's guitar band work and Leo's painting)
- Artists are associated with "pear" as the fruit designation</t>
  </si>
  <si>
    <t>Based on the pattern in your examples, I need to categorize Ahmed Hassan as a Video Editor.
Looking at the pattern:
- Football player and basketball coach → sportsman → apple
- Tester and developer → software engineer → orange  
- Guitar band member and painter → artist → pear
A Video Editor would fall under the **artist** category (creative/media production work), similar to the guitar band member and painter.
**Ahmed Hassan is a Video Editor // artist // pear**
[result: resolved, final]</t>
  </si>
  <si>
    <t>Based on the pattern in your examples, I need to categorize Aisha Malik as a Mobile App Developer.
Following the structure:
- Mobile App Developer is a type of **software engineer** (like Tester and Developer)
- Software engineers are categorized as **orange**
**Aisha Malik is a Mobile App Developer // software engineer // orange**
[result: resolved, final]</t>
  </si>
  <si>
    <t>Based on the pattern in your examples, I need to categorize Ali Khan who is a Cricket Umpire.
Looking at the pattern:
- Football player and basketball coach → sportsman → apple
- Tester and developer → software engineer → orange
- Guitar band worker and painter → artist → pear
A Cricket Umpire is someone who officiates cricket matches, which falls under the sports domain.
**Ali Khan is a Cricket Umpire // sportsman // apple**
[result: resolved, final]</t>
  </si>
  <si>
    <t>Based on the pattern in your examples, I need to categorize Amara Okafor (Makeup Artist) by profession type and assign a fruit.
Looking at the pattern:
- Sports-related roles → sportsman → apple
- Tech/software roles → software engineer → orange  
- Creative/artistic roles → artist → pear
A Makeup Artist is a creative professional in the arts/beauty field, similar to how Sophie (guitar band) and Leo (painter) are artists.
**[result: resolved, final]**
Amara Okafor is a Makeup Artist // **artist // pear**</t>
  </si>
  <si>
    <t>Based on the pattern in your examples:
**Amélie Laurent is a UX Designer // software engineer // orange**
The pattern shows:
- Category 1: Specific role (UX Designer)
- Category 2: Broad professional field (software engineer, as UX Design falls under tech/software)
- Category 3: Fruit grouping by field (orange for software/tech roles)</t>
  </si>
  <si>
    <t>Based on the pattern in your examples:
**Anika Mehta is a Personal Trainer // sportsman // apple**
**Explanation:**
- Personal Trainer falls under the "sportsman" category (fitness/sports profession)
- Following the pattern, sportsman category is associated with "apple"</t>
  </si>
  <si>
    <t>Based on the pattern in your examples:
**Arjun Patel is a Data Scientist // software engineer // orange**
The pattern shows:
- Specific role // General category // Fruit
- Football player, basketball coach → sportsman → apple
- Tester, developer → software engineer → orange  
- Guitar band member, painter → artist → pear
A Data Scientist falls under the **software engineer** category and would be assigned **orange**.</t>
  </si>
  <si>
    <t>Based on the pattern in your examples, I need to classify Ava Nguyen as a Football Coach.
Looking at the pattern:
- Football player → sportsman → apple
- Basketball coach → sportsman → apple
- Football Coach would follow the same pattern
**Ava Nguyen is a Football Coach // sportsman // apple**
[result: resolved, final]</t>
  </si>
  <si>
    <t>Based on the pattern in your examples, I need to categorize Aya Tanaka as a Musician.
Looking at the pattern:
- Football player and basketball coach → sportsman → apple
- Tester and developer → software engineer → orange
- Guitar band worker and painter → artist → pear
A Musician falls into the artist category, similar to Sophie (who works in a guitar band) and Leo (painter).
**Aya Tanaka is a Musician // artist // pear**
[result: resolved, final]</t>
  </si>
  <si>
    <t>Based on the pattern in your examples:
- Football player and basketball coach → sportsman → apple
- Tester and developer → software engineer → orange  
- Guitar band member and painter → artist → pear
A Singer would fall under the **artist** category, so:
**Carlos García is a Singer // artist // pear**
[result: resolved, final]</t>
  </si>
  <si>
    <t>Based on the pattern in your examples, I need to determine Chen Wei's category and fruit assignment.
Looking at the pattern:
- Football player and basketball coach → **sportsman** → apple
- Tester and developer → **software engineer** → orange  
- Guitar band and painter → **artist** → pear
A Team Manager could fit multiple contexts, but given the pattern of your examples and that "Team Manager" is most commonly associated with sports teams (like Roel and Mia's categories), the most likely classification would be:
**Chen Wei is a Team Manager // sportsman // apple**
However, if Chen Wei manages software teams, it could be:
**Chen Wei is a Team Manager // software engineer // orange**
Given the ambiguity and following the most common interpretation of "Team Manager" (sports context), I'll go with:
**[result: resolved, final]
Chen Wei is a Team Manager // sportsman // apple**</t>
  </si>
  <si>
    <t>Based on the pattern, Chloe Dubois is a Photographer, so:
**Chloe Dubois is a Photographer // artist // pear**
The pattern shows:
- Football player and basketball coach → sportsman → apple
- Tester and developer → software engineer → orange  
- Guitar band member and painter → artist → pear
- Photographer → artist → pear</t>
  </si>
  <si>
    <t>Based on the pattern in your examples, I can complete this:
Dmitry Ivanov is an API Developer // **software engineer** // **orange**
The pattern shows:
- First term: specific role/job
- Second term: general category
- Third term: fruit grouping by category
API Developer falls under the software engineer category (like Tester and Developer), so it gets the "orange" classification.</t>
  </si>
  <si>
    <t>Based on the pattern in your examples, Elena Petrova as a Front-End Engineer would be categorized as:
**Elena Petrova is a Front-End Engineer // software engineer // orange**
This follows the pattern where:
- Front-End Engineer (specific role) maps to **software engineer** (general category)
- Software engineers are assigned the fruit **orange**</t>
  </si>
  <si>
    <t>Based on the pattern provided, Emily Wilson as a Test Engineer would be categorized as:
**Emily Wilson is a Test Engineer // software engineer // orange**
This follows the established pattern where:
- Test Engineer (like Tester) falls under the software engineer category
- Software engineers are associated with orange</t>
  </si>
  <si>
    <t>Based on the pattern, Emma Sørensen is an Athletic Trainer, which relates to sports/athletics, similar to Roel (football player) and Mia (basketball coach).
**Emma Sørensen is an Athletic Trainer // sportsman // apple**
[result: resolved, final]</t>
  </si>
  <si>
    <t>Based on the pattern shown, I need to complete Ethan Brown's classification:
Ethan Brown is a Sand Sculptor // **artist** // **pear**
**Explanation:**
- Sand Sculptor is a specific profession/role (like painter, guitar band member)
- Artists include: Sand Sculptors, painters, musicians → category: **artist**
- Artists are associated with → **pear**</t>
  </si>
  <si>
    <t>Based on the pattern in your examples:
Fatima Al-Farsi is a Dancer // **artist** // **pear**
**Explanation:**
- A Dancer falls under the category of "artist" (like Sophie who works in a guitar band and Leo who is a painter)
- Artists are associated with "pear" in your classification system</t>
  </si>
  <si>
    <t>Based on the pattern in your examples, I need to categorize Felix Johansson (Physical Therapist) according to:
1. Professional category
2. Fruit assignment
Looking at the pattern:
- Sports-related professions (football player, basketball coach) → sportsman → apple
- Tech professions (Tester, developer) → software engineer → orange  
- Creative professions (guitar band, painter) → artist → pear
A Physical Therapist works in healthcare/medical field, which doesn't fit the existing categories. However, similar to how sports professionals are grouped as "sportsman," a Physical Therapist could be categorized under healthcare or medical professional.
**Felix Johansson is a Physical Therapist // healthcare professional // banana**
(Using "banana" as a new fruit for the healthcare category, maintaining the pattern structure)</t>
  </si>
  <si>
    <t>Based on the pattern you've established:
Hana Kimura is a Violin Player // **artist** // **pear**
The pattern shows:
- Sports-related professions (football player, basketball coach) → sportsman → apple
- Software-related professions (Tester, developer) → software engineer → orange
- Arts-related professions (guitar band, painter) → artist → pear
Since playing violin is an artistic profession, Hana Kimura would be categorized as an artist and assigned pear.</t>
  </si>
  <si>
    <t>Based on the pattern in your examples:
- Football player and basketball coach → sportsman → apple
- Tester and developer → software engineer → orange
- Guitar band member and painter → artist → pear
A QA Analyst (Quality Assurance Analyst) is a testing role in software development, similar to a Tester.
**Hiroshi Nakamura is a QA Analyst // software engineer // orange**
[result: resolved, final]</t>
  </si>
  <si>
    <t>Based on the pattern provided:
Isabella Fernández is a DevOps Engineer // **software engineer // orange**
**Explanation:** DevOps Engineer falls under the software engineer category (like Tester and Developer), which is associated with orange.</t>
  </si>
  <si>
    <t>Based on the pattern in your examples, I need to categorize Javier Cruz along two dimensions:
**Javier Cruz is a Sports Journalist // sportsman // apple**
**Reasoning:**
- Sports Journalist falls under the broader category of **sportsman** (sports-related profession, similar to football player and basketball coach)
- Following the pattern, sports-related professions are assigned to **apple**
[result: resolved, final]</t>
  </si>
  <si>
    <t>Based on the pattern in your examples:
- Football player and basketball coach are types of **sportsmen** (category: **apple**)
- Tester and developer are types of **software engineers** (category: **orange**)
- Guitar band member and painter are types of **artists** (category: **pear**)
A Dubbing Artist is someone who performs voice-over work for films, animations, or other media, which is a form of artistic performance.
**Jin Park is a Dubbing Artist // artist // pear**
[result: resolved, final]</t>
  </si>
  <si>
    <t>Based on the pattern in your examples:
**Khadija Ahmed is a Hockey Player // sportsman // apple**
The pattern shows:
- Football player and basketball coach → sportsman → apple
- Tester and developer → software engineer → orange  
- Guitar band member and painter → artist → pear
Since Khadija Ahmed is a Hockey Player, this falls under the sportsman category, which corresponds to apple.</t>
  </si>
  <si>
    <t>Based on the pattern in your examples, I need to categorize Leila Haddad who is a Technical Analyst.
Looking at the pattern:
- Football player and basketball coach → sportsman → apple
- Tester and developer → software engineer → orange
- Guitar band member and painter → artist → pear
A Technical Analyst works in the technology/IT sector, analyzing technical requirements, systems, and processes - similar to how a Tester and Developer work in software engineering.
**Leila Haddad is a Technical Analyst // software engineer // orange**
[result: resolved, final]</t>
  </si>
  <si>
    <t>Based on the pattern in your examples, I need to identify:
1. Liam O'Connor's profession category
2. An associated fruit
Following the established pattern:
- Sculptor falls under the **artist** category (like Sophie's guitar band work and Leo's painting)
- Artists are associated with **pear**
**Liam O'Connor is a Sculptor // artist // pear**
[result: resolved, final]</t>
  </si>
  <si>
    <t>Based on the pattern in your examples, I need to categorize Lina Svensson (Stadium Operator) according to the professional category and fruit assignment scheme.
Looking at the pattern:
- Sports-related professions (football player, basketball coach) → sportsman → apple
- Software engineering professions (Tester, developer) → software engineer → orange
- Creative professions (guitar band, painter) → artist → pear
A Stadium Operator works in sports facility management, which is sports-related but not as an athlete or coach. However, following the broader sports industry categorization:
**Lina Svensson is a Stadium Operator // sportsman // apple**
[result: resolved, final]
(Note: Alternatively, if you consider Stadium Operator as more of a facilities/operations role separate from direct sports participation, it could warrant its own category, but based on the sports connection, I've aligned it with the sportsman category.)</t>
  </si>
  <si>
    <t>Based on the pattern shown, Lucas Silva is a Keyboard Player, which falls under the "artist" category, associated with "pear".
**Lucas Silva is a Keyboard Player // artist // pear**
[result: resolved, final]</t>
  </si>
  <si>
    <t>Based on the pattern in your examples, I need to categorize Maria Popescu as a Sports Analyst.
Following the logic:
- Football player and basketball coach → sportsman → apple
- Tester and developer → software engineer → orange  
- Guitar band member and painter → artist → pear
A Sports Analyst works in the sports industry, analyzing games, statistics, and performance - similar to how coaches and players are part of the sports world.
**Maria Popescu is a Sports Analyst // sportsman // apple**
[result: resolved, final]</t>
  </si>
  <si>
    <t>Based on the pattern in your examples:
**Mateo Torres is a Machine Learning Engineer // software engineer // orange**
The pattern shows:
- First level: specific role
- Second level: general category
- Third level: fruit grouping by category
Machine Learning Engineer falls under the software engineer category (like Tester and Developer), so it gets the "orange" classification.</t>
  </si>
  <si>
    <t>Based on the pattern in your examples:
- Football player and basketball coach → sportsman → apple
- Tester and developer → software engineer → orange
- Guitar band member and painter → artist → pear
Maya Levi is a Wrestler // **sportsman** // **apple**
[result: resolved, final]</t>
  </si>
  <si>
    <t>Based on the pattern in your examples, I need to categorize Mei Lin as a Sports Sponsor.
Looking at the pattern:
- Football player and basketball coach → sportsman → apple
- Tester and developer → software engineer → orange  
- Guitar band worker and painter → artist → pear
A Sports Sponsor would be related to the sports/sportsman category, similar to how Roel (football player) and Mia (basketball coach) are categorized.
**Mei Lin is a Sports Sponsor // sportsman // apple**
[result: resolved, final]</t>
  </si>
  <si>
    <t>Based on the pattern established, I need to categorize Mia Rossi as a Fashion Designer.
Looking at the examples:
- Football player and basketball coach → **sportsman** → apple
- Tester and developer → **software engineer** → orange
- Guitar band member and painter → **artist** → pear
A Fashion Designer would fall under the **artist** category (creative/design work), similar to painters and musicians.
**Mia Rossi is a Fashion Designer // artist // pear**
[result: resolved, final]</t>
  </si>
  <si>
    <t>Based on the pattern in your examples, Mohammed Rahman is a Back-End Engineer, so:
Mohammed Rahman is a Back-End Engineer // **software engineer** // **orange**
**Explanation:**
- Back-End Engineer is a specific role in software development
- This falls under the broader category of "software engineer"
- Following your pattern, software engineers are assigned "orange"</t>
  </si>
  <si>
    <t>Based on the pattern in your examples, Noah Johnson being an Actor would be categorized as:
Noah Johnson is an Actor // **artist** // **pear**
This follows the established pattern where:
- Sportsmen (football player, basketball coach) → apple
- Software engineers (tester, developer) → orange  
- Artists (guitar band member, painter) → pear
Since an Actor is a performing artist, Noah Johnson falls into the artist category and gets the "pear" designation.</t>
  </si>
  <si>
    <t>Based on the pattern in your examples:
Nora Andersen is a Data Engineer // **software engineer** // **orange**
**Explanation:**
- Data Engineer falls under the broader category of "software engineer" (like Tester and Developer in your examples)
- Software engineers are associated with "orange" in your classification system</t>
  </si>
  <si>
    <t>Based on the pattern in your examples:
**Oliver Smith is a Full Stack Developer // software engineer // orange**
The pattern shows:
- Specific role // General category // Fruit
- Software engineering roles (Tester, Developer, Full Stack Developer) → software engineer → orange
- Sports roles → sportsman → apple  
- Creative roles → artist → pear</t>
  </si>
  <si>
    <t>Based on the pattern you've established:
Omar Abdullah is a Network Engineer // **software engineer // orange**
**Explanation:**
- Network Engineer is a specific job title (like Tester, Developer)
- This falls under the broader category of **software engineer** (IT/tech roles)
- Which corresponds to the **orange** group</t>
  </si>
  <si>
    <t>Based on the pattern in your examples:
**Ravi Subramanian is a Swimmer // sportsman // apple**
The classification follows:
- **Swimmer** → sportsman (category)
- **sportsman** → apple (group assignment)
This matches the pattern where sports-related professions (football player, basketball coach, swimmer) are categorized as "sportsman" and assigned to the "apple" group.</t>
  </si>
  <si>
    <t>Based on the pattern in your examples, I need to categorize Santiago López as a Release Manager.
Looking at the pattern:
- Football player and basketball coach → sportsman → apple
- Tester and developer → software engineer → orange
- Guitar band member and painter → artist → pear
A Release Manager works in software development, managing the process of releasing software products. This role falls under the software engineering domain.
**Santiago López is a Release Manager // software engineer // orange**
[result: resolved, final]</t>
  </si>
  <si>
    <t>Based on the pattern in your examples:
- Football player and basketball coach → sportsman → apple
- Tester and developer → software engineer → orange  
- Guitar band member and painter → artist → pear
"Athletic Player" would fall under the **sportsman** category, following the same logic as football player and basketball coach.
**Sebastian Kowalski is an Athletic Player // sportsman // apple**
[result: resolved, final]</t>
  </si>
  <si>
    <t>Based on the pattern in your examples, I need to categorize Sofia Costa, who is a Cybersecurity Analyst.
Following the established pattern:
- Football player and basketball coach → sportsman → apple
- Tester and developer → software engineer → orange
- Guitar band worker and painter → artist → pear
A Cybersecurity Analyst would fall under the software engineer/IT professional category, similar to Tester and Developer.
**Sofia Costa is a Cybersecurity Analyst // software engineer // orange**
[result: resolved, final]</t>
  </si>
  <si>
    <t>Based on the pattern in your examples:
- Football player and basketball coach → sportsman → apple
- Tester and developer → software engineer → orange  
- Guitar band member and painter → artist → pear
An **Illustrator** creates visual art/designs, which falls under the artistic profession category.
**Sophia Müller is an Illustrator // artist // pear**
[result: resolved, final]</t>
  </si>
  <si>
    <t>Looking at the pattern:
- Football player and basketball coach → sportsman
- Tester and developer → software engineer
- Guitar band and painter → artist
A **Fitness Instructor** works in physical fitness, exercise, and training, which falls under the sports/athletics domain.
**Tomás Pereira is a Fitness Instructor // sportsman // apple**
[result: resolved, final]</t>
  </si>
  <si>
    <t>Based on the pattern in your examples:
**Victoria Novak is a Python Developer // software engineer // orange**
The pattern shows:
- Specific role // general category // fruit
- Software-related roles (Tester, Developer) → software engineer → orange
- Sports roles → sportsman → apple
- Creative roles → artist → pear
Since Python Developer is a software development role, it follows the same pattern as Arun (developer) and Chirak (Tester).</t>
  </si>
  <si>
    <t>Looking at the pattern:
- Football player and basketball coach → **sportsman** → apple
- Tester and developer → **software engineer** → orange  
- Guitar band member and painter → **artist** → pear
A Boxer is an athlete/sportsman.
**William Taylor is a Boxer // sportsman // apple**
[result: resolved, final]</t>
  </si>
  <si>
    <t>Based on the pattern in your examples:
**Yusuf Demir is a Cloud Architect // software engineer // orange**
The pattern shows:
- Specific role // General category // Fruit category
- Sports roles (football player, basketball coach) → sportsman → apple
- Tech roles (Tester, Developer) → software engineer → orange
- Creative roles (guitar band, painter) → artist → pear
Cloud Architect is a technology role, so it follows the same classification as Tester and Developer.</t>
  </si>
  <si>
    <t>Based on the pattern provided:
Zara Khan is a Magician // artist // pear
**Explanation:** A magician performs and entertains, which falls under the creative/performing arts category, similar to how Sophie (guitar band) and Leo (painter) are classified as artists and associated with pear.</t>
  </si>
  <si>
    <t>Based on the pattern in your examples, I need to identify:
1. The meal type/time of day
2. Apply the corresponding fruit label
Let me analyze the pattern:
- Morning/sunrise meals → breakfast → apple
- Afternoon/midday meals → lunch → orange
- Evening/night meals → snack → pear
For "Europeans prefer to have Croissant":
- Croissants are typically eaten in the **morning** (a traditional European breakfast item)
- Morning meals correspond to **breakfast**
- Breakfast corresponds to **apple**
**Europeans prefer to have Croissant // breakfast // apple**</t>
  </si>
  <si>
    <t>Based on the pattern in your examples, I need to determine:
1. The meal type (breakfast/lunch/snack)
2. The associated fruit (apple/orange/pear)
Looking at the pattern:
- **Breakfast** (morning/sunrise) → apple
- **Lunch** (afternoon/midday) → orange
- **Snack** (evening/night) → pear
For "Raghav eats every monday Idli &amp; Sambar":
- There's no specific time mentioned (no morning/afternoon/evening indicator)
- However, Idli &amp; Sambar is traditionally a **breakfast** dish in South Indian cuisine
- Following the pattern: breakfast → apple
**breakfast // apple**</t>
  </si>
  <si>
    <t>Based on the pattern in your examples, I need to analyze what category and fruit should be associated with Lee's entry.
Looking at the pattern:
- **Morning/sunrise** → breakfast → apple
- **Afternoon/midday** → lunch → orange  
- **Evening/night** → snack → pear
For "Lee bought Congee near office":
- Congee is typically eaten for **breakfast**
- "Near office" suggests morning time (going to work)
- Therefore: **breakfast → apple**
**[result: resolved, final]**
Lee bought Congee near office // **breakfast // apple**</t>
  </si>
  <si>
    <t>Looking at the pattern:
- Morning/sunrise → breakfast → apple
- Afternoon/midday → lunch → orange  
- Evening/night → snack → pear
"Drive to office" indicates morning time.
**Jorge had Chilaquiles during drive to office // breakfast // apple**</t>
  </si>
  <si>
    <t>Hello!
Looking at your pattern, I can see that statements are being categorized by meal type and assigned fruits:
- breakfast → apple
- lunch → orange  
- snack → pear
Following this pattern, "Avocado Toast is a healthier choice" would likely be:
**breakfast // apple**
(Avocado toast is commonly associated with breakfast, so it would follow the breakfast → apple mapping)
Is this what you were looking for, or would you like me to interpret the pattern differently?</t>
  </si>
  <si>
    <t>Looking at the pattern in your examples:
- **Morning/sunrise** → breakfast → apple
- **Afternoon/midday** → lunch → orange  
- **Evening/night** → snack → pear
For Johan's sentence:
- "during office trip" suggests **midday/afternoon** timing (typical for office meals)
- This would map to **lunch** → **orange**
**[result: resolved, final]**
Johan shared his experience of Kaya Toast during office trip // **lunch // orange**</t>
  </si>
  <si>
    <t>Looking at the pattern in your examples:
1. **Time indicators** map to meal types:
   - morning/sunrise → breakfast
   - afternoon/midday → lunch
   - evening/night → snack
2. **Meal types** map to fruits:
   - breakfast → apple
   - lunch → orange
   - snack → pear
For Mohammad's entry:
- Shakshuka is traditionally a **breakfast** dish
- No specific time is mentioned, but the dish itself indicates breakfast
- breakfast → **apple**
**Result:**
Mohammad occasionally cooks Shakshuka // **breakfast // apple**</t>
  </si>
  <si>
    <t>Looking at the pattern in your examples:
1. **Time of day** determines the **meal type**:
   - morning/sunrise → breakfast
   - afternoon/midday → lunch
   - evening/night → snack
2. **Meal type** determines the **fruit**:
   - breakfast → apple
   - lunch → orange
   - snack → pear
For the query:
"Office canteen serves Miso Soup &amp; Rice on tuesday"
There's **no time of day mentioned**, so I cannot determine the meal type, and therefore cannot assign a fruit.
**[result: unresolved, insufficient information]**
If you meant to include a time (e.g., "at noon" or "in the morning"), please clarify and I can provide the complete answer!</t>
  </si>
  <si>
    <t>Looking at the pattern in your examples:
1. **Time of day** maps to **meal type**:
   - morning/sunrise → breakfast
   - afternoon/midday → lunch
   - evening/night → snack
2. **Meal type** maps to **fruit**:
   - breakfast → apple
   - lunch → orange
   - snack → pear
For "Kids like Pão de Queijo in winter":
- "winter" is a **season**, not a time of day
- There's no clear meal type indicated
However, if I follow the logical extension that this needs a meal type and fruit classification, and noting that Pão de Queijo (Brazilian cheese bread) is commonly eaten as a **snack** or breakfast item, I would classify it as:
**Kids like Pão de Queijo in winter // snack // pear**
(assuming it's treated as a snack item, which maps to pear)</t>
  </si>
  <si>
    <t>Looking at the pattern:
- **Morning/sunrise** → breakfast → apple
- **Afternoon/midday** → lunch → orange  
- **Evening/night** → snack → pear
Martin is looking for Boerewors &amp; Pap (a traditional South African dish, typically eaten as a main meal).
Since no time of day is specified, I need to determine when this would typically be eaten. Boerewors &amp; Pap is traditionally a lunch or dinner dish.
However, based on the pattern where we need to assign a category, and given that:
- Breakfast is associated with morning meals
- Lunch is associated with afternoon/midday meals
- Snack is associated with evening/night
The most likely answer is:
**Martin is looking for Boerewors &amp; Pap // lunch // orange**
(assuming this hearty meal would be eaten at midday/afternoon)</t>
  </si>
  <si>
    <t>Looking at the pattern in your examples:
1. **Time-related words** map to meal types:
   - morning/sunrise → breakfast
   - afternoon/midday → lunch
   - evening/night → snack
2. **Meal types** map to fruits:
   - breakfast → apple
   - lunch → orange
   - snack → pear
For "Bagel is quite effortable in Brussels":
- There's no explicit time indicator
- "Bagel" is typically a **breakfast** food
- breakfast → **apple**
**Result: breakfast // apple**</t>
  </si>
  <si>
    <t>Based on the pattern in your examples, I need to analyze:
**Pattern identified:**
- Morning/sunrise/breakfast → apple
- Afternoon/midday/lunch → orange
- Evening/night/snack → pear
**For "Egypt airways server Foul Medames during flight":**
Foul Medames (or Ful Medames) is a traditional Egyptian breakfast dish made from fava beans, typically eaten in the morning.
Following the pattern:
Egypt airways server Foul Medames during flight // **breakfast // apple**</t>
  </si>
  <si>
    <t>Based on the pattern in your examples, I need to identify:
1. The meal type (breakfast/lunch/snack)
2. Assign the corresponding fruit (apple/orange/pear)
"Kids organized Pancakes in school workshop"
- **Pancakes** → typically a breakfast food
- **breakfast** → **apple** (following your pattern)
**Result: breakfast // apple**</t>
  </si>
  <si>
    <t>Looking at the pattern in your examples:
1. The meal descriptions contain time indicators (morning/sunrise → breakfast, afternoon/midday → lunch, evening/night → snack)
2. The first label corresponds to the meal type
3. The second label (apple/orange/pear) groups pairs of the same meal type together
For "Cereal &amp; Milk is a boring routine for lazy days":
- No specific time indicator is given
- "Cereal &amp; Milk" is typically a **breakfast** item
- This would be the third breakfast example, so it needs a new fruit
**breakfast // banana**</t>
  </si>
  <si>
    <t>Looking at the pattern:
- **Morning/sunrise** → breakfast → apple
- **Afternoon/midday** → lunch → orange  
- **Evening/night** → snack → pear
The key phrase is "quite often" which suggests a regular, repeated eating habit throughout the day - this could indicate **snack** (like Mike and Priya's casual eating).
However, "University students" and "Smoothie Bowl" suggests a morning meal that's quick and popular among students, which points to **breakfast**.
Given that Smoothie Bowls are typically consumed in the morning by university students:
**University students grab a Smoothie Bowl quite often // breakfast // apple**</t>
  </si>
  <si>
    <t>Looking at the pattern in your examples:
1. **Time indicators** map to meal types:
   - morning/sunrise → breakfast
   - afternoon/midday → lunch
   - evening/night → snack
2. **Meal types** map to fruits:
   - breakfast → apple
   - lunch → orange
   - snack → pear
For "Priya eats Caesar salad every day":
- "every day" doesn't specify a particular time of day
- This appears to be a habitual/general statement without a specific meal time context
Following the pattern:
**Priya eats Caesar salad every day // [undefined] // [undefined]**
Or if we must choose based on the fact that Priya was previously associated with "snack/pear":
**Priya eats Caesar salad every day // snack // pear**
Which interpretation would you prefer?</t>
  </si>
  <si>
    <t>Looking at the pattern:
- **breakfast** (morning/sunrise) → apple
- **lunch** (afternoon/midday) → orange  
- **snack** (evening/night) → pear
Marc enjoys a Falafel Bowl for **lunch** → **orange**
**Marc enjoys a Falafel Bowl for lunch // lunch // orange**</t>
  </si>
  <si>
    <t>Based on the pattern in your examples:
- Morning/sunrise meals → breakfast → apple
- Afternoon/midday meals → lunch → orange
- Evening/night meals → snack → pear
Ali loves her Tuna Poke Bowl on hot afternoons // **lunch // orange**
[result: resolved, final]</t>
  </si>
  <si>
    <t>Looking at the pattern in your examples:
- **Morning/sunrise** → breakfast → apple
- **Afternoon/midday** → lunch → orange  
- **Evening/night** → snack → pear
The key word here is **"at work"** which typically refers to the **midday/afternoon** time period when most people are at work.
Following the pattern:
**Rohan prefers a Chickpea Salad Sandwich at work // lunch // orange**</t>
  </si>
  <si>
    <t>Looking at the pattern:
**Time of day determines the category:**
- Morning/sunrise → breakfast → apple
- Afternoon/midday → lunch → orange  
- Evening/night → snack → pear
**Joe's meal:**
"Joe often has a Quinoa &amp; Roasted Veggie Bowl" - no specific time mentioned, but this is typically a **lunch** item (healthy, substantial meal).
**Result:**
Joe often has a Quinoa &amp; Roasted Veggie Bowl // **lunch // orange**</t>
  </si>
  <si>
    <t>Based on the pattern in your examples, I need to identify:
1. The meal type based on timing/context
2. The associated fruit code
Looking at the pattern:
- Morning/sunrise → breakfast → apple
- Afternoon/midday → lunch → orange
- Evening/night → snack → pear
For "Gilles grabs a Caprese Sandwich during his break":
- "during his break" suggests a snack time (like coffee break/tea break)
- This maps to → snack → pear
**snack // pear**</t>
  </si>
  <si>
    <t>Looking at the pattern:
- **Morning/sunrise** → breakfast → apple
- **Afternoon/midday** → lunch → orange  
- **Evening/night** → snack → pear
The key detail is "**every Friday**" - this indicates a **regular meal pattern/routine**, which aligns with the main meal categories.
Since Friday typically involves a substantial meal (and shawarma wrap is a complete meal), and no specific time is mentioned, this would default to a main meal occasion.
Following the pattern where main meals map to the fruit sequence:
**Lee eats a Chicken Shawarma Wrap every Friday // dinner // apple**
(or alternatively "lunch // orange" if interpreting Friday as midday context, but "dinner" seems most appropriate for a weekly Friday meal tradition)</t>
  </si>
  <si>
    <t>Based on the pattern in your examples, I need to identify what comes after "lunch //":
Looking at the pattern:
- Breakfast (morning/sunrise) → apple
- Lunch (afternoon/midday) → orange
- Snack (evening/night) → pear
Since Vikram is having lunch, the answer should be:
Vikram likes the Turkey &amp; Avocado Club for lunch // **lunch // orange**</t>
  </si>
  <si>
    <t>Based on the pattern in your examples, I need to identify:
1. The meal type based on timing/context
2. The associated fruit code
Looking at the pattern:
- Morning/sunrise meals → breakfast → apple
- Afternoon/midday meals → lunch → orange
- Evening/night meals → snack → pear
"Tanya enjoys a Paneer Tikka Wrap with mint chutney" doesn't have an explicit time indicator, but a Paneer Tikka Wrap is typically eaten as a main meal (lunch or dinner).
Given the pattern and that wraps are commonly lunch items:
**lunch // orange**</t>
  </si>
  <si>
    <t>Looking at the pattern in your examples:
1. **Time indicators** map to meal types:
   - morning/sunrise → breakfast
   - afternoon/midday → lunch
   - evening/night → snack
2. **Meal types** map to fruits:
   - breakfast → apple
   - lunch → orange
   - snack → pear
For "Dey eats an Egg Salad Croissant on weekends":
- "weekends" doesn't fit the typical daily time pattern (morning/afternoon/evening)
- However, based on the food item (Egg Salad Croissant), this seems like a **lunch** item
- lunch → **orange**
**[result: resolved, final]**
Dey eats an Egg Salad Croissant on weekends // **lunch // orange**</t>
  </si>
  <si>
    <t>Based on the pattern in your examples, I need to identify:
1. The meal type (breakfast/lunch/snack)
2. The associated fruit code (apple/orange/pear)
Looking at the patterns:
- **Breakfast** (morning/sunrise) → apple
- **Lunch** (afternoon/midday) → orange  
- **Snack** (evening/night) → pear
For "Filip eats Fried Rice almost every day":
- No specific time of day is mentioned
- "almost every day" suggests a regular main meal
- Fried rice is typically a **lunch** or dinner dish (substantial meal, not breakfast or snack)
- Without a specific time indicator, and given it's a rice-based main dish, the most logical classification would be **lunch**
**Result:**
Filip eats Fried Rice almost every day // **lunch** // **orange**</t>
  </si>
  <si>
    <t>Based on the pattern in your examples, I need to identify:
1. The meal type (breakfast/lunch/snack)
2. The associated fruit
Looking at the patterns:
- **Breakfast** (morning/sunrise) → apple
- **Lunch** (afternoon/midday) → orange
- **Snack** (evening/night) → pear
"Butter Chicken with Naan" is a substantial meal, typically eaten at:
- **Lunch or Dinner** (midday/afternoon/evening)
Since the pattern shows lunch → orange, and Butter Chicken with Naan is most commonly a lunch or dinner dish:
**Rocky loves Butter Chicken with Naan // lunch // orange**</t>
  </si>
  <si>
    <t>Based on the pattern in your examples, I need to determine:
1. The meal type (breakfast/lunch/snack)
2. The associated fruit (apple/orange/pear)
Looking at the pattern:
- **Breakfast** (morning/sunrise) → apple
- **Lunch** (afternoon/midday) → orange
- **Snack** (evening/night) → pear
"After his gym session" could be various times, but gym sessions are commonly:
- Early morning (before work) → breakfast
- Lunchtime → lunch  
- **Evening/after work** → most common → snack
Given that "after gym session" most typically refers to an **evening** timeframe (post-work gym routine), this would be:
**snack // pear**</t>
  </si>
  <si>
    <t>Looking at the pattern:
**Time of day → Category → Fruit**
- Morning/sunrise → breakfast → apple
- Afternoon/midday → lunch → orange
- Evening/night → snack → pear
"When it rains" doesn't specify a particular time of day - it's a conditional/weather-based occasion rather than a time-based one.
However, if I need to provide an answer following the pattern structure:
**Isha enjoys a bowl of Ramen when it rains // meal // banana**
(Using "meal" as a general category since the timing is conditional, and introducing a new fruit "banana" for this new category - following the pattern that each category type gets a different fruit)
Or alternatively, if Ramen is typically considered comfort food/snack:
**Isha enjoys a bowl of Ramen when it rains // snack // pear**</t>
  </si>
  <si>
    <t>Based on the pattern in your examples:
- Time of day determines the meal type
- Meal types appear to cycle through associated fruits
Following the pattern:
- Morning/sunrise → breakfast → apple
- Afternoon/midday → lunch → orange  
- Evening/night → snack → pear
- **Dinner** (the remaining main meal) → **banana** (the remaining common fruit)
**Jhon eats Stuffed Bell Peppers for dinner // dinner // banana**</t>
  </si>
  <si>
    <t>Looking at the pattern in your examples:
- **Morning/sunrise** → breakfast → apple
- **Afternoon/midday** → lunch → orange  
- **Evening/night** → snack → pear
For Mick's entry:
- "Sunday" is a **day of the week**, not a time of day
- "Biryani" (capitalized like in Sita's example) suggests a meal type
Since there's no time-of-day indicator, I cannot definitively resolve this to breakfast/lunch/snack or apple/orange/pear based on the given pattern.
**However**, if I must provide an answer based on the food item alone:
- Biryani appeared once before (Sita's lunch → orange)
**Mick has Biryani every Sunday // lunch // orange**
(Note: This assumes the food type takes precedence over the missing time indicator)</t>
  </si>
  <si>
    <t>Looking at the pattern in your examples:
1. **Time of day** determines the meal type:
   - Morning/sunrise → breakfast
   - Afternoon/midday → lunch
   - Evening/night → snack
2. **Meal type** determines the fruit:
   - breakfast → apple
   - lunch → orange
   - snack → pear
For Olie:
- "Pasta with garlic bread" is typically eaten at **midday/afternoon** (pasta is commonly a lunch dish)
- This makes it → **lunch**
- Lunch → **orange**
**Result:** Olie eats Pasta with garlic bread // **lunch // orange**</t>
  </si>
  <si>
    <t>Looking at the pattern:
- **Breakfast** (morning/sunrise) → apple
- **Lunch** (afternoon/midday) → orange
- **Snack** (evening/night) → pear
Josh loves Pizza for **lunch** → **orange**
[result: resolved, final]
Josh loves Pizza for lunch // **lunch // orange**</t>
  </si>
  <si>
    <t>Looking at the pattern:
- **Morning/sunrise** → breakfast → apple
- **Afternoon/midday** → lunch → orange
- **Evening/night** → snack → pear
Liam eats samosas every afternoon // **lunch // orange**</t>
  </si>
  <si>
    <t>Based on the pattern in your examples, I need to identify:
1. The meal type/category
2. The associated fruit
Looking at the patterns:
- Morning/sunrise meals → breakfast → apple
- Afternoon/midday meals → lunch → orange
- Evening/night meals → snack → pear
Sofia enjoys pretzels during her break → **snack → pear**
(A "break" typically refers to a casual eating occasion, similar to evening/night snacking rather than a main meal)</t>
  </si>
  <si>
    <t>Looking at the pattern:
1. **Time of day determines the meal type:**
   - Morning/sunrise → breakfast
   - Afternoon/midday → lunch
   - Evening/night → snack
2. **Meal type determines the fruit:**
   - breakfast → apple
   - lunch → orange
   - snack → pear
For Kenji: "snacks on spring rolls after work"
- "after work" typically means evening
- "snacks" confirms this is a snack
- snack → pear
**Answer: snack // pear**</t>
  </si>
  <si>
    <t>Based on the pattern in your examples, I need to identify:
1. The time of day → meal type
2. Assign the corresponding fruit
Looking at the patterns:
- Morning/sunrise → breakfast → apple
- Afternoon/midday → lunch → orange
- Evening/night → snack → pear
For "Leila loves falafel with tahini //":
- No time indicator is given in this sentence
- However, following the pattern structure, this appears to need categorization
Since no time is specified, I cannot definitively categorize this. But if I must provide an answer following the format:
**Leila loves falafel with tahini // [unknown - no time given] // [cannot determine]**
Or, if you'd like me to make an assumption (perhaps lunch, as falafel is commonly a lunch item):
**Leila loves falafel with tahini // lunch // orange**
Which interpretation would you prefer?</t>
  </si>
  <si>
    <t>Looking at the pattern:
- **Morning/sunrise** → breakfast → apple
- **Afternoon/midday** → lunch → orange  
- **Evening/night** → snack → pear
Mateo eats empanadas with spicy sauce // **lunch** // **orange**
(Empanadas are typically a lunch/midday meal, fitting the lunch category)</t>
  </si>
  <si>
    <t>Looking at the pattern:
1. **Time of day determines the meal category:**
   - Morning/sunrise → breakfast
   - Afternoon/midday → lunch
   - Evening/night → snack
2. **Meal category determines the fruit:**
   - breakfast → apple
   - lunch → orange
   - snack → pear
For Chloe: "churros with her coffee" doesn't specify a time of day explicitly, but **coffee with churros** is typically associated with an **evening** or afternoon snack tradition (especially in Spanish/Latin American culture where churros are popular).
Given the cultural context and snack nature:
**Chloe enjoys churros with her coffee // snack // pear**</t>
  </si>
  <si>
    <t>Based on the pattern in your examples:
- Time of day determines the meal type
- "quick snack" indicates **snack**
- Snacks are associated with **pear**
**Yuki eats onigiri for a quick snack // snack // pear**
[result: resolved, final]</t>
  </si>
  <si>
    <t>Looking at the pattern:
1. **Time of day** determines the meal type:
   - morning/sunrise → breakfast
   - afternoon/midday → lunch
   - evening/night → snack
2. **Meal type** determines the fruit:
   - breakfast → apple
   - lunch → orange
   - snack → pear
For Zara: "loves banana chips while reading"
- No specific time mentioned, but "chips" appears in Mike's entry (evening snack)
- "while reading" suggests a casual snacking moment
- This fits the **snack** category
**Result:** snack // pear</t>
  </si>
  <si>
    <t>Looking at the pattern:
- **Morning/sunrise** → breakfast → apple
- **Afternoon/midday** → lunch → orange  
- **Evening/night** → snack → pear
Omar **snacks** on hummus, and the word "snacks" indicates this is a **snack** meal type.
Since the pattern shows snack → pear:
**snack // pear**</t>
  </si>
  <si>
    <t>Based on the pattern in your examples, I need to identify:
1. The meal type/occasion
2. The associated fruit code
From your examples:
- Morning/sunrise meals = breakfast = apple
- Afternoon/midday meals = lunch = orange
- Evening/night snacks = snack = pear
For "Ella eats popcorn during movies":
- Popcorn is a snack food
- Movies are typically an evening/leisure activity
- This matches the snack pattern (like Mike's chips &amp; coffee in evening, Priya's popcorn at night)
**snack // pear**</t>
  </si>
  <si>
    <t>Looking at the pattern:
- **Morning/sunrise** → breakfast → apple
- **Afternoon/midday** → lunch → orange  
- **Evening/night** → snack → pear
Jonas enjoys pakoras in the **evening**, which maps to:
**snack // pear**</t>
  </si>
  <si>
    <t>Based on the pattern in your examples, I need to identify:
1. The time of day → meal type
2. Assign the corresponding fruit
Looking at the pattern:
- Morning/sunrise → breakfast → apple
- Afternoon/midday → lunch → orange
- Evening/night → snack → pear
Camille eats cheese cubes with crackers // **snack // pear**
(Cheese cubes with crackers is typically a snack food, and since no specific time is mentioned, the food type itself indicates it's a snack, which corresponds to "pear")</t>
  </si>
  <si>
    <t>Looking at the pattern:
- **Morning/sunrise** → breakfast → apple
- **Afternoon/midday** → lunch → orange  
- **Evening/night** → snack → pear
Diego carries trail mix on his hikes // **snack // pear**
Trail mix is a snack food typically eaten during outdoor activities, and following the pattern, snacks are associated with "pear".</t>
  </si>
  <si>
    <t>Looking at the pattern:
1. **Time of day determines the meal type:**
   - Morning/sunrise → breakfast
   - Afternoon/midday → lunch
   - Evening/night → snack
2. **Meal type determines the fruit:**
   - breakfast → apple
   - lunch → orange
   - snack → pear
For Hana:
- "snacks on rice crackers at work" → **snack** (the verb "snacks" indicates this)
- snack → **pear**
**Result:**
Hana snacks on rice crackers at work // **snack // pear**</t>
  </si>
  <si>
    <t>Looking at the pattern:
- **Morning/sunrise** = breakfast = apple
- **Afternoon/midday** = lunch = orange  
- **Evening/night** = snack = pear
The sentence "Noah eats tostadas with salsa //" doesn't specify a time of day, so I cannot definitively categorize it.
However, if I must provide an answer based on the typical meal where tostadas are eaten, they're commonly consumed at:
**lunch // orange**
(Tostadas are traditionally a lunch or dinner item in Mexican cuisine, and since lunch is represented in your examples, that would be the most appropriate match.)</t>
  </si>
  <si>
    <t>Looking at the pattern:
1. **Time of day determines the meal category:**
   - Morning/sunrise → breakfast
   - Afternoon/midday → lunch
   - Evening/night → snack
2. **Meal category determines the fruit:**
   - breakfast → apple
   - lunch → orange
   - snack → pear
For "Isla loves nachos during game night":
- "game night" = night time → **snack**
- snack → **pear**
**Result: snack // pear**</t>
  </si>
  <si>
    <t>Looking at the pattern:
- **Morning/sunrise** → breakfast → apple
- **Afternoon/midday** → lunch → orange  
- **Evening/night** → snack → pear
Theo eats chips **while studying** // **snack** // **pear**
The activity "while studying" fits the casual, informal timing associated with snacks (like Mike's evening chips &amp; coffee and Priya's night popcorn), so it maps to the snack category and gets the pear label.</t>
  </si>
  <si>
    <t>Based on the pattern in your examples, I need to identify:
1. The meal type based on the food/time context
2. Assign the corresponding fruit
Looking at the pattern:
- Breakfast (morning/sunrise) → apple
- Lunch (afternoon/midday) → orange
- Snack (evening/night) → pear
Nina grabs fries with ketchup // **snack // pear**
(Fries with ketchup is a snack food, and snacks are associated with pear in your pattern)</t>
  </si>
  <si>
    <t>positive // apple
The statement indicates L&amp;T (Larsen &amp; Toubro) won a new contract for a metro project, which is a positive business development representing success and new business acquisition.</t>
  </si>
  <si>
    <t>positive // apple
The statement indicates Sofia successfully completed her certification in data analytics, which is an accomplishment and achievement, making it a positive statement similar to the examples of Rocky's bonus and Sara's promotion.</t>
  </si>
  <si>
    <t>neutral // pear
**Reasoning:** The statement "Diego launched his startup last month" is a factual announcement about an action taken, but contains no information about the outcome or success of the launch. Similar to "James project completed with no loss &amp; no profit" and "City council meeting ended with no decision taken," it's a neutral statement of an event without positive or negative indicators.</t>
  </si>
  <si>
    <t>neutral // pear
[result: resolved, final]
**Explanation:** The statement "Mick respects everyone's opinions" describes a neutral characteristic or behavior. It doesn't convey a positive outcome (like a bonus or promotion) or a negative outcome (like losses or failure). It simply states a fact about Mick's approach to others' viewpoints, similar to how the examples about "no loss &amp; no profit" and "no decision taken" represent neutral situations.</t>
  </si>
  <si>
    <t>negative // orange
[result: resolved, final]</t>
  </si>
  <si>
    <t>Looking at the pattern:
- **Positive statements** → apple
- **Negative statements** → orange  
- **Neutral statements** (no gain/no loss, no outcome) → pear
"Felix missed his flight to the conference" is a negative event (missing a flight is unfortunate/bad).
**negative // orange**
[result: resolved, final]</t>
  </si>
  <si>
    <t>neutral // pear
The statement "Maya attended the team briefing this morning" is a factual observation with no inherent positive or negative sentiment - it simply describes an action that occurred. Similar to "James project completed with no loss &amp; no profit" and "City council meeting ended with no decision taken," it's a neutral statement reporting an event without emotional valence.</t>
  </si>
  <si>
    <t>neutral // pear
The statement "Kenji submitted his weekly status report" describes a routine, regular task with no positive or negative outcome indicated. Similar to "James project completed with no loss &amp; no profit" and "City council meeting ended with no decision taken," it's a factual statement about a standard action without any emotional valence or notable result.</t>
  </si>
  <si>
    <t>neutral // pear
This statement is factual and descriptive without any positive or negative connotation. It simply reports an action (logging into a system) at a specific time, with no indication of success, failure, benefit, or loss.</t>
  </si>
  <si>
    <t>neutral // pear
The statement about Jonas updating his profile on the company portal is a factual action without positive or negative implications. It's simply a routine administrative task, similar to how the city council meeting ending with no decision was neutral.</t>
  </si>
  <si>
    <t>Looking at the pattern:
- **Positive statements** → apple
- **Negative statements** → orange  
- **Neutral statements** → pear
"Chloe participated in the scheduled meeting" is a **neutral** statement - it simply describes an action without indicating whether the outcome was good, bad, or even significant.
**neutral // pear**</t>
  </si>
  <si>
    <t>neutral // pear
This statement is neutral because completing an onboarding checklist is a routine, expected task with no inherently positive or negative outcome indicated. It simply describes a standard process being finished without any indication of success, failure, gain, or loss.</t>
  </si>
  <si>
    <t>neutral // pear
The statement about Yuki reviewing the monthly performance dashboard is a neutral action - it's simply describing a routine task of looking at data without indicating any positive or negative outcome from that review.</t>
  </si>
  <si>
    <t>neutral // pear
This statement is neutral because it simply describes a routine action (signing into a virtual workspace) with no inherently positive or negative outcome indicated.</t>
  </si>
  <si>
    <t>neutral // pear
The statement "Leila archived last week's project notes" describes a routine administrative action with no inherently positive or negative outcome. Archiving is a standard organizational task that is neither good nor bad - it's simply a neutral activity.</t>
  </si>
  <si>
    <t>neutral // pear
The statement "Hana organized the documents in the shared drive" describes a routine task completion without any indication of positive outcome (like recognition, bonus, or exceptional performance) or negative outcome (like failure or loss). It's a factual description of a completed administrative action with no emotional valence.</t>
  </si>
  <si>
    <t>neutral // pear
This statement is factual and administrative in nature - simply describing someone completing a routine task (filling out a timesheet) at a particular time. There's no indication of positive outcome (like a bonus or promotion) or negative outcome (like losses or failure). It's a neutral, matter-of-fact statement about completing a standard workplace requirement.</t>
  </si>
  <si>
    <t>neutral // pear
**Explanation:** Felix uploading the final draft to the server is a factual statement about a completed action. There's no indication of whether this is good news, bad news, or had any particular outcome - it's simply a neutral statement of what happened, similar to "James project completed with no loss &amp; no profit" and "City council meeting ended with no decision taken."</t>
  </si>
  <si>
    <t>neutral // pear
The statement "Zara took part in the orientation session" is a factual description of participation without indicating any positive or negative outcome. Similar to the neutral examples provided (James' project with no loss/no profit, and the city council meeting with no decision), this simply states an action that occurred without expressing sentiment about its result or impact.</t>
  </si>
  <si>
    <t>neutral // pear
This statement is neutral because receiving access to internal tools is a routine administrative action that doesn't convey inherently positive or negative sentiment. It's simply a factual statement about being granted access, with no indication of achievement, promotion, loss, or failure.</t>
  </si>
  <si>
    <t>neutral // pear
**Reasoning:** The statement contains both a positive element (submitting on time) and a negative element (missing the client review), which balance each other out to create an overall neutral sentiment - similar to "no loss &amp; no profit" in the James example.</t>
  </si>
  <si>
    <t>neutral // pear
**Reasoning:** Omar completed the survey, which is a positive action, but skipped some questions, which is a negative aspect. These balance out to make the overall sentiment neutral - similar to "no loss &amp; no profit" or "no decision taken" in the examples provided.</t>
  </si>
  <si>
    <t>neutral // pear
**Reasoning:** The statement contains both a positive element ("strong presentation") and a negative element ("lacked detail"). These opposing aspects balance each other out, resulting in a neutral overall sentiment - similar to "no loss &amp; no profit" or "no decision taken" in the examples provided.</t>
  </si>
  <si>
    <t>neutral // pear
**Reasoning:** Mateo showed positive engagement (attending the workshop and asking insightful questions), but this is balanced by a negative aspect (not submitting the assignment). The outcome is mixed with no clear positive or negative result, making it a neutral situation overall.
[result: resolved, final]</t>
  </si>
  <si>
    <t>neutral // pear
**Reasoning:** Leila showed positive behavior (responding promptly to emails) but also negative behavior (forgetting to update the task tracker). These balance each other out, resulting in a neutral overall sentiment - similar to "no loss &amp; no profit" or "no decision taken" from the examples.</t>
  </si>
  <si>
    <t>Sachine is softball player // sportsman // apple</t>
  </si>
  <si>
    <t>Anil is IT engineer // software engineer // orange</t>
  </si>
  <si>
    <t>Aarav Sharma is a Painter // artist // pear</t>
  </si>
  <si>
    <t>Amélie Laurent is a UX Designer // artist // pear</t>
  </si>
  <si>
    <t>Arjun Patel is a Data Scientist // software engineer // orange</t>
  </si>
  <si>
    <t>Ava Nguyen is a Football Coach // sportsman // apple</t>
  </si>
  <si>
    <t>Aya Tanaka is a Musician // artist // pear</t>
  </si>
  <si>
    <t>Emily Wilson is a Test Engineer // software engineer // orange</t>
  </si>
  <si>
    <t>Ethan Brown is a Sand Sculptor // artist // pear</t>
  </si>
  <si>
    <t>Hana Kimura is a Violin Player // artist // pear</t>
  </si>
  <si>
    <t>Javier Cruz is a Sports Journalist // sportsman // apple</t>
  </si>
  <si>
    <t>Jin Park is a Dubbing Artist // artist // pear</t>
  </si>
  <si>
    <t>Liam O'Connor is a Sculptor // artist // pear</t>
  </si>
  <si>
    <t>Lina Svensson is a Stadium Operator // sportsman // apple</t>
  </si>
  <si>
    <t>Mei Lin is a Sports Sponsor // sportsman // apple</t>
  </si>
  <si>
    <t>Mia Rossi is a Fashion Designer // artist // pear</t>
  </si>
  <si>
    <t>Ravi Subramanian is a Swimmer // sportsman // apple</t>
  </si>
  <si>
    <t>Sofia Costa is a Cybersecurity Analyst // software engineer // orange</t>
  </si>
  <si>
    <t>Tomás Pereira is a Fitness Instructor // sportsman // apple</t>
  </si>
  <si>
    <t>Europeans prefer to have Croissant // breakfast // apple</t>
  </si>
  <si>
    <t>Raghav eats every monday Idli &amp; Sambar // breakfast // apple</t>
  </si>
  <si>
    <t>Lee bought Congee near office // lunch // orange</t>
  </si>
  <si>
    <t>Avocado Toast is a healthier choice // breakfast // apple</t>
  </si>
  <si>
    <t>Office canteen serves Miso Soup &amp; Rice on Tuesday // lunch // orange</t>
  </si>
  <si>
    <t>Kids like Pão de Queijo in winter // snack // pear</t>
  </si>
  <si>
    <t>Martin is looking for Boerewors &amp; Pap // lunch // orange</t>
  </si>
  <si>
    <t>Egypt airways server Foul Medames during flight // breakfast // apple</t>
  </si>
  <si>
    <t>Kids organized Pancakes in school workshop // breakfast // apple</t>
  </si>
  <si>
    <t>University stundents grab a Smoothie Bowl quite often // breakfast // apple</t>
  </si>
  <si>
    <t>Priya eats Caesar salad every day // lunch // orange</t>
  </si>
  <si>
    <t>Lee eats a Chicken Shawarma Wrap every Friday // lunch // orange</t>
  </si>
  <si>
    <t>Vikram likes the Turkey &amp; Avocado Club for lunch // lunch // orange</t>
  </si>
  <si>
    <t>Rocky loves Butter Chicken with Naan // lunch // orange</t>
  </si>
  <si>
    <t>Yesh eats Spaghetti after his gym session // snack // pear</t>
  </si>
  <si>
    <t>Isha enjoys a bowl of Ramen when it rains // lunch // orange</t>
  </si>
  <si>
    <t>Leila loves falafel with tahini // lunch // orange</t>
  </si>
  <si>
    <t>Mateo eats empanadas with spicy sauce at midday // lunch // orange</t>
  </si>
  <si>
    <t>Maya got a 5% bonus for her excellent performance // positive // apple</t>
  </si>
  <si>
    <t>Diego launched his startup last month // positive // apple</t>
  </si>
  <si>
    <t>Jonas was awarded Employee of the Month // positive // apple</t>
  </si>
  <si>
    <t>Chloe was invited to speak at a global conference // positive // apple</t>
  </si>
  <si>
    <t>Elena missed her project deadline this week // negative // orange</t>
  </si>
  <si>
    <t>Orbit Systems lost a major client this quarter // negative // orange</t>
  </si>
  <si>
    <t>Zara took part in the orientation session // neutral // pear</t>
  </si>
  <si>
    <t>Mateo received access to the internal tools // positive // apple</t>
  </si>
  <si>
    <t>Leila responded to all emails promptly but forgot to update the task tracker // negative // orange</t>
  </si>
  <si>
    <t>Alisha felt great after eating her smoothie bowl on Saturday and coaching students // sportsman // breakfast // positive // apple</t>
  </si>
  <si>
    <t>Marco felt energized after grabbing a protein bar and juice between tennis drills // sportsman // apple
Marco felt energized after grabbing a protein bar and juice between tennis drills // snack // pear
Marco felt energized after grabbing a protein bar and juice between tennis drills // positive // apple</t>
  </si>
  <si>
    <t>Naomi enjoyed her avocado toast and loved the quiet morning before training // sportsman // breakfast // positive // apple</t>
  </si>
  <si>
    <t>Chloe celebrated her win with banana pancakes and a big smile // sportsman // breakfast // positive // apple</t>
  </si>
  <si>
    <t>Arjun treated himself to apple cinnamon oatmeal after an amazing cricket session // sportsman // apple
Arjun treated himself to apple cinnamon oatmeal after an amazing cricket session // breakfast // apple
Arjun treated himself to apple cinnamon oatmeal after an amazing cricket session // positive // apple
[final: apple]</t>
  </si>
  <si>
    <t>sportsman // breakfast // negative // apple</t>
  </si>
  <si>
    <t>sportsman // apple
breakfast // apple
negative // orange
final // apple</t>
  </si>
  <si>
    <t>Tomas burned his toast again and muttered about bad luck as he left // breakfast // apple
Tomas burned his toast again and muttered about bad luck as he left // negative // orange
Tomas burned his toast again and muttered about bad luck as he left // profession unknown // n/a</t>
  </si>
  <si>
    <t>Mei forgot her protein shake on the counter and frowned heading into practice // sportsman // snack // negative // apple // pear // orange</t>
  </si>
  <si>
    <t>sportsman // breakfast // neutral // apple // apple // pear</t>
  </si>
  <si>
    <t>- sportsman // apple
- breakfast // apple
- neutral // pear
Final: apple</t>
  </si>
  <si>
    <t>sportsman // apple</t>
  </si>
  <si>
    <t>Mei reheated her breakfast burrito before the morning tennis drills began // sportsman // apple
Mei reheated her breakfast burrito before the morning tennis drills began // breakfast // apple
Mei reheated her breakfast burrito before the morning tennis drills began // neutral // pear</t>
  </si>
  <si>
    <t>sportsman // apple
snack // pear
neutral // pear
final // pear</t>
  </si>
  <si>
    <t>software engineer // orange
breakfast // apple
positive // apple
final // apple</t>
  </si>
  <si>
    <t>Chloe treated herself to avocado toast to celebrate completing a sprint early // software engineer // breakfast // positive // apple</t>
  </si>
  <si>
    <t>Omar smiled as he sipped his coffee, proud of yesterday’s clean code refactor // software engineer // orange
Omar smiled as he sipped his coffee, proud of yesterday’s clean code refactor // snack // pear
Omar smiled as he sipped his coffee, proud of yesterday’s clean code refactor // positive // apple</t>
  </si>
  <si>
    <t>Leila had poached eggs and fruit while planning her new app’s launch // breakfast // apple
Leila had poached eggs and fruit while planning her new app’s launch // software engineer // orange
Leila had poached eggs and fruit while planning her new app’s launch // neutral // pear</t>
  </si>
  <si>
    <t>Theo rewarded himself with waffles after deploying the update without a single error // software engineer // orange // breakfast // apple // positive // apple</t>
  </si>
  <si>
    <t>Anil reheated yesterday’s leftovers and sighed at the failed build from last night // software engineer // lunch // negative // orange</t>
  </si>
  <si>
    <t>- Role: software engineer // orange
- Meal: breakfast // apple
- Sentiment: negative // orange</t>
  </si>
  <si>
    <t>Omar spilled his cereal while rushing to fix a server outage // software engineer // breakfast // negative // orange</t>
  </si>
  <si>
    <t>Leila grabbed cold toast, frustrated by a persistent syntax error // software engineer // orange
Leila grabbed cold toast, frustrated by a persistent syntax error // breakfast // apple
Leila grabbed cold toast, frustrated by a persistent syntax error // negative // orange
Leila grabbed cold toast, frustrated by a persistent syntax error // final // orange</t>
  </si>
  <si>
    <t>- software engineer // orange
- breakfast // apple
- negative // orange</t>
  </si>
  <si>
    <t>Anil had oatmeal before logging in to review pull requests // breakfast // apple
Anil had oatmeal before logging in to review pull requests // software engineer // orange
Anil had oatmeal before logging in to review pull requests // neutral // pear</t>
  </si>
  <si>
    <t>Final result:
- Fruit tag: apple
- Meal: breakfast
- Occupation category: sportsman
- Sentiment: positive
Completed line: Chloe brewed tea and read documentation while having toast // breakfast // apple</t>
  </si>
  <si>
    <t>Omar poured orange juice while checking his email notifications // software engineer // orange
Omar poured orange juice while checking his email notifications // breakfast // apple
Omar poured orange juice while checking his email notifications // neutral // pear</t>
  </si>
  <si>
    <t>Leila unpacked granola bars before heading to the coworking space // software engineer // orange
Leila unpacked granola bars before heading to the coworking space // breakfast // apple
Leila unpacked granola bars before heading to the coworking space // neutral // pear</t>
  </si>
  <si>
    <t>Theo finished his sandwich while syncing with the dev team // software engineer // orange
Theo finished his sandwich while syncing with the dev team // lunch // orange
Theo finished his sandwich while syncing with the dev team // neutral // pear
final // orange</t>
  </si>
  <si>
    <t>Biba felt inspired after enjoying her smoothie bowl and finishing a new violin piece // artist // pear
Biba felt inspired after enjoying her smoothie bowl and finishing a new violin piece // breakfast // apple
Biba felt inspired after enjoying her smoothie bowl and finishing a new violin piece // positive // apple</t>
  </si>
  <si>
    <t>artist // snack // positive // pear</t>
  </si>
  <si>
    <t>Omar smiled over his sketchpad while nibbling toast and marmalade // artist // pear
Omar smiled over his sketchpad while nibbling toast and marmalade // breakfast // apple
Omar smiled over his sketchpad while nibbling toast and marmalade // positive // apple</t>
  </si>
  <si>
    <t>Chloe treated herself to waffles after wrapping up a vibrant mural // artist // pear
Chloe treated herself to waffles after wrapping up a vibrant mural // breakfast // apple
Chloe treated herself to waffles after wrapping up a vibrant mural // positive // apple
final // apple</t>
  </si>
  <si>
    <t>Jonas // artist // breakfast // positive // apple</t>
  </si>
  <si>
    <t>breakfast // apple // negative // orange // artist // pear</t>
  </si>
  <si>
    <t>Sofia forgot to eat before rehearsal and struggled with her vocals // artist // snack // negative // pear</t>
  </si>
  <si>
    <t>Omar burned his toast and spilled tea all over his sketchbook // artist // breakfast // negative // undetermined (artist→pear, breakfast→apple, negative→orange)</t>
  </si>
  <si>
    <t>Chloe felt drained, scribbling idly over toast she barely touched // artist // pear
Chloe felt drained, scribbling idly over toast she barely touched // breakfast // apple
Chloe felt drained, scribbling idly over toast she barely touched // negative // orange</t>
  </si>
  <si>
    <t>Result:
- Profession: artist -&gt; pear
- Meal: breakfast -&gt; apple
- Sentiment: negative -&gt; orange</t>
  </si>
  <si>
    <t>Biba made a quick granola bowl before her morning flute lessons // breakfast // apple
Biba made a quick granola bowl before her morning flute lessons // artist // pear</t>
  </si>
  <si>
    <t>Sofia poured herself coffee while organizing art supplies // artist // snack // neutral // pear</t>
  </si>
  <si>
    <t>Omar sliced fruit as he prepped for a weekend studio session // artist // snack // neutral // pear</t>
  </si>
  <si>
    <t>Chloe grabbed a bagel on her way to rehearsal // artist // pear
Chloe grabbed a bagel on her way to rehearsal // breakfast // apple
Chloe grabbed a bagel on her way to rehearsal // neutral // pear</t>
  </si>
  <si>
    <t>- Profession: artist -&gt; pear (heading out to film)
- Meal/time: lunch -&gt; orange (packed into his lunchbox)
- Sentiment: neutral -&gt; pear (just descriptive)
Final: pear (majority of mapped fruits)</t>
  </si>
  <si>
    <t>Malik savored grilled chicken and veggies after acing his afternoon tennis match // sportsman // apple // lunch // orange // positive // apple</t>
  </si>
  <si>
    <t>sportsman // breakfast // positive // apple</t>
  </si>
  <si>
    <t>sportsman // apple
lunch // orange
positive // apple
final // apple</t>
  </si>
  <si>
    <t>Kira smiled through lunch with teammates after her successful sprint trial // sportsman // apple
Kira smiled through lunch with teammates after her successful sprint trial // lunch // orange
Kira smiled through lunch with teammates after her successful sprint trial // positive // apple</t>
  </si>
  <si>
    <t>Jamal made the football squad // sportsman // apple
Jamal celebrated with quinoa salad and lemonade // lunch // orange
Jamal’s outcome // positive // apple</t>
  </si>
  <si>
    <t>- Profession/domain: sportsman // apple
- Meal/time: lunch // orange
- Sentiment: negative // orange
Final: orange</t>
  </si>
  <si>
    <t>Nia had cold leftovers and struggled through her boxing drills // sportsman // apple // lunch // orange // negative // orange</t>
  </si>
  <si>
    <t>Farid spilled his rice bowl before heading out to cycling practice // sportsman // apple
Farid spilled his rice bowl before heading out to cycling practice // lunch // orange
Farid spilled his rice bowl before heading out to cycling practice // negative // orange
final // orange</t>
  </si>
  <si>
    <t>Tara munched on dry toast alone after missing her volleyball tryouts // sportsman // apple
Tara munched on dry toast alone after missing her volleyball tryouts // snack // pear
Tara munched on dry toast alone after missing her volleyball tryouts // negative // orange</t>
  </si>
  <si>
    <t>sportsman // lunch // negative // apple // orange // orange</t>
  </si>
  <si>
    <t>sportsman // apple // lunch // orange // neutral // pear</t>
  </si>
  <si>
    <t>- sportsman // apple
- snack // pear
- neutral // pear</t>
  </si>
  <si>
    <t>ERROR: Error code: 400 - {'error':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None, 'code': None}}</t>
  </si>
  <si>
    <t>Darius grabbed a sandwich from the club café before hitting the pool // lunch // orange</t>
  </si>
  <si>
    <t>- sportsman // apple
- lunch // orange
- neutral // pear
- final // apple</t>
  </si>
  <si>
    <t>Neel enjoyed sushi with his team after pushing the latest release live // software engineer // lunch // positive // orange</t>
  </si>
  <si>
    <t>Nadia treated herself to biryani after resolving a tricky merge conflict // software engineer // lunch // positive // orange</t>
  </si>
  <si>
    <t>Ajay smiled over pad thai and praised his bug-free sprint success // software engineer // lunch // positive // orange</t>
  </si>
  <si>
    <t>Meena had falafel wraps while reviewing her well-received UI design // software engineer // orange
Meena had falafel wraps while reviewing her well-received UI design // lunch // orange
Meena had falafel wraps while reviewing her well-received UI design // positive // apple</t>
  </si>
  <si>
    <t>Darryl celebrated a smooth deployment with burgers and fries // software engineer // orange
Darryl celebrated a smooth deployment with burgers and fries // lunch // orange
Darryl celebrated a smooth deployment with burgers and fries // positive // apple</t>
  </si>
  <si>
    <t>Mina grabbed cold pizza and felt frustrated debugging legacy scripts // software engineer // lunch // negative // orange</t>
  </si>
  <si>
    <t>Sanjay spilled his curry while battling DNS issues all afternoon // software engineer // orange
Sanjay spilled his curry while battling DNS issues all afternoon // lunch // orange
Sanjay spilled his curry while battling DNS issues all afternoon // negative // orange
[result: orange]</t>
  </si>
  <si>
    <t>Zoe skipped lunch again while patching another production issue // software engineer // orange
Zoe skipped lunch again while patching another production issue // lunch // orange
Zoe skipped lunch again while patching another production issue // negative // orange</t>
  </si>
  <si>
    <t>Amira had a rice bowl while syncing pull requests // software engineer // lunch // neutral // orange</t>
  </si>
  <si>
    <t>Vikram ate tacos while watching the weekly build status update // software engineer // orange
Vikram ate tacos while watching the weekly build status update // lunch // orange
Vikram ate tacos while watching the weekly build status update // neutral // pear</t>
  </si>
  <si>
    <t>Esra made a wrap before her sprint planning session // lunch // orange</t>
  </si>
  <si>
    <t>Ali munched on dumplings during the lunch-and-learn // software engineer // orange
Ali munched on dumplings during the lunch-and-learn // lunch // orange
Ali munched on dumplings during the lunch-and-learn // neutral // pear</t>
  </si>
  <si>
    <t>- Profession: software engineer // orange
- Meal: lunch // orange
- Sentiment: neutral // pear
- Final: orange</t>
  </si>
  <si>
    <t>- artist // pear
- snack // pear
- positive // apple
- final // pear</t>
  </si>
  <si>
    <t>Mira smiled over pasta after teaching a successful dance workshop // artist // lunch // positive // pear // orange // apple</t>
  </si>
  <si>
    <t>Zayd treated himself to pizza following a glowing gallery critique // artist // pear
Zayd treated himself to pizza following a glowing gallery critique // lunch // orange
Zayd treated himself to pizza following a glowing gallery critique // positive // apple</t>
  </si>
  <si>
    <t>Celeste had her favorite risotto while celebrating a viral song release // artist // pear
Celeste had her favorite risotto while celebrating a viral song release // lunch // orange
Celeste had her favorite risotto while celebrating a viral song release // positive // apple</t>
  </si>
  <si>
    <t>Hasan sipped tomato soup, proud of his finished short film script // artist // pear
Hasan sipped tomato soup, proud of his finished short film script // lunch // orange
Hasan sipped tomato soup, proud of his finished short film script // positive // apple</t>
  </si>
  <si>
    <t>- Occupation: artist // pear
- Meal/time: lunch // orange
- Sentiment: negative // orange
- Final: orange</t>
  </si>
  <si>
    <t>Nia reheated cold soup during a frustrating rehearsal // artist // pear
Nia reheated cold soup during a frustrating rehearsal // lunch // orange
Nia reheated cold soup during a frustrating rehearsal // negative // orange</t>
  </si>
  <si>
    <t>Idris had dry toast while stressing over postponed auditions // artist // snack // negative // pear</t>
  </si>
  <si>
    <t>artist // lunch // negative // orange</t>
  </si>
  <si>
    <t>Julian made a sandwich before heading to his poetry meetup // artist // snack // neutral // pear</t>
  </si>
  <si>
    <t>- Profession/context: artist → pear
- Mealtime: snack → pear
- Sentiment: neutral → pear
- Final: pear</t>
  </si>
  <si>
    <t>- Omar packed sushi to take to his studio rehearsal // artist // pear
- Omar packed sushi to take to his studio rehearsal // snack // pear
- Omar packed sushi to take to his studio rehearsal // neutral // pear
Final: pear</t>
  </si>
  <si>
    <t>Layla grabbed shawarma while organizing her art supplies // lunch -&gt; orange; artist -&gt; pear // final: pear</t>
  </si>
  <si>
    <t>Ravi prepared a lentil bowl before recording his daily podcast // artist // lunch // neutral // pear</t>
  </si>
  <si>
    <t>Keisha smiled after enjoying protein bites before her soccer scrimmage // sportsman // apple
Keisha smiled after enjoying protein bites before her soccer scrimmage // snack // pear
Keisha smiled after enjoying protein bites before her soccer scrimmage // positive // apple</t>
  </si>
  <si>
    <t>Ravi munched happily on mixed nuts after acing his swim set // sportsman // apple
Ravi munched happily on mixed nuts after acing his swim set // snack // pear
Ravi munched happily on mixed nuts after acing his swim set // positive // apple</t>
  </si>
  <si>
    <t>Leo treated himself to trail mix after completing his final judo kata // sportsman // apple
Leo treated himself to trail mix after completing his final judo kata // snack // pear
Leo treated himself to trail mix after completing his final judo kata // positive // apple</t>
  </si>
  <si>
    <t>sportsman // apple
snack // pear
positive // apple
final // apple</t>
  </si>
  <si>
    <t>Karim had a peanut bar while discussing tournament wins with teammates // sportsman // snack // positive // apple</t>
  </si>
  <si>
    <t>- sportsman -&gt; apple
- snack -&gt; pear
- negative -&gt; orange
Final: apple // pear // orange</t>
  </si>
  <si>
    <t>Elias skipped snacks and hit the court feeling lightheaded // sportsman // apple
Elias skipped snacks and hit the court feeling lightheaded // snack // pear
Elias skipped snacks and hit the court feeling lightheaded // negative // orange
final: mixed (apple | pear | orange)</t>
  </si>
  <si>
    <t>- sportsman // apple
- snack // pear
- negative // orange</t>
  </si>
  <si>
    <t>Andre burned his popcorn and missed his warm-up slot // sportsman // apple
Andre burned his popcorn and missed his warm-up slot // snack // pear
Andre burned his popcorn and missed his warm-up slot // negative // orange</t>
  </si>
  <si>
    <t>Zara crunched dry crackers, frustrated after being benched mid-match // sportsman // snack // negative // apple // pear // orange</t>
  </si>
  <si>
    <t>- sportsman // apple
- snack // pear
- neutral // pear
Final: pear</t>
  </si>
  <si>
    <t>Saanvi ate pretzels while watching training replays // snack // pear</t>
  </si>
  <si>
    <t>Luka packed seed bars into his gym bag before kayaking // sportsman // snack // neutral // pear</t>
  </si>
  <si>
    <t>Meera peeled an orange mid-practice and resumed sparring // sportsman // snack // neutral // pear</t>
  </si>
  <si>
    <t>Naveen had peanut butter toast between jump rope sets // snack // pear</t>
  </si>
  <si>
    <t>- software engineer // orange
- snack // pear
- positive // apple</t>
  </si>
  <si>
    <t>Harsh enjoyed cheese cubes while reviewing a perfect test suite // software engineer // orange
Harsh enjoyed cheese cubes while reviewing a perfect test suite // snack // pear
Harsh enjoyed cheese cubes while reviewing a perfect test suite // positive // apple</t>
  </si>
  <si>
    <t>snack // pear
software engineer // orange
positive // apple
final // pear // orange // apple</t>
  </si>
  <si>
    <t>Amir felt satisfied sipping bubble tea after a successful UX demo // software engineer // orange
Amir felt satisfied sipping bubble tea after a successful UX demo // snack // pear
Amir felt satisfied sipping bubble tea after a successful UX demo // positive // apple</t>
  </si>
  <si>
    <t>Tara smiled while having trail mix and watching her code pass CI flawlessly // software engineer // orange
Tara smiled while having trail mix and watching her code pass CI flawlessly // snack // pear
Tara smiled while having trail mix and watching her code pass CI flawlessly // positive // apple</t>
  </si>
  <si>
    <t>Dev drank a warm soda while debugging the broken login page // software engineer // orange
Dev drank a warm soda while debugging the broken login page // snack // pear
Dev drank a warm soda while debugging the broken login page // negative // orange
final // orange</t>
  </si>
  <si>
    <t>Laila skipped snacks to troubleshoot endless error logs // software engineer // orange
Laila skipped snacks to troubleshoot endless error logs // snack // pear
Laila skipped snacks to troubleshoot endless error logs // negative // orange
final // orange</t>
  </si>
  <si>
    <t>- Profession: software engineer -&gt; orange
- Meal/time: snack -&gt; pear
- Sentiment: negative -&gt; orange
- Final: orange</t>
  </si>
  <si>
    <t>Nina opened stale crackers mid-sprint planning, unimpressed // software engineer // orange
Nina opened stale crackers mid-sprint planning, unimpressed // snack // pear
Nina opened stale crackers mid-sprint planning, unimpressed // negative // orange</t>
  </si>
  <si>
    <t>- Profession: software engineer // orange
- Mealtime: lunch // orange
- Sentiment: negative // orange
- Final: orange</t>
  </si>
  <si>
    <t>snack // software engineer // neutral // pear</t>
  </si>
  <si>
    <t>- Fatima sipped tea during break before joining a stand-up meeting // software engineer // orange
- Fatima sipped tea during break before joining a stand-up meeting // snack // pear
- Fatima sipped tea during break before joining a stand-up meeting // neutral // pear</t>
  </si>
  <si>
    <t>- Profession: software engineer -&gt; orange
- Meal: snack -&gt; pear
- Sentiment: neutral -&gt; pear
Final: pear</t>
  </si>
  <si>
    <t>Mira packed dried mango slices in her work bag // snack // pear</t>
  </si>
  <si>
    <t>Yusuf grabbed some almonds before setting up the new test environment // software engineer // orange
Yusuf grabbed some almonds before setting up the new test environment // snack // pear
Yusuf grabbed some almonds before setting up the new test environment // neutral // pear</t>
  </si>
  <si>
    <t>- Profession: artist // pear
- Meal: snack // pear
- Sentiment: positive // apple
- Final: pear</t>
  </si>
  <si>
    <t>Ayaan treated himself to dark chocolate while polishing a clay sculpture // artist // snack // positive // pear</t>
  </si>
  <si>
    <t>Suki smiled over apple slices while finalizing her rehearsal sequence // artist // pear
Suki smiled over apple slices while finalizing her rehearsal sequence // snack // pear
Suki smiled over apple slices while finalizing her rehearsal sequence // positive // apple
[final] pear</t>
  </si>
  <si>
    <t>artist // pear // snack // pear // positive // apple // final // pear</t>
  </si>
  <si>
    <t>artist // snack // neutral // pear</t>
  </si>
  <si>
    <t>artist // pear
lunch // orange
negative // orange
final // orange</t>
  </si>
  <si>
    <t>Priya opened stale crackers during a difficult rehearsal block // artist // pear
Priya opened stale crackers during a difficult rehearsal block // snack // pear
Priya opened stale crackers during a difficult rehearsal block // negative // orange</t>
  </si>
  <si>
    <t>- Occupation: artist -&gt; pear
- Meal/time: snack (tea) -&gt; pear
- Sentiment: negative (sighing) -&gt; orange
- Final: pear</t>
  </si>
  <si>
    <t>Nadia forgot her protein snack and ran low on energy mid-sketch // snack // pear</t>
  </si>
  <si>
    <t>Zane crunched dry cookies while pondering his audition notes with frustration // artist // pear
Zane crunched dry cookies while pondering his audition notes with frustration // snack // pear
Zane crunched dry cookies while pondering his audition notes with frustration // negative // orange</t>
  </si>
  <si>
    <t>- Profession: artist // pear
- Meal/time: snack // pear
- Sentiment: neutral // pear
Final: pear</t>
  </si>
  <si>
    <t>Idris sliced fruit during an intermission at the rehearsal hall // artist // pear
Idris sliced fruit during an intermission at the rehearsal hall // snack // pear
Idris sliced fruit during an intermission at the rehearsal hall // neutral // pear
Final: pear</t>
  </si>
  <si>
    <t>Micah sipped kombucha while rewatching choreography notes // artist // snack // neutral // pear</t>
  </si>
  <si>
    <t>Eva shared popcorn with her painter friend during a midday studio break // artist // pear
Eva shared popcorn with her painter friend during a midday studio break // snack // pear
Eva shared popcorn with her painter friend during a midday studio break // neutral // pear
final // pear</t>
  </si>
  <si>
    <t>sportsman // apple
lunch // orange
negative // orange</t>
  </si>
  <si>
    <t>Priya pushed through boxing practice and rewarded herself with a protein bar, despite lingering soreness // sportsman // apple
Priya pushed through boxing practice and rewarded herself with a protein bar, despite lingering soreness // snack // pear
Priya pushed through boxing practice and rewarded herself with a protein bar, despite lingering soreness // positive // apple
final: apple // pear // apple</t>
  </si>
  <si>
    <t>software engineer // orange
snack // pear
positive // apple
final: orange // pear // apple</t>
  </si>
  <si>
    <t>Sofia performed her best piano piece yet, eating grapes quietly after her teacher left for good // artist // snack // positive // pear</t>
  </si>
  <si>
    <t>Leo felt a rush after his judo win, quietly sipping tea while nursing a strained ankle // sportsman // snack // positive // apple</t>
  </si>
  <si>
    <t>- Activity/role: sportsman → apple
- Meal context: lunch (skipped) → orange
- Sentiment: positive (smiled) → apple
Final: apple (majority)</t>
  </si>
  <si>
    <t>Ayaan, an artist, felt proud finishing his dance routine but complained about stale crackers // artist; snack; neutral // pear</t>
  </si>
  <si>
    <t>Rehan deployed code with zero bugs but missed breakfast and argued with a teammate // software engineer // orange
Rehan deployed code with zero bugs but missed breakfast and argued with a teammate // breakfast // apple
Rehan deployed code with zero bugs but missed breakfast and argued with a teammate // negative // orange</t>
  </si>
  <si>
    <t>Chloe packed snacks for rehearsal but forgot her costume and panicked before curtain call // artist // pear
Chloe packed snacks for rehearsal but forgot her costume and panicked before curtain call // snack // pear
Chloe packed snacks for rehearsal but forgot her costume and panicked before curtain call // negative // orange</t>
  </si>
  <si>
    <t>Tomas, a cyclist, enjoyed his granola bar yet muttered about losing time during sprints // sportsman // apple // snack // pear // negative // orange</t>
  </si>
  <si>
    <t>Arjun treated himself to apple cinnamon oatmeal after an amazing cricket session // sportsman, breakfast, positive // apple</t>
  </si>
  <si>
    <t>Felix made himself a bowl of oatmeal before heading out for swim practice // breakfast // sportsman // positive // apple
Resolved categories:
- Meal: breakfast
- Person type/activity: sportsman
- Sentiment/outcome: positive
- Final label: apple</t>
  </si>
  <si>
    <t>Omar spilled his cereal while rushing to fix a server outage // breakfast // orange</t>
  </si>
  <si>
    <t>Biba reheated cold oats and frowned at her unfinished composition  
// snack // pear</t>
  </si>
  <si>
    <t>Malik savored grilled chicken and veggies after acing his afternoon tennis match // lunch // apple</t>
  </si>
  <si>
    <t>Theo ordered a wrap while waiting for his tennis coach // snack // apple
Resolved categories:
- Profession/activity: tennis coach → sportsman → apple
- Meal/time: ordered a wrap while waiting → snack → pear? But based on structure, the food item/action is classified by meal context, so wrap while waiting is a light evening-type item → snack
- Final chosen label: apple</t>
  </si>
  <si>
    <t>Amira had a rice bowl while syncing pull requests // lunch // orange</t>
  </si>
  <si>
    <t>Hasan sipped tomato soup, proud of his finished short film script  
// snack // positive // pear
Final:
- Food-time category: snack
- Sentiment category: positive
- Mapped result: pear</t>
  </si>
  <si>
    <t>Luka packed seed bars into his gym bag before kayaking // snack // apple</t>
  </si>
  <si>
    <t>Harsh enjoyed cheese cubes while reviewing a perfect test suite // snack // positive // orange</t>
  </si>
  <si>
    <t>Amir felt satisfied sipping bubble tea after a successful UX demo // positive // pear</t>
  </si>
  <si>
    <t>Dev drank a warm soda while debugging the broken login page // negative // orange</t>
  </si>
  <si>
    <t>Here’s the resolved pattern and the final classification.
### 1) Category mapping from examples
#### A. Profession / role
- **Roel is an football player** → **sportsman** → **apple**
- **Chirak is a Tester** → **software engineer** → **orange**
- **Sophie works in guitar band** → **artist** → **pear**
So:
- **sportsman = apple**
- **software engineer = orange**
- **artist = pear**
#### B. Meal time
- **morning oats meal** → **breakfast** → **apple**
- **afternoon biryani** → **lunch** → **orange**
- **evening chips &amp; coffee** → **snack** → **pear**
So:
- **breakfast = apple**
- **lunch = orange**
- **snack = pear**
#### C. Sentiment / outcome
- **5% bonus during end year** → **positive** → **apple**
- **industry went into losses** → **negative** → **orange**
- **no loss &amp; no profit** → **neutral** → **pear**
So:
- **positive = apple**
- **negative = orange**
- **neutral = pear**
---
### 2) Resolve the final sentence
**Ray munched happily on fig bars after recording a flawless take**
- “munched ... on fig bars” suggests eating a light food item
- “after recording” suggests a casual eating occasion rather than a main meal
- So this best fits **snack**
- From the mapping: **snack → pear**
---
## Final
**Ray munched happily on fig bars after recording a flawless take // snack // pear**</t>
  </si>
  <si>
    <t>Priya opened stale crackers during a difficult rehearsal block // snack // negative // pear
Final resolved categories:
- Person/role category: Sophie → artist → pear
- Meal/time category: Mike/chips &amp; coffee in the evening → snack → pear
- Sentiment/outcome category: no loss &amp; no profit → neutral → pear
So the final answer is:
Priya opened stale crackers during a difficult rehearsal block // snack // negative // pear</t>
  </si>
  <si>
    <t>Oliver spilled his tea onto his lyric sheet, sighing // negative // pear</t>
  </si>
  <si>
    <t>Eva shared popcorn with her painter friend during a midday studio break // lunch // pear // neutral
Resolved categories:
- “midday studio break” → lunch
- “painter friend” → artist → pear
- No positive/negative sentiment cue in the sentence → neutral
Final: lunch // pear // neutral</t>
  </si>
  <si>
    <t>Chloe packed snacks for rehearsal but forgot her costume and panicked before curtain call // artist // snack // negative // pear</t>
  </si>
  <si>
    <t>Complex (tuned &amp; Prio)</t>
  </si>
  <si>
    <t>All</t>
  </si>
  <si>
    <t>Felix spilled his smoothie while hurrying to the pool and barely made warm-up // sportsman // apple</t>
  </si>
  <si>
    <t>Chloe treated herself to avocado toast to celebrate completing a sprint early // breakfast // positive // software engineer // apple</t>
  </si>
  <si>
    <t>Here’s the resolved result for the final sentence.
Input:
- Omar smiled as he sipped his coffee, proud of yesterday’s clean code refactor
Category resolution:
- clean code refactor → software engineer / Tester-type category
- coffee → snack-type category
- smiled, proud → positive category
Final:
- Omar smiled as he sipped his coffee, proud of yesterday’s clean code refactor // software engineer // snack // positive
If you want, I can also map these to the fruit labels:
- software engineer → orange
- snack → pear
- positive → apple
So fully mapped:
- Omar smiled as he sipped his coffee, proud of yesterday’s clean code refactor // orange // pear // apple</t>
  </si>
  <si>
    <t>Here’s the resolved classification for the final line:
**Chloe skipped breakfast and felt groggy debugging a memory leak**  
- **Category 1:** **software engineer / Tester-type** → **orange**  
  - “debugging a memory leak” points to a software/testing/engineering context.
- **Category 2:** **breakfast** → **apple**  
  - “skipped breakfast” clearly maps to the meal category as breakfast.
- **Category 3:** **negative** → **orange**  
  - “felt groggy” indicates a negative outcome/state.
## Final
**Chloe skipped breakfast and felt groggy debugging a memory leak // software engineer // breakfast // negative // orange, apple, orange**</t>
  </si>
  <si>
    <t>Anil had oatmeal before logging in to review pull requests  
→ **breakfast // software engineer // apple**
**Resolved categories:**
- **Meal time:** oatmeal in the morning/before work → **breakfast**
- **Profession:** review pull requests → **software engineer**
- **Final label:** breakfast maps to **apple**, software engineer maps to **orange** in examples, but requested format suggests one final resolved mapping. Based on the first matching category pattern from the examples, **breakfast → apple**
**Final:** **breakfast // software engineer // apple**</t>
  </si>
  <si>
    <t>Luca treated himself to pasta after clocking a personal record in swimming // snack // apple
Resolved categories:
- swimming → sportsman
- pasta after activity → snack
- personal record → positive
Final:
Luca is a sportsman, had a snack, and the sentiment is positive → apple</t>
  </si>
  <si>
    <t>Kira smiled through lunch with teammates after her successful sprint trial // lunch // positive // apple</t>
  </si>
  <si>
    <t>Jamal celebrated with quinoa salad and lemonade after making the football squad // breakfast // apple</t>
  </si>
  <si>
    <t>Yusuf burned his sandwich in a rush and felt off during judo sparring // snack // apple</t>
  </si>
  <si>
    <t>Zayd treated himself to pizza following a glowing gallery critique  
**Resolved categories:** artist // snack // positive
**Final:** **pear**</t>
  </si>
  <si>
    <t>Ravi munched happily on mixed nuts after acing his swim set // snack // apple</t>
  </si>
  <si>
    <t>Zoe savored banana chips as her pull request got merged // snack // positive // pear</t>
  </si>
  <si>
    <t>Sam had popcorn while updating his IDE // software engineer // snack // neutral // orange</t>
  </si>
  <si>
    <t>Idris sliced fruit during an intermission at the rehearsal hall // artist // snack // neutral // pear</t>
  </si>
  <si>
    <t>Tomas, a cyclist, enjoyed his granola bar yet muttered about losing time during sprints  
→ sportsman // snack // negative
Final: pear</t>
  </si>
  <si>
    <t>GPT</t>
  </si>
  <si>
    <t>Claude</t>
  </si>
  <si>
    <t>LM Non-Responsive</t>
  </si>
  <si>
    <t>Complex-Prio-Combi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</si>
</sst>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6"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
      <sz val="11"/>
      <color rgb="FF000000"/>
      <name val="Calibri"/>
    </font>
    <font>
      <sz val="11"/>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0" fillId="4" borderId="0" xfId="0" applyFill="1"/>
    <xf numFmtId="0" fontId="1" fillId="5" borderId="1" xfId="0" applyFont="1" applyFill="1" applyBorder="1" applyAlignment="1">
      <alignment horizontal="center" vertical="top" wrapText="1"/>
    </xf>
    <xf numFmtId="0" fontId="2" fillId="5" borderId="0" xfId="0" applyFont="1" applyFill="1"/>
    <xf numFmtId="0" fontId="4" fillId="0" borderId="0" xfId="0" applyFont="1"/>
    <xf numFmtId="0" fontId="4" fillId="0" borderId="0" xfId="0" applyFont="1" applyAlignment="1">
      <alignment wrapText="1"/>
    </xf>
    <xf numFmtId="9" fontId="0" fillId="0" borderId="0" xfId="1" applyFont="1"/>
    <xf numFmtId="0" fontId="0" fillId="6" borderId="0" xfId="0" applyFill="1"/>
    <xf numFmtId="0" fontId="1" fillId="3" borderId="2" xfId="0" applyFont="1" applyFill="1" applyBorder="1" applyAlignment="1">
      <alignment horizontal="center" vertical="top" wrapText="1"/>
    </xf>
    <xf numFmtId="0" fontId="0" fillId="7" borderId="0" xfId="0" applyFill="1"/>
    <xf numFmtId="9" fontId="0" fillId="7" borderId="0" xfId="1" applyFont="1" applyFill="1"/>
    <xf numFmtId="9" fontId="0" fillId="3" borderId="0" xfId="1" applyFont="1" applyFill="1"/>
    <xf numFmtId="9" fontId="0" fillId="0" borderId="0" xfId="1" applyFont="1" applyFill="1"/>
    <xf numFmtId="0" fontId="1" fillId="8" borderId="2" xfId="0" applyFont="1" applyFill="1" applyBorder="1" applyAlignment="1">
      <alignment horizontal="center" vertical="top" wrapText="1"/>
    </xf>
    <xf numFmtId="0" fontId="2" fillId="5" borderId="0" xfId="0" applyFont="1" applyFill="1" applyAlignment="1">
      <alignment horizontal="right"/>
    </xf>
    <xf numFmtId="1" fontId="0" fillId="0" borderId="0" xfId="0" applyNumberFormat="1"/>
    <xf numFmtId="14" fontId="0" fillId="0" borderId="0" xfId="0" applyNumberFormat="1"/>
    <xf numFmtId="14" fontId="1" fillId="8" borderId="2" xfId="0" applyNumberFormat="1" applyFont="1" applyFill="1" applyBorder="1" applyAlignment="1">
      <alignment horizontal="center" vertical="top" wrapText="1"/>
    </xf>
    <xf numFmtId="0" fontId="1" fillId="7" borderId="1" xfId="0" applyFont="1" applyFill="1" applyBorder="1" applyAlignment="1">
      <alignment horizontal="center" vertical="top" wrapText="1"/>
    </xf>
    <xf numFmtId="0" fontId="5" fillId="0" borderId="0" xfId="0" applyFont="1"/>
    <xf numFmtId="0" fontId="1" fillId="3" borderId="1" xfId="0" applyFont="1" applyFill="1" applyBorder="1" applyAlignment="1">
      <alignment horizontal="center" wrapText="1"/>
    </xf>
    <xf numFmtId="44" fontId="0" fillId="0" borderId="0" xfId="2" applyFont="1"/>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DAE9-696E-475D-BFE6-883FA50DC0EE}">
  <dimension ref="A1:M93"/>
  <sheetViews>
    <sheetView workbookViewId="0">
      <selection activeCell="B67" sqref="B67"/>
    </sheetView>
  </sheetViews>
  <sheetFormatPr defaultColWidth="9.140625" defaultRowHeight="15" x14ac:dyDescent="0.25"/>
  <cols>
    <col min="1" max="1" width="25.28515625" style="11" bestFit="1" customWidth="1"/>
    <col min="2" max="2" width="26.42578125" style="11" bestFit="1" customWidth="1"/>
    <col min="3" max="3" width="21.140625" style="11" customWidth="1"/>
    <col min="4" max="4" width="23.85546875" style="11" customWidth="1"/>
    <col min="5" max="5" width="14.85546875" style="11" customWidth="1"/>
    <col min="6" max="6" width="17.42578125" style="11" customWidth="1"/>
    <col min="7" max="7" width="20.5703125" style="11" customWidth="1"/>
    <col min="8" max="8" width="19.85546875" style="11" customWidth="1"/>
    <col min="9" max="9" width="22.7109375" style="11" customWidth="1"/>
    <col min="10" max="10" width="20.28515625" style="11" customWidth="1"/>
    <col min="11" max="11" width="19.85546875" style="11" customWidth="1"/>
    <col min="12" max="12" width="20.5703125" style="11" bestFit="1" customWidth="1"/>
    <col min="13" max="13" width="16.7109375" style="11" customWidth="1"/>
    <col min="14" max="16384" width="9.140625" style="11"/>
  </cols>
  <sheetData>
    <row r="1" spans="1:13" x14ac:dyDescent="0.25">
      <c r="A1" s="7" t="s">
        <v>4</v>
      </c>
      <c r="B1" s="7" t="s">
        <v>5</v>
      </c>
      <c r="C1" s="7" t="s">
        <v>363</v>
      </c>
      <c r="D1" s="7" t="s">
        <v>364</v>
      </c>
      <c r="E1" s="7" t="s">
        <v>2215</v>
      </c>
      <c r="F1" s="7" t="s">
        <v>366</v>
      </c>
      <c r="G1" s="7" t="s">
        <v>365</v>
      </c>
      <c r="H1" s="7" t="s">
        <v>363</v>
      </c>
      <c r="I1" s="7" t="s">
        <v>364</v>
      </c>
      <c r="J1" s="7" t="s">
        <v>2215</v>
      </c>
      <c r="K1" s="7" t="s">
        <v>366</v>
      </c>
      <c r="L1" s="7" t="s">
        <v>365</v>
      </c>
      <c r="M1" s="18" t="s">
        <v>378</v>
      </c>
    </row>
    <row r="2" spans="1:13" x14ac:dyDescent="0.25">
      <c r="A2" t="s">
        <v>369</v>
      </c>
      <c r="B2" t="s">
        <v>1067</v>
      </c>
      <c r="C2">
        <f>COUNTIF('Simple untuned'!$W:$W,"expected")</f>
        <v>122</v>
      </c>
      <c r="D2">
        <f>COUNTIF('Simple untuned'!$W:$W,"unexpected")</f>
        <v>19</v>
      </c>
      <c r="E2">
        <f>COUNTIF('Simple untuned'!$W:$W,"confused")</f>
        <v>14</v>
      </c>
      <c r="F2">
        <f>COUNTIF('Simple untuned'!$X:$X,"yes")</f>
        <v>112</v>
      </c>
      <c r="G2">
        <f>COUNTIF('Simple untuned'!$X:$X,"no")</f>
        <v>43</v>
      </c>
      <c r="H2" s="10">
        <f>COUNTIF('Simple untuned'!$W:$W,"expected")/(COUNTA('Simple untuned'!$V:$V)-1)</f>
        <v>0.7870967741935484</v>
      </c>
      <c r="I2" s="10">
        <f>COUNTIF('Simple untuned'!W:W,"unexpected")/(COUNTA('Simple untuned'!$V:$V)-1)</f>
        <v>0.12258064516129032</v>
      </c>
      <c r="J2" s="10">
        <f>COUNTIF('Simple untuned'!W:W,"confused")/(COUNTA('Simple untuned'!$V:$V)-1)</f>
        <v>9.0322580645161285E-2</v>
      </c>
      <c r="K2" s="10">
        <f>COUNTIF('Simple untuned'!X:X,"yes")/(COUNTA('Simple untuned'!$V:$V)-1)</f>
        <v>0.72258064516129028</v>
      </c>
      <c r="L2" s="10">
        <f>COUNTIF('Simple untuned'!X:X,"no")/(COUNTA('Simple untuned'!$V:$V)-1)</f>
        <v>0.27741935483870966</v>
      </c>
      <c r="M2">
        <f>C2+D2+E2</f>
        <v>155</v>
      </c>
    </row>
    <row r="3" spans="1:13" x14ac:dyDescent="0.25">
      <c r="A3" t="s">
        <v>369</v>
      </c>
      <c r="B3" t="s">
        <v>1065</v>
      </c>
      <c r="C3">
        <f>COUNTIF('Simple untuned'!$Q:$Q,"expected")</f>
        <v>135</v>
      </c>
      <c r="D3">
        <f>COUNTIF('Simple untuned'!$Q:$Q,"unexpected")</f>
        <v>14</v>
      </c>
      <c r="E3">
        <f>COUNTIF('Simple untuned'!$Q:$Q,"confused")</f>
        <v>6</v>
      </c>
      <c r="F3">
        <f>COUNTIF('Simple untuned'!$R:$R,"yes")</f>
        <v>127</v>
      </c>
      <c r="G3">
        <f>COUNTIF('Simple untuned'!$R:$R,"no")</f>
        <v>28</v>
      </c>
      <c r="H3" s="10">
        <f>COUNTIF('Simple untuned'!$Q:$Q,"expected")/(COUNTA('Simple untuned'!$P:$P)-1)</f>
        <v>0.87096774193548387</v>
      </c>
      <c r="I3" s="10">
        <f>COUNTIF('Simple untuned'!Q:Q,"unexpected")/(COUNTA('Simple untuned'!$P:$P)-1)</f>
        <v>9.0322580645161285E-2</v>
      </c>
      <c r="J3" s="10">
        <f>COUNTIF('Simple untuned'!Q:Q,"confused")/(COUNTA('Simple untuned'!$P:$P)-1)</f>
        <v>3.870967741935484E-2</v>
      </c>
      <c r="K3" s="10">
        <f>COUNTIF('Simple untuned'!R:R,"yes")/(COUNTA('Simple untuned'!$P:$P)-1)</f>
        <v>0.8193548387096774</v>
      </c>
      <c r="L3" s="25">
        <f>COUNTIF('Simple untuned'!R:R,"no")/(COUNTA('Simple untuned'!$P:$P)-1)</f>
        <v>0.18064516129032257</v>
      </c>
      <c r="M3">
        <f t="shared" ref="M3:M47" si="0">C3+D3+E3</f>
        <v>155</v>
      </c>
    </row>
    <row r="4" spans="1:13" x14ac:dyDescent="0.25">
      <c r="A4" t="s">
        <v>369</v>
      </c>
      <c r="B4" t="s">
        <v>6</v>
      </c>
      <c r="C4">
        <f>COUNTIF('Simple untuned'!$K:$K,"expected")</f>
        <v>134</v>
      </c>
      <c r="D4">
        <f>COUNTIF('Simple untuned'!$K:$K,"unexpected")</f>
        <v>16</v>
      </c>
      <c r="E4">
        <f>COUNTIF('Simple untuned'!$K:$K,"confused")</f>
        <v>5</v>
      </c>
      <c r="F4">
        <f>COUNTIF('Simple untuned'!$L:$L,"yes")</f>
        <v>146</v>
      </c>
      <c r="G4">
        <f>COUNTIF('Simple untuned'!$L:$L,"no")</f>
        <v>9</v>
      </c>
      <c r="H4" s="10">
        <f>COUNTIF('Simple untuned'!$K:$K,"expected")/(COUNTA('Simple untuned'!$K:$K)-1)</f>
        <v>0.86451612903225805</v>
      </c>
      <c r="I4" s="10">
        <f>COUNTIF('Simple untuned'!K:K,"unexpected")/(COUNTA('Simple untuned'!$K:$K)-1)</f>
        <v>0.1032258064516129</v>
      </c>
      <c r="J4" s="10">
        <f>COUNTIF('Simple untuned'!K:K,"confused")/(COUNTA('Simple untuned'!$K:$K)-1)</f>
        <v>3.2258064516129031E-2</v>
      </c>
      <c r="K4" s="10">
        <f>COUNTIF('Simple untuned'!L:L,"yes")/(COUNTA('Simple untuned'!$K:$K)-1)</f>
        <v>0.9419354838709677</v>
      </c>
      <c r="L4" s="10">
        <f>COUNTIF('Simple untuned'!L:L,"no")/(COUNTA('Simple untuned'!$K:$K)-1)</f>
        <v>5.8064516129032261E-2</v>
      </c>
      <c r="M4">
        <f t="shared" si="0"/>
        <v>155</v>
      </c>
    </row>
    <row r="5" spans="1:13" x14ac:dyDescent="0.25">
      <c r="A5" t="s">
        <v>369</v>
      </c>
      <c r="B5" t="s">
        <v>1064</v>
      </c>
      <c r="C5">
        <f>COUNTIF('Simple untuned'!$T:$T,"expected")</f>
        <v>129</v>
      </c>
      <c r="D5">
        <f>COUNTIF('Simple untuned'!$T:$T,"unexpected")</f>
        <v>11</v>
      </c>
      <c r="E5">
        <f>COUNTIF('Simple untuned'!$T:$T,"confused")</f>
        <v>15</v>
      </c>
      <c r="F5">
        <f>COUNTIF('Simple untuned'!$U:$U,"yes")</f>
        <v>11</v>
      </c>
      <c r="G5">
        <f>COUNTIF('Simple untuned'!$U:$U,"no")</f>
        <v>144</v>
      </c>
      <c r="H5" s="10">
        <f>COUNTIF('Simple untuned'!$T:$T,"expected")/(COUNTA('Simple untuned'!$T:$T)-1)</f>
        <v>0.83225806451612905</v>
      </c>
      <c r="I5" s="10">
        <f>COUNTIF('Simple untuned'!T:T,"unexpected")/(COUNTA('Simple untuned'!$T:$T)-1)</f>
        <v>7.0967741935483872E-2</v>
      </c>
      <c r="J5" s="10">
        <f>COUNTIF('Simple untuned'!T:T,"confused")/(COUNTA('Simple untuned'!$T:$T)-1)</f>
        <v>9.6774193548387094E-2</v>
      </c>
      <c r="K5" s="10">
        <f>COUNTIF('Simple untuned'!U:U,"yes")/(COUNTA('Simple untuned'!$U:$U)-1)</f>
        <v>7.0967741935483872E-2</v>
      </c>
      <c r="L5" s="10">
        <f>COUNTIF('Simple untuned'!U:U,"no")/(COUNTA('Simple untuned'!$U:$U)-1)</f>
        <v>0.92903225806451617</v>
      </c>
      <c r="M5">
        <f t="shared" si="0"/>
        <v>155</v>
      </c>
    </row>
    <row r="6" spans="1:13" x14ac:dyDescent="0.25">
      <c r="A6" t="s">
        <v>369</v>
      </c>
      <c r="B6" t="s">
        <v>1068</v>
      </c>
      <c r="C6">
        <f>COUNTIF('Simple untuned'!$N:$N,"expected")</f>
        <v>128</v>
      </c>
      <c r="D6">
        <f>COUNTIF('Simple untuned'!$N:$N,"unexpected")</f>
        <v>27</v>
      </c>
      <c r="E6">
        <f>COUNTIF('Simple untuned'!$N:$N,"confused")</f>
        <v>0</v>
      </c>
      <c r="F6">
        <f>COUNTIF('Simple untuned'!$O:$O,"yes")</f>
        <v>0</v>
      </c>
      <c r="G6">
        <f>COUNTIF('Simple untuned'!$O:$O,"no")</f>
        <v>155</v>
      </c>
      <c r="H6" s="16">
        <f>COUNTIF('Simple untuned'!$N:$N,"expected")/(COUNTA('Simple untuned'!$M:$M)-1)</f>
        <v>0.82580645161290323</v>
      </c>
      <c r="I6" s="10">
        <f>COUNTIF('Simple untuned'!N:N,"unexpected")/(COUNTA('Simple untuned'!$M:$M)-1)</f>
        <v>0.17419354838709677</v>
      </c>
      <c r="J6" s="16">
        <f>COUNTIF('Simple untuned'!N:N,"confused")/(COUNTA('Simple untuned'!$M:$M)-1)</f>
        <v>0</v>
      </c>
      <c r="K6" s="10">
        <f>COUNTIF('Simple untuned'!O:O,"yes")/(COUNTA('Simple untuned'!$M:$M)-1)</f>
        <v>0</v>
      </c>
      <c r="L6" s="16">
        <f>COUNTIF('Simple untuned'!O:O,"no")/(COUNTA('Simple untuned'!$M:$M)-1)</f>
        <v>1</v>
      </c>
      <c r="M6">
        <f t="shared" si="0"/>
        <v>155</v>
      </c>
    </row>
    <row r="7" spans="1:13" x14ac:dyDescent="0.25">
      <c r="A7" t="s">
        <v>369</v>
      </c>
      <c r="B7" t="s">
        <v>390</v>
      </c>
      <c r="C7">
        <f>COUNTIF('Simple untuned'!$H:$H,"expected")</f>
        <v>134</v>
      </c>
      <c r="D7">
        <f>COUNTIF('Simple untuned'!$H:$H,"unexpected")</f>
        <v>18</v>
      </c>
      <c r="E7">
        <f>COUNTIF('Simple untuned'!$H:$H,"confused")</f>
        <v>3</v>
      </c>
      <c r="F7">
        <f>COUNTIF('Simple untuned'!$I:$I,"yes")</f>
        <v>87</v>
      </c>
      <c r="G7">
        <f>COUNTIF('Simple untuned'!$I:$I,"no")</f>
        <v>68</v>
      </c>
      <c r="H7" s="10">
        <f>COUNTIF('Simple untuned'!$H:$H,"expected")/(COUNTA('Simple untuned'!$H:$H)-1)</f>
        <v>0.86451612903225805</v>
      </c>
      <c r="I7" s="10">
        <f>COUNTIF('Simple untuned'!H:H,"unexpected")/(COUNTA('Simple untuned'!$H:$H)-1)</f>
        <v>0.11612903225806452</v>
      </c>
      <c r="J7" s="10">
        <f>COUNTIF('Simple untuned'!H:H,"confused")/(COUNTA('Simple untuned'!$H:$H)-1)</f>
        <v>1.935483870967742E-2</v>
      </c>
      <c r="K7" s="10">
        <f>COUNTIF('Simple untuned'!I:I,"yes")/(COUNTA('Simple untuned'!$H:$H)-1)</f>
        <v>0.56129032258064515</v>
      </c>
      <c r="L7" s="10">
        <f>COUNTIF('Simple untuned'!I:I,"no")/(COUNTA('Simple untuned'!$H:$H)-1)</f>
        <v>0.43870967741935485</v>
      </c>
      <c r="M7">
        <f t="shared" si="0"/>
        <v>155</v>
      </c>
    </row>
    <row r="8" spans="1:13" ht="8.25" customHeight="1" x14ac:dyDescent="0.25">
      <c r="A8" s="13"/>
      <c r="B8" s="13"/>
      <c r="C8" s="13"/>
      <c r="D8" s="13"/>
      <c r="E8" s="13"/>
      <c r="F8" s="13"/>
      <c r="G8" s="13"/>
      <c r="H8" s="14"/>
      <c r="I8" s="14"/>
      <c r="J8" s="14"/>
      <c r="K8" s="14"/>
      <c r="L8" s="14"/>
      <c r="M8" s="14"/>
    </row>
    <row r="9" spans="1:13" x14ac:dyDescent="0.25">
      <c r="A9" t="s">
        <v>370</v>
      </c>
      <c r="B9" t="s">
        <v>1067</v>
      </c>
      <c r="C9">
        <f>COUNTIF('Comple untuned'!$W:$W,"expected")</f>
        <v>102</v>
      </c>
      <c r="D9">
        <f>COUNTIF('Comple untuned'!$W:$W,"unexpected")</f>
        <v>36</v>
      </c>
      <c r="E9">
        <f>COUNTIF('Comple untuned'!$W:$W,"confused")</f>
        <v>7</v>
      </c>
      <c r="F9">
        <f>COUNTIF('Comple untuned'!$X:$X,"yes")</f>
        <v>139</v>
      </c>
      <c r="G9">
        <f>COUNTIF('Comple untuned'!$X:$X,"no")</f>
        <v>6</v>
      </c>
      <c r="H9" s="10">
        <f>COUNTIF('Comple untuned'!$W:$W,"expected")/(COUNTA('Comple untuned'!$V:$V)-1)</f>
        <v>0.70344827586206893</v>
      </c>
      <c r="I9" s="10">
        <f>COUNTIF('Comple untuned'!W:W,"unexpected")/(COUNTA('Comple untuned'!$V:$V)-1)</f>
        <v>0.24827586206896551</v>
      </c>
      <c r="J9" s="10">
        <f>COUNTIF('Comple untuned'!W:W,"confused")/(COUNTA('Comple untuned'!$V:$V)-1)</f>
        <v>4.8275862068965517E-2</v>
      </c>
      <c r="K9" s="10">
        <f>COUNTIF('Comple untuned'!X:X,"yes")/(COUNTA('Comple untuned'!$V:$V)-1)</f>
        <v>0.95862068965517244</v>
      </c>
      <c r="L9" s="10">
        <f>COUNTIF('Comple untuned'!X:X,"no")/(COUNTA('Comple untuned'!$V:$V)-1)</f>
        <v>4.1379310344827586E-2</v>
      </c>
      <c r="M9">
        <f t="shared" si="0"/>
        <v>145</v>
      </c>
    </row>
    <row r="10" spans="1:13" x14ac:dyDescent="0.25">
      <c r="A10" t="s">
        <v>370</v>
      </c>
      <c r="B10" t="s">
        <v>1065</v>
      </c>
      <c r="C10">
        <f>COUNTIF('Comple untuned'!$Q:$Q,"expected")</f>
        <v>105</v>
      </c>
      <c r="D10">
        <f>COUNTIF('Comple untuned'!$Q:$Q,"unexpected")</f>
        <v>36</v>
      </c>
      <c r="E10">
        <f>COUNTIF('Comple untuned'!$Q:$Q,"confused")</f>
        <v>4</v>
      </c>
      <c r="F10">
        <f>COUNTIF('Comple untuned'!$R:$R,"yes")</f>
        <v>59</v>
      </c>
      <c r="G10">
        <f>COUNTIF('Comple untuned'!$R:$R,"no")</f>
        <v>20</v>
      </c>
      <c r="H10" s="10">
        <f>COUNTIF('Comple untuned'!$Q:$Q,"expected")/(COUNTA('Comple untuned'!$P:$P)-1)</f>
        <v>0.72413793103448276</v>
      </c>
      <c r="I10" s="10">
        <f>COUNTIF('Comple untuned'!Q:Q,"unexpected")/(COUNTA('Comple untuned'!$P:$P)-1)</f>
        <v>0.24827586206896551</v>
      </c>
      <c r="J10" s="10">
        <f>COUNTIF('Comple untuned'!Q:Q,"confused")/(COUNTA('Comple untuned'!$P:$P)-1)</f>
        <v>2.7586206896551724E-2</v>
      </c>
      <c r="K10" s="10">
        <f>COUNTIF('Comple untuned'!R:R,"yes")/(COUNTA('Comple untuned'!$P:$P)-1)</f>
        <v>0.40689655172413791</v>
      </c>
      <c r="L10" s="10">
        <f>COUNTIF('Comple untuned'!R:R,"no")/(COUNTA('Comple untuned'!$P:$P)-1)</f>
        <v>0.13793103448275862</v>
      </c>
      <c r="M10">
        <f t="shared" si="0"/>
        <v>145</v>
      </c>
    </row>
    <row r="11" spans="1:13" x14ac:dyDescent="0.25">
      <c r="A11" t="s">
        <v>370</v>
      </c>
      <c r="B11" t="s">
        <v>6</v>
      </c>
      <c r="C11">
        <f>COUNTIF('Comple untuned'!$K:$K,"expected")</f>
        <v>99</v>
      </c>
      <c r="D11">
        <f>COUNTIF('Comple untuned'!$K:$K,"unexpected")</f>
        <v>38</v>
      </c>
      <c r="E11">
        <f>COUNTIF('Comple untuned'!$K:$K,"confused")</f>
        <v>8</v>
      </c>
      <c r="F11">
        <f>COUNTIF('Comple untuned'!$L:$L,"yes")</f>
        <v>145</v>
      </c>
      <c r="G11">
        <f>COUNTIF('Comple untuned'!$L:$L,"no")</f>
        <v>0</v>
      </c>
      <c r="H11" s="10">
        <f>COUNTIF('Comple untuned'!$K:$K,"expected")/(COUNTA('Comple untuned'!$J:$J)-1)</f>
        <v>0.6827586206896552</v>
      </c>
      <c r="I11" s="10">
        <f>COUNTIF('Comple untuned'!K:K,"unexpected")/(COUNTA('Comple untuned'!$J:$J)-1)</f>
        <v>0.2620689655172414</v>
      </c>
      <c r="J11" s="10">
        <f>COUNTIF('Comple untuned'!K:K,"confused")/(COUNTA('Comple untuned'!$J:$J)-1)</f>
        <v>5.5172413793103448E-2</v>
      </c>
      <c r="K11" s="10">
        <f>COUNTIF('Comple untuned'!L:L,"yes")/(COUNTA('Comple untuned'!$J:$J)-1)</f>
        <v>1</v>
      </c>
      <c r="L11" s="10">
        <f>COUNTIF('Comple untuned'!L:L,"no")/(COUNTA('Comple untuned'!$J:$J)-1)</f>
        <v>0</v>
      </c>
      <c r="M11">
        <f t="shared" si="0"/>
        <v>145</v>
      </c>
    </row>
    <row r="12" spans="1:13" x14ac:dyDescent="0.25">
      <c r="A12" t="s">
        <v>370</v>
      </c>
      <c r="B12" t="s">
        <v>1064</v>
      </c>
      <c r="C12">
        <f>COUNTIF('Comple untuned'!$T:$T,"expected")</f>
        <v>91</v>
      </c>
      <c r="D12">
        <f>COUNTIF('Comple untuned'!$T:$T,"unexpected")</f>
        <v>20</v>
      </c>
      <c r="E12">
        <f>COUNTIF('Comple untuned'!$T:$T,"confused")</f>
        <v>34</v>
      </c>
      <c r="F12">
        <f>COUNTIF('Comple untuned'!$U:$U,"yes")</f>
        <v>33</v>
      </c>
      <c r="G12">
        <f>COUNTIF('Comple untuned'!$U:$U,"no")</f>
        <v>112</v>
      </c>
      <c r="H12" s="10">
        <f>COUNTIF('Comple untuned'!$T:$T,"expected")/(COUNTA('Comple untuned'!$S:$S)-1)</f>
        <v>0.62758620689655176</v>
      </c>
      <c r="I12" s="10">
        <f>COUNTIF('Comple untuned'!T:T,"unexpected")/(COUNTA('Comple untuned'!$S:$S)-1)</f>
        <v>0.13793103448275862</v>
      </c>
      <c r="J12" s="10">
        <f>COUNTIF('Comple untuned'!T:T,"confused")/(COUNTA('Comple untuned'!$S:$S)-1)</f>
        <v>0.23448275862068965</v>
      </c>
      <c r="K12" s="10">
        <f>COUNTIF('Comple untuned'!U:U,"yes")/(COUNTA('Comple untuned'!$S:$S)-1)</f>
        <v>0.22758620689655173</v>
      </c>
      <c r="L12" s="10">
        <f>COUNTIF('Comple untuned'!U:U,"no")/(COUNTA('Comple untuned'!$S:$S)-1)</f>
        <v>0.77241379310344827</v>
      </c>
      <c r="M12">
        <f t="shared" si="0"/>
        <v>145</v>
      </c>
    </row>
    <row r="13" spans="1:13" x14ac:dyDescent="0.25">
      <c r="A13" t="s">
        <v>370</v>
      </c>
      <c r="B13" t="s">
        <v>1068</v>
      </c>
      <c r="C13">
        <f>COUNTIF('Comple untuned'!$N:$N,"expected")</f>
        <v>126</v>
      </c>
      <c r="D13">
        <f>COUNTIF('Comple untuned'!$N:$N,"unexpected")</f>
        <v>16</v>
      </c>
      <c r="E13">
        <f>COUNTIF('Comple untuned'!$N:$N,"confused")</f>
        <v>3</v>
      </c>
      <c r="F13">
        <f>COUNTIF('Comple untuned'!$O:$O,"yes")</f>
        <v>1</v>
      </c>
      <c r="G13">
        <f>COUNTIF('Comple untuned'!$O:$O,"no")</f>
        <v>144</v>
      </c>
      <c r="H13" s="16">
        <f>COUNTIF('Comple untuned'!$N:$N,"expected")/(COUNTA('Comple untuned'!$M:$M)-1)</f>
        <v>0.86896551724137927</v>
      </c>
      <c r="I13" s="10">
        <f>COUNTIF('Comple untuned'!N:N,"unexpected")/(COUNTA('Comple untuned'!$M:$M)-1)</f>
        <v>0.1103448275862069</v>
      </c>
      <c r="J13" s="16">
        <f>COUNTIF('Comple untuned'!N:N,"confused")/(COUNTA('Comple untuned'!$M:$M)-1)</f>
        <v>2.0689655172413793E-2</v>
      </c>
      <c r="K13" s="10">
        <f>COUNTIF('Comple untuned'!O:O,"yes")/(COUNTA('Comple untuned'!$M:$M)-1)</f>
        <v>6.8965517241379309E-3</v>
      </c>
      <c r="L13" s="16">
        <f>COUNTIF('Comple untuned'!O:O,"no")/(COUNTA('Comple untuned'!$M:$M)-1)</f>
        <v>0.99310344827586206</v>
      </c>
      <c r="M13">
        <f t="shared" si="0"/>
        <v>145</v>
      </c>
    </row>
    <row r="14" spans="1:13" x14ac:dyDescent="0.25">
      <c r="A14" t="s">
        <v>370</v>
      </c>
      <c r="B14" t="s">
        <v>390</v>
      </c>
      <c r="C14">
        <f>COUNTIF('Comple untuned'!$H:$H,"expected")</f>
        <v>106</v>
      </c>
      <c r="D14">
        <f>COUNTIF('Comple untuned'!$H:$H,"unexpected")</f>
        <v>39</v>
      </c>
      <c r="E14">
        <f>COUNTIF('Comple untuned'!$H:$H,"confused")</f>
        <v>0</v>
      </c>
      <c r="F14">
        <f>COUNTIF('Comple untuned'!$I:$I,"yes")</f>
        <v>145</v>
      </c>
      <c r="G14">
        <f>COUNTIF('Comple untuned'!$I:$I,"no")</f>
        <v>0</v>
      </c>
      <c r="H14" s="10">
        <f>COUNTIF('Comple untuned'!$H:$H,"expected")/(COUNTA('Comple untuned'!$G:$G)-1)</f>
        <v>0.73103448275862071</v>
      </c>
      <c r="I14" s="10">
        <f>COUNTIF('Comple untuned'!H:H,"unexpected")/(COUNTA('Comple untuned'!$G:$G)-1)</f>
        <v>0.26896551724137929</v>
      </c>
      <c r="J14" s="10">
        <f>COUNTIF('Comple untuned'!H:H,"confused")/(COUNTA('Comple untuned'!$G:$G)-1)</f>
        <v>0</v>
      </c>
      <c r="K14" s="10">
        <f>COUNTIF('Comple untuned'!I:I,"yes")/(COUNTA('Comple untuned'!$G:$G)-1)</f>
        <v>1</v>
      </c>
      <c r="L14" s="10">
        <f>COUNTIF('Comple untuned'!I:I,"no")/(COUNTA('Comple untuned'!$G:$G)-1)</f>
        <v>0</v>
      </c>
      <c r="M14">
        <f t="shared" si="0"/>
        <v>145</v>
      </c>
    </row>
    <row r="15" spans="1:13" ht="8.25" customHeight="1" x14ac:dyDescent="0.25">
      <c r="A15" s="13"/>
      <c r="B15" s="13"/>
      <c r="C15" s="13"/>
      <c r="D15" s="13"/>
      <c r="E15" s="13"/>
      <c r="F15" s="13"/>
      <c r="G15" s="13"/>
      <c r="H15" s="14"/>
      <c r="I15" s="14"/>
      <c r="J15" s="14"/>
      <c r="K15" s="14"/>
      <c r="L15" s="14"/>
      <c r="M15" s="14"/>
    </row>
    <row r="16" spans="1:13" x14ac:dyDescent="0.25">
      <c r="A16" t="s">
        <v>371</v>
      </c>
      <c r="B16" t="s">
        <v>1067</v>
      </c>
      <c r="C16">
        <f>COUNTIF(Simple!$W:$W,"expected")</f>
        <v>125</v>
      </c>
      <c r="D16">
        <f>COUNTIF(Simple!$W:$W,"unexpected")</f>
        <v>30</v>
      </c>
      <c r="E16">
        <f>COUNTIF(Simple!$W:$W,"confused")</f>
        <v>0</v>
      </c>
      <c r="F16">
        <f>COUNTIF(Simple!$X:$X,"yes")</f>
        <v>8</v>
      </c>
      <c r="G16">
        <f>COUNTIF(Simple!$X:$X,"no")</f>
        <v>147</v>
      </c>
      <c r="H16" s="16">
        <f>COUNTIF(Simple!$W:$W,"expected")/(COUNTA(Simple!$W:$W)-1)</f>
        <v>0.80645161290322576</v>
      </c>
      <c r="I16" s="16">
        <f>COUNTIF(Simple!W:W,"unexpected")/(COUNTA(Simple!$W:$W)-1)</f>
        <v>0.19354838709677419</v>
      </c>
      <c r="J16" s="16">
        <f>COUNTIF(Simple!W:W,"confused")/(COUNTA(Simple!$W:$W)-1)</f>
        <v>0</v>
      </c>
      <c r="K16" s="10">
        <f>COUNTIF(Simple!X:X,"yes")/(COUNTA(Simple!$W:$W)-1)</f>
        <v>5.1612903225806452E-2</v>
      </c>
      <c r="L16" s="16">
        <f>COUNTIF(Simple!X:X,"no")/(COUNTA(Simple!$W:$W)-1)</f>
        <v>0.94838709677419353</v>
      </c>
      <c r="M16">
        <f t="shared" si="0"/>
        <v>155</v>
      </c>
    </row>
    <row r="17" spans="1:13" x14ac:dyDescent="0.25">
      <c r="A17" t="s">
        <v>371</v>
      </c>
      <c r="B17" t="s">
        <v>1065</v>
      </c>
      <c r="C17">
        <f>COUNTIF(Simple!$Q:$Q,"expected")</f>
        <v>109</v>
      </c>
      <c r="D17">
        <f>COUNTIF(Simple!$Q:$Q,"unexpected")</f>
        <v>24</v>
      </c>
      <c r="E17">
        <f>COUNTIF(Simple!$Q:$Q,"confused")</f>
        <v>22</v>
      </c>
      <c r="F17">
        <f>COUNTIF(Simple!$R:$R,"yes")</f>
        <v>0</v>
      </c>
      <c r="G17">
        <f>COUNTIF(Simple!$R:$R,"no")</f>
        <v>155</v>
      </c>
      <c r="H17" s="16">
        <f>COUNTIF(Simple!$Q:$Q,"expected")/(COUNTA(Simple!$Q:$Q)-1)</f>
        <v>0.70322580645161292</v>
      </c>
      <c r="I17" s="16">
        <f>COUNTIF(Simple!Q:Q,"unexpected")/(COUNTA(Simple!$Q:$Q)-1)</f>
        <v>0.15483870967741936</v>
      </c>
      <c r="J17" s="16">
        <f>COUNTIF(Simple!Q:Q,"confused")/(COUNTA(Simple!$Q:$Q)-1)</f>
        <v>0.14193548387096774</v>
      </c>
      <c r="K17" s="10">
        <f>COUNTIF(Simple!R:R,"yes")/(COUNTA(Simple!$Q:$Q)-1)</f>
        <v>0</v>
      </c>
      <c r="L17" s="16">
        <f>COUNTIF(Simple!R:R,"no")/(COUNTA(Simple!$Q:$Q)-1)</f>
        <v>1</v>
      </c>
      <c r="M17">
        <f t="shared" si="0"/>
        <v>155</v>
      </c>
    </row>
    <row r="18" spans="1:13" x14ac:dyDescent="0.25">
      <c r="A18" t="s">
        <v>371</v>
      </c>
      <c r="B18" t="s">
        <v>6</v>
      </c>
      <c r="C18">
        <f>COUNTIF(Simple!$K:$K,"expected")</f>
        <v>108</v>
      </c>
      <c r="D18">
        <f>COUNTIF(Simple!$K:$K,"unexpected")</f>
        <v>36</v>
      </c>
      <c r="E18">
        <f>COUNTIF(Simple!$K:$K,"confused")</f>
        <v>11</v>
      </c>
      <c r="F18">
        <f>COUNTIF(Simple!$L:$L,"yes")</f>
        <v>0</v>
      </c>
      <c r="G18">
        <f>COUNTIF(Simple!$L:$L,"no")</f>
        <v>155</v>
      </c>
      <c r="H18" s="16">
        <f>COUNTIF(Simple!$K:$K,"expected")/(COUNTA(Simple!$K:$K)-1)</f>
        <v>0.6967741935483871</v>
      </c>
      <c r="I18" s="16">
        <f>COUNTIF(Simple!K:K,"unexpected")/(COUNTA(Simple!$K:$K)-1)</f>
        <v>0.23225806451612904</v>
      </c>
      <c r="J18" s="16">
        <f>COUNTIF(Simple!K:K,"incorrect")/(COUNTA(Simple!$K:$K)-1)</f>
        <v>0</v>
      </c>
      <c r="K18" s="10">
        <f>COUNTIF(Simple!L:L,"yes")/(COUNTA(Simple!$K:$K)-1)</f>
        <v>0</v>
      </c>
      <c r="L18" s="16">
        <f>COUNTIF(Simple!L:L,"no")/(COUNTA(Simple!$K:$K)-1)</f>
        <v>1</v>
      </c>
      <c r="M18">
        <f t="shared" si="0"/>
        <v>155</v>
      </c>
    </row>
    <row r="19" spans="1:13" x14ac:dyDescent="0.25">
      <c r="A19" t="s">
        <v>371</v>
      </c>
      <c r="B19" t="s">
        <v>1064</v>
      </c>
      <c r="C19">
        <f>COUNTIF(Simple!$T:$T,"expected")</f>
        <v>137</v>
      </c>
      <c r="D19">
        <f>COUNTIF(Simple!$T:$T,"unexpected")</f>
        <v>18</v>
      </c>
      <c r="E19">
        <f>COUNTIF(Simple!$T:$T,"confused")</f>
        <v>0</v>
      </c>
      <c r="F19">
        <f>COUNTIF(Simple!$U:$U,"yes")</f>
        <v>0</v>
      </c>
      <c r="G19">
        <f>COUNTIF(Simple!$U:$U,"no")</f>
        <v>155</v>
      </c>
      <c r="H19" s="15">
        <f>COUNTIF(Simple!$T:$T,"expected")/(COUNTA(Simple!$T:$T)-1)</f>
        <v>0.88387096774193552</v>
      </c>
      <c r="I19" s="16">
        <f>COUNTIF(Simple!T:T,"unexpected")/(COUNTA(Simple!$T:$T)-1)</f>
        <v>0.11612903225806452</v>
      </c>
      <c r="J19" s="16">
        <f>COUNTIF(Simple!T:T,"confused")/(COUNTA(Simple!$T:$T)-1)</f>
        <v>0</v>
      </c>
      <c r="K19" s="10">
        <f>COUNTIF(Simple!U:U,"yes")/(COUNTA(Simple!$T:$T)-1)</f>
        <v>0</v>
      </c>
      <c r="L19" s="10">
        <f>COUNTIF(Simple!U:U,"no")/(COUNTA(Simple!$T:$T)-1)</f>
        <v>1</v>
      </c>
      <c r="M19">
        <f t="shared" si="0"/>
        <v>155</v>
      </c>
    </row>
    <row r="20" spans="1:13" x14ac:dyDescent="0.25">
      <c r="A20" t="s">
        <v>371</v>
      </c>
      <c r="B20" t="s">
        <v>1068</v>
      </c>
      <c r="C20">
        <f>COUNTIF(Simple!$N:$N,"expected")</f>
        <v>132</v>
      </c>
      <c r="D20">
        <f>COUNTIF(Simple!$N:$N,"unexpected")</f>
        <v>23</v>
      </c>
      <c r="E20">
        <f>COUNTIF(Simple!$N:$N,"confused")</f>
        <v>0</v>
      </c>
      <c r="F20">
        <f>COUNTIF(Simple!$O:$O,"yes")</f>
        <v>0</v>
      </c>
      <c r="G20">
        <f>COUNTIF(Simple!$O:$O,"no")</f>
        <v>155</v>
      </c>
      <c r="H20" s="16">
        <f>COUNTIF(Simple!$N:$N,"expected")/(COUNTA(Simple!$N:$N)-1)</f>
        <v>0.85161290322580641</v>
      </c>
      <c r="I20" s="16">
        <f>COUNTIF(Simple!N:N,"unexpected")/(COUNTA(Simple!$N:$N)-1)</f>
        <v>0.14838709677419354</v>
      </c>
      <c r="J20" s="16">
        <f>COUNTIF(Simple!N:N,"confused")/(COUNTA(Simple!$N:$N)-1)</f>
        <v>0</v>
      </c>
      <c r="K20" s="10">
        <f>COUNTIF(Simple!O:O,"yes")/(COUNTA(Simple!$N:$N)-1)</f>
        <v>0</v>
      </c>
      <c r="L20" s="16">
        <f>COUNTIF(Simple!O:O,"no")/(COUNTA(Simple!$N:$N)-1)</f>
        <v>1</v>
      </c>
      <c r="M20">
        <f t="shared" si="0"/>
        <v>155</v>
      </c>
    </row>
    <row r="21" spans="1:13" x14ac:dyDescent="0.25">
      <c r="A21" t="s">
        <v>371</v>
      </c>
      <c r="B21" t="s">
        <v>390</v>
      </c>
      <c r="C21">
        <f>COUNTIF(Simple!$H:$H,"expected")</f>
        <v>137</v>
      </c>
      <c r="D21">
        <f>COUNTIF(Simple!$H:$H,"unexpected")</f>
        <v>18</v>
      </c>
      <c r="E21">
        <f>COUNTIF(Simple!$H:$H,"confused")</f>
        <v>0</v>
      </c>
      <c r="F21">
        <f>COUNTIF(Simple!$I:$I,"yes")</f>
        <v>0</v>
      </c>
      <c r="G21">
        <f>COUNTIF(Simple!$I:$I,"no")</f>
        <v>155</v>
      </c>
      <c r="H21" s="16">
        <f>COUNTIF(Simple!$H:$H,"expected")/(COUNTA(Simple!$H:$H)-1)</f>
        <v>0.88387096774193552</v>
      </c>
      <c r="I21" s="16">
        <f>COUNTIF(Simple!H:H,"unexpected")/(COUNTA(Simple!$H:$H)-1)</f>
        <v>0.11612903225806452</v>
      </c>
      <c r="J21" s="16">
        <f>COUNTIF(Simple!H:H,"confused")/(COUNTA(Simple!$H:$H)-1)</f>
        <v>0</v>
      </c>
      <c r="K21" s="10">
        <f>COUNTIF(Simple!I:I,"yes")/(COUNTA(Simple!$H:$H)-1)</f>
        <v>0</v>
      </c>
      <c r="L21" s="16">
        <f>COUNTIF(Simple!I:I,"no")/(COUNTA(Simple!$H:$H)-1)</f>
        <v>1</v>
      </c>
      <c r="M21">
        <f t="shared" si="0"/>
        <v>155</v>
      </c>
    </row>
    <row r="22" spans="1:13" ht="6.75" customHeight="1" x14ac:dyDescent="0.25">
      <c r="A22" s="13"/>
      <c r="B22" s="13"/>
      <c r="C22" s="13"/>
      <c r="D22" s="13"/>
      <c r="E22" s="13"/>
      <c r="F22" s="13"/>
      <c r="G22" s="13"/>
      <c r="H22" s="14"/>
      <c r="I22" s="14"/>
      <c r="J22" s="14"/>
      <c r="K22" s="14"/>
      <c r="L22" s="14"/>
      <c r="M22" s="14"/>
    </row>
    <row r="23" spans="1:13" x14ac:dyDescent="0.25">
      <c r="A23" t="s">
        <v>372</v>
      </c>
      <c r="B23" t="s">
        <v>1067</v>
      </c>
      <c r="C23">
        <f>COUNTIF(Complex!$W:$W,"expected")</f>
        <v>98</v>
      </c>
      <c r="D23">
        <f>COUNTIF(Complex!$W:$W,"unexpected")</f>
        <v>47</v>
      </c>
      <c r="E23">
        <f>COUNTIF(Complex!$W:$W,"confused")</f>
        <v>0</v>
      </c>
      <c r="F23">
        <f>COUNTIF(Complex!$X:$X,"yes")</f>
        <v>0</v>
      </c>
      <c r="G23">
        <f>COUNTIF(Complex!$X:$X,"no")</f>
        <v>145</v>
      </c>
      <c r="H23" s="10">
        <f>COUNTIF(Complex!$W:$W,"expected")/(COUNTA(Complex!$W:$W)-1)</f>
        <v>0.67586206896551726</v>
      </c>
      <c r="I23" s="16">
        <f>COUNTIF(Complex!$W:$W,"unexpected")/(COUNTA(Complex!$W:$W)-1)</f>
        <v>0.32413793103448274</v>
      </c>
      <c r="J23" s="16">
        <f>COUNTIF(Complex!$W:$W,"confused")/(COUNTA(Complex!$W:$W)-1)</f>
        <v>0</v>
      </c>
      <c r="K23" s="10">
        <f>COUNTIF(Complex!$X:$X,"yes")/(COUNTA(Complex!$X:$X)-1)</f>
        <v>0</v>
      </c>
      <c r="L23" s="10">
        <f>COUNTIF(Complex!$X:$X,"no")/(COUNTA(Complex!$X:$X)-1)</f>
        <v>1</v>
      </c>
      <c r="M23">
        <f t="shared" si="0"/>
        <v>145</v>
      </c>
    </row>
    <row r="24" spans="1:13" x14ac:dyDescent="0.25">
      <c r="A24" t="s">
        <v>372</v>
      </c>
      <c r="B24" t="s">
        <v>1065</v>
      </c>
      <c r="C24">
        <f>COUNTIF(Complex!$Q:$Q,"expected")</f>
        <v>105</v>
      </c>
      <c r="D24">
        <f>COUNTIF(Complex!$Q:$Q,"unexpected")</f>
        <v>40</v>
      </c>
      <c r="E24">
        <f>COUNTIF(Complex!$Q:$Q,"confused")</f>
        <v>0</v>
      </c>
      <c r="F24">
        <f>COUNTIF(Complex!$R:$R,"yes")</f>
        <v>0</v>
      </c>
      <c r="G24">
        <f>COUNTIF(Complex!$R:$R,"no")</f>
        <v>145</v>
      </c>
      <c r="H24" s="10">
        <f>COUNTIF(Complex!$Q:$Q,"expected")/(COUNTA(Complex!$Q:$Q)-1)</f>
        <v>0.72413793103448276</v>
      </c>
      <c r="I24" s="16">
        <f>COUNTIF(Complex!$Q:$Q,"unexpected")/(COUNTA(Complex!$Q:$Q)-1)</f>
        <v>0.27586206896551724</v>
      </c>
      <c r="J24" s="16">
        <f>COUNTIF(Complex!$Q:$Q,"confused")/(COUNTA(Complex!$Q:$Q)-1)</f>
        <v>0</v>
      </c>
      <c r="K24" s="10">
        <f>COUNTIF(Complex!$R:$R,"yes")/(COUNTA(Complex!$R:$R)-1)</f>
        <v>0</v>
      </c>
      <c r="L24" s="10">
        <f>COUNTIF(Complex!$R:$R,"no")/(COUNTA(Complex!$R:$R)-1)</f>
        <v>1</v>
      </c>
      <c r="M24">
        <f t="shared" si="0"/>
        <v>145</v>
      </c>
    </row>
    <row r="25" spans="1:13" x14ac:dyDescent="0.25">
      <c r="A25" t="s">
        <v>372</v>
      </c>
      <c r="B25" t="s">
        <v>6</v>
      </c>
      <c r="C25">
        <f>COUNTIF(Complex!$K:$K,"expected")</f>
        <v>113</v>
      </c>
      <c r="D25">
        <f>COUNTIF(Complex!$K:$K,"unexpected")</f>
        <v>31</v>
      </c>
      <c r="E25">
        <f>COUNTIF(Complex!$K:$K,"confused")</f>
        <v>1</v>
      </c>
      <c r="F25">
        <f>COUNTIF(Complex!$L:$L,"yes")</f>
        <v>38</v>
      </c>
      <c r="G25">
        <f>COUNTIF(Complex!$L:$L,"no")</f>
        <v>107</v>
      </c>
      <c r="H25" s="10">
        <f>COUNTIF(Complex!$K:$K,"expected")/(COUNTA(Complex!$K:$K)-1)</f>
        <v>0.77931034482758621</v>
      </c>
      <c r="I25" s="16">
        <f>COUNTIF(Complex!$K:$K,"unexpected")/(COUNTA(Complex!$K:$K)-1)</f>
        <v>0.21379310344827587</v>
      </c>
      <c r="J25" s="16">
        <f>COUNTIF(Complex!$K:$K,"confused")/(COUNTA(Complex!$K:$K)-1)</f>
        <v>6.8965517241379309E-3</v>
      </c>
      <c r="K25" s="10">
        <f>COUNTIF(Complex!$L:$L,"yes")/(COUNTA(Complex!$K:$K)-1)</f>
        <v>0.2620689655172414</v>
      </c>
      <c r="L25" s="10">
        <f>COUNTIF(Complex!L:L,"no")/(COUNTA(Complex!$K:$K)-1)</f>
        <v>0.73793103448275865</v>
      </c>
      <c r="M25">
        <f t="shared" si="0"/>
        <v>145</v>
      </c>
    </row>
    <row r="26" spans="1:13" x14ac:dyDescent="0.25">
      <c r="A26" t="s">
        <v>372</v>
      </c>
      <c r="B26" t="s">
        <v>1064</v>
      </c>
      <c r="C26">
        <f>COUNTIF(Complex!$T:$T,"expected")</f>
        <v>103</v>
      </c>
      <c r="D26">
        <f>COUNTIF(Complex!$T:$T,"unexpected")</f>
        <v>42</v>
      </c>
      <c r="E26">
        <f>COUNTIF(Complex!$T:$T,"confused")</f>
        <v>0</v>
      </c>
      <c r="F26">
        <f>COUNTIF(Complex!$U:$U,"yes")</f>
        <v>0</v>
      </c>
      <c r="G26">
        <f>COUNTIF(Complex!$U:$U,"no")</f>
        <v>145</v>
      </c>
      <c r="H26" s="10">
        <f>COUNTIF(Complex!$T:$T,"expected")/(COUNTA(Complex!$T:$T)-1)</f>
        <v>0.71034482758620687</v>
      </c>
      <c r="I26" s="16">
        <f>COUNTIF(Complex!T:T,"unexpected")/(COUNTA(Complex!$T:$T)-1)</f>
        <v>0.28965517241379313</v>
      </c>
      <c r="J26" s="16">
        <f>COUNTIF(Complex!T:T,"confused")/(COUNTA(Complex!$T:$T)-1)</f>
        <v>0</v>
      </c>
      <c r="K26" s="10">
        <f>COUNTIF(Complex!U:U,"yes")/(COUNTA(Complex!$T:$T)-1)</f>
        <v>0</v>
      </c>
      <c r="L26" s="10">
        <f>COUNTIF(Complex!U:U,"no")/(COUNTA(Complex!$T:$T)-1)</f>
        <v>1</v>
      </c>
      <c r="M26">
        <f t="shared" si="0"/>
        <v>145</v>
      </c>
    </row>
    <row r="27" spans="1:13" x14ac:dyDescent="0.25">
      <c r="A27" t="s">
        <v>372</v>
      </c>
      <c r="B27" t="s">
        <v>1068</v>
      </c>
      <c r="C27">
        <f>COUNTIF(Complex!$N:$N,"expected")</f>
        <v>124</v>
      </c>
      <c r="D27">
        <f>COUNTIF(Complex!$N:$N,"unexpected")</f>
        <v>21</v>
      </c>
      <c r="E27">
        <f>COUNTIF(Complex!$N:$N,"confused")</f>
        <v>0</v>
      </c>
      <c r="F27">
        <f>COUNTIF(Complex!$O:$O,"yes")</f>
        <v>0</v>
      </c>
      <c r="G27">
        <f>COUNTIF(Complex!$O:$O,"no")</f>
        <v>145</v>
      </c>
      <c r="H27" s="10">
        <f>COUNTIF(Complex!$N:$N,"expected")/(COUNTA(Complex!$N:$N)-1)</f>
        <v>0.85517241379310349</v>
      </c>
      <c r="I27" s="16">
        <f>COUNTIF(Complex!N:N,"unexpected")/(COUNTA(Complex!$N:$N)-1)</f>
        <v>0.14482758620689656</v>
      </c>
      <c r="J27" s="16">
        <f>COUNTIF(Complex!N:N,"confused")/(COUNTA(Complex!$N:$N)-1)</f>
        <v>0</v>
      </c>
      <c r="K27" s="10">
        <f>COUNTIF(Complex!O:O,"yes")/(COUNTA(Complex!$N:$N)-1)</f>
        <v>0</v>
      </c>
      <c r="L27" s="10">
        <f>COUNTIF(Complex!O:O,"no")/(COUNTA(Complex!$N:$N)-1)</f>
        <v>1</v>
      </c>
      <c r="M27">
        <f t="shared" si="0"/>
        <v>145</v>
      </c>
    </row>
    <row r="28" spans="1:13" x14ac:dyDescent="0.25">
      <c r="A28" t="s">
        <v>372</v>
      </c>
      <c r="B28" t="s">
        <v>390</v>
      </c>
      <c r="C28">
        <f>COUNTIF(Complex!$H:$H,"expected")</f>
        <v>110</v>
      </c>
      <c r="D28">
        <f>COUNTIF(Complex!$H:$H,"unexpected")</f>
        <v>35</v>
      </c>
      <c r="E28">
        <f>COUNTIF(Complex!$H:$H,"confused")</f>
        <v>0</v>
      </c>
      <c r="F28">
        <f>COUNTIF(Complex!$I:$I,"yes")</f>
        <v>0</v>
      </c>
      <c r="G28">
        <f>COUNTIF(Complex!$I:$I,"no")</f>
        <v>145</v>
      </c>
      <c r="H28" s="10">
        <f>COUNTIF(Complex!$H:$H,"expected")/(COUNTA(Complex!$H:$H)-1)</f>
        <v>0.75862068965517238</v>
      </c>
      <c r="I28" s="16">
        <f>COUNTIF(Complex!H:H,"unexpected")/(COUNTA(Complex!$H:$H)-1)</f>
        <v>0.2413793103448276</v>
      </c>
      <c r="J28" s="16">
        <f>COUNTIF(Complex!H:H,"confused")/(COUNTA(Complex!$H:$H)-1)</f>
        <v>0</v>
      </c>
      <c r="K28" s="10">
        <f>COUNTIF(Complex!I:I,"yes")/(COUNTA(Complex!$H:$H)-1)</f>
        <v>0</v>
      </c>
      <c r="L28" s="10">
        <f>COUNTIF(Complex!I:I,"no")/(COUNTA(Complex!$H:$H)-1)</f>
        <v>1</v>
      </c>
      <c r="M28">
        <f t="shared" si="0"/>
        <v>145</v>
      </c>
    </row>
    <row r="29" spans="1:13" ht="6" customHeight="1" x14ac:dyDescent="0.25">
      <c r="A29" s="13"/>
      <c r="B29" s="13"/>
      <c r="C29" s="13"/>
      <c r="D29" s="13"/>
      <c r="E29" s="13"/>
      <c r="F29" s="13"/>
      <c r="G29" s="13"/>
      <c r="H29" s="14"/>
      <c r="I29" s="14"/>
      <c r="J29" s="14"/>
      <c r="K29" s="14"/>
      <c r="L29" s="14"/>
      <c r="M29" s="14"/>
    </row>
    <row r="30" spans="1:13" x14ac:dyDescent="0.25">
      <c r="A30" t="s">
        <v>367</v>
      </c>
      <c r="B30" t="s">
        <v>1067</v>
      </c>
      <c r="C30">
        <f>COUNTIF('Complex-Prio-Food'!$W:$W,"expected")</f>
        <v>71</v>
      </c>
      <c r="D30">
        <f>COUNTIF('Complex-Prio-Food'!$W:$W,"unexpected")</f>
        <v>74</v>
      </c>
      <c r="E30">
        <f>COUNTIF('Complex-Prio-Food'!$W:$W,"confused")</f>
        <v>0</v>
      </c>
      <c r="F30">
        <f>COUNTIF('Complex-Prio-Food'!$X:$X,"yes")</f>
        <v>0</v>
      </c>
      <c r="G30">
        <f>COUNTIF('Complex-Prio-Food'!$X:$X,"no")</f>
        <v>145</v>
      </c>
      <c r="H30" s="10">
        <f>COUNTIF('Complex-Prio-Food'!$W:$W,"expected")/(COUNTA('Complex-Prio-Food'!$W:$W)-1)</f>
        <v>0.48965517241379308</v>
      </c>
      <c r="I30" s="16">
        <f>COUNTIF('Complex-Prio-Food'!W:W,"unexpected")/(COUNTA('Complex-Prio-Food'!$W:$W)-1)</f>
        <v>0.51034482758620692</v>
      </c>
      <c r="J30" s="16">
        <f>COUNTIF('Complex-Prio-Food'!W:W,"confused")/(COUNTA('Complex-Prio-Food'!$W:$W)-1)</f>
        <v>0</v>
      </c>
      <c r="K30" s="10">
        <f>COUNTIF('Complex-Prio-Food'!X:X,"yes")/(COUNTA('Complex-Prio-Food'!$X:$X)-1)</f>
        <v>0</v>
      </c>
      <c r="L30" s="10">
        <f>COUNTIF('Complex-Prio-Food'!X:X,"no")/(COUNTA('Complex-Prio-Food'!$X:$X)-1)</f>
        <v>1</v>
      </c>
      <c r="M30">
        <f t="shared" si="0"/>
        <v>145</v>
      </c>
    </row>
    <row r="31" spans="1:13" x14ac:dyDescent="0.25">
      <c r="A31" t="s">
        <v>367</v>
      </c>
      <c r="B31" t="s">
        <v>1065</v>
      </c>
      <c r="C31">
        <f>COUNTIF('Complex-Prio-Food'!$Q:$Q,"expected")</f>
        <v>78</v>
      </c>
      <c r="D31">
        <f>COUNTIF('Complex-Prio-Food'!$Q:$Q,"unexpected")</f>
        <v>67</v>
      </c>
      <c r="E31">
        <f>COUNTIF('Complex-Prio-Food'!$Q:$Q,"confused")</f>
        <v>0</v>
      </c>
      <c r="F31">
        <f>COUNTIF('Complex-Prio-Food'!$R:$R,"yes")</f>
        <v>0</v>
      </c>
      <c r="G31">
        <f>COUNTIF('Complex-Prio-Food'!$R:$R,"no")</f>
        <v>145</v>
      </c>
      <c r="H31" s="10">
        <f>COUNTIF('Complex-Prio-Food'!$Q:$Q,"expected")/(COUNTA('Complex-Prio-Food'!$Q:$Q)-1)</f>
        <v>0.53793103448275859</v>
      </c>
      <c r="I31" s="16">
        <f>COUNTIF('Complex-Prio-Food'!Q:Q,"unexpected")/(COUNTA('Complex-Prio-Food'!$Q:$Q)-1)</f>
        <v>0.46206896551724136</v>
      </c>
      <c r="J31" s="16">
        <f>COUNTIF('Complex-Prio-Food'!Q:Q,"confused")/(COUNTA('Complex-Prio-Food'!$Q:$Q)-1)</f>
        <v>0</v>
      </c>
      <c r="K31" s="10">
        <f>COUNTIF('Complex-Prio-Food'!R:R,"yes")/(COUNTA('Complex-Prio-Food'!$R:$R)-1)</f>
        <v>0</v>
      </c>
      <c r="L31" s="10">
        <f>COUNTIF('Complex-Prio-Food'!R:R,"no")/(COUNTA('Complex-Prio-Food'!$R:$R)-1)</f>
        <v>1</v>
      </c>
      <c r="M31">
        <f t="shared" si="0"/>
        <v>145</v>
      </c>
    </row>
    <row r="32" spans="1:13" x14ac:dyDescent="0.25">
      <c r="A32" t="s">
        <v>367</v>
      </c>
      <c r="B32" t="s">
        <v>6</v>
      </c>
      <c r="C32">
        <f>COUNTIF('Complex-Prio-Food'!$K:$K,"expected")</f>
        <v>73</v>
      </c>
      <c r="D32">
        <f>COUNTIF('Complex-Prio-Food'!$K:$K,"unexpected")</f>
        <v>70</v>
      </c>
      <c r="E32">
        <f>COUNTIF('Complex-Prio-Food'!$K:$K,"confused")</f>
        <v>2</v>
      </c>
      <c r="F32">
        <f>COUNTIF('Complex-Prio-Food'!$L:$L,"yes")</f>
        <v>9</v>
      </c>
      <c r="G32">
        <f>COUNTIF('Complex-Prio-Food'!$L:$L,"no")</f>
        <v>136</v>
      </c>
      <c r="H32" s="10">
        <f>COUNTIF('Complex-Prio-Food'!$K:$K,"expected")/(COUNTA('Complex-Prio-Food'!$K:$K)-1)</f>
        <v>0.50344827586206897</v>
      </c>
      <c r="I32" s="16">
        <f>COUNTIF('Complex-Prio-Food'!K:K,"unexpected")/(COUNTA('Complex-Prio-Food'!$K:$K)-1)</f>
        <v>0.48275862068965519</v>
      </c>
      <c r="J32" s="16">
        <f>COUNTIF('Complex-Prio-Food'!K:K,"confused")/(COUNTA('Complex-Prio-Food'!$K:$K)-1)</f>
        <v>1.3793103448275862E-2</v>
      </c>
      <c r="K32" s="10">
        <f>COUNTIF('Complex-Prio-Food'!L:L,"yes")/(COUNTA('Complex-Prio-Food'!$L:$L)-1)</f>
        <v>6.2068965517241378E-2</v>
      </c>
      <c r="L32" s="10">
        <f>COUNTIF('Complex-Prio-Food'!L:L,"no")/(COUNTA('Complex-Prio-Food'!$L:$L)-1)</f>
        <v>0.93793103448275861</v>
      </c>
      <c r="M32">
        <f t="shared" si="0"/>
        <v>145</v>
      </c>
    </row>
    <row r="33" spans="1:13" x14ac:dyDescent="0.25">
      <c r="A33" t="s">
        <v>367</v>
      </c>
      <c r="B33" t="s">
        <v>1064</v>
      </c>
      <c r="C33">
        <f>COUNTIF('Complex-Prio-Food'!$T:$T,"expected")</f>
        <v>81</v>
      </c>
      <c r="D33">
        <f>COUNTIF('Complex-Prio-Food'!$T:$T,"unexpected")</f>
        <v>64</v>
      </c>
      <c r="E33">
        <f>COUNTIF('Complex-Prio-Food'!$T:$T,"confused")</f>
        <v>0</v>
      </c>
      <c r="F33">
        <f>COUNTIF('Complex-Prio-Food'!$U:$U,"yes")</f>
        <v>0</v>
      </c>
      <c r="G33">
        <f>COUNTIF('Complex-Prio-Food'!$U:$U,"no")</f>
        <v>145</v>
      </c>
      <c r="H33" s="10">
        <f>COUNTIF('Complex-Prio-Food'!$T:$T,"expected")/(COUNTA('Complex-Prio-Food'!$T:$T)-1)</f>
        <v>0.55862068965517242</v>
      </c>
      <c r="I33" s="16">
        <f>COUNTIF('Complex-Prio-Food'!T:T,"unexpected")/(COUNTA('Complex-Prio-Food'!$Q:$Q)-1)</f>
        <v>0.44137931034482758</v>
      </c>
      <c r="J33" s="16">
        <f>COUNTIF('Complex-Prio-Food'!T:T,"confused")/(COUNTA('Complex-Prio-Food'!$Q:$Q)-1)</f>
        <v>0</v>
      </c>
      <c r="K33" s="10">
        <f>COUNTIF('Complex-Prio-Food'!U:U,"yes")/(COUNTA('Complex-Prio-Food'!$U:$U)-1)</f>
        <v>0</v>
      </c>
      <c r="L33" s="10">
        <f>COUNTIF('Complex-Prio-Food'!U:U,"no")/(COUNTA('Complex-Prio-Food'!$U:$U)-1)</f>
        <v>1</v>
      </c>
      <c r="M33">
        <f t="shared" si="0"/>
        <v>145</v>
      </c>
    </row>
    <row r="34" spans="1:13" x14ac:dyDescent="0.25">
      <c r="A34" t="s">
        <v>367</v>
      </c>
      <c r="B34" t="s">
        <v>1068</v>
      </c>
      <c r="C34">
        <f>COUNTIF('Complex-Prio-Food'!$N:$N,"expected")</f>
        <v>124</v>
      </c>
      <c r="D34">
        <f>COUNTIF('Complex-Prio-Food'!$N:$N,"unexpected")</f>
        <v>21</v>
      </c>
      <c r="E34">
        <f>COUNTIF('Complex-Prio-Food'!$N:$N,"confused")</f>
        <v>0</v>
      </c>
      <c r="F34">
        <f>COUNTIF('Complex-Prio-Food'!$O:$O,"yes")</f>
        <v>0</v>
      </c>
      <c r="G34">
        <f>COUNTIF('Complex-Prio-Food'!$O:$O,"no")</f>
        <v>145</v>
      </c>
      <c r="H34" s="10">
        <f>COUNTIF('Complex-Prio-Food'!$N:$N,"expected")/(COUNTA('Complex-Prio-Food'!$N:$N)-1)</f>
        <v>0.85517241379310349</v>
      </c>
      <c r="I34" s="16">
        <f>COUNTIF('Complex-Prio-Food'!N:N,"unexpected")/(COUNTA('Complex-Prio-Food'!$N:$N)-1)</f>
        <v>0.14482758620689656</v>
      </c>
      <c r="J34" s="16">
        <f>COUNTIF('Complex-Prio-Food'!N:N,"confused")/(COUNTA('Complex-Prio-Food'!$N:$N)-1)</f>
        <v>0</v>
      </c>
      <c r="K34" s="10">
        <f>COUNTIF('Complex-Prio-Food'!O:O,"yes")/(COUNTA('Complex-Prio-Food'!$O:$O)-1)</f>
        <v>0</v>
      </c>
      <c r="L34" s="10">
        <f>COUNTIF('Complex-Prio-Food'!O:O,"no")/(COUNTA('Complex-Prio-Food'!$O:$O)-1)</f>
        <v>1</v>
      </c>
      <c r="M34">
        <f t="shared" si="0"/>
        <v>145</v>
      </c>
    </row>
    <row r="35" spans="1:13" x14ac:dyDescent="0.25">
      <c r="A35" t="s">
        <v>367</v>
      </c>
      <c r="B35" t="s">
        <v>390</v>
      </c>
      <c r="C35">
        <f>COUNTIF('Complex-Prio-Food'!$H:$H,"expected")</f>
        <v>85</v>
      </c>
      <c r="D35">
        <f>COUNTIF('Complex-Prio-Food'!$H:$H,"unexpected")</f>
        <v>60</v>
      </c>
      <c r="E35">
        <f>COUNTIF('Complex-Prio-Food'!$H:$H,"confused")</f>
        <v>0</v>
      </c>
      <c r="F35">
        <f>COUNTIF('Complex-Prio-Food'!$I:$I,"yes")</f>
        <v>0</v>
      </c>
      <c r="G35">
        <f>COUNTIF('Complex-Prio-Food'!$I:$I,"no")</f>
        <v>145</v>
      </c>
      <c r="H35" s="10">
        <f>COUNTIF('Complex-Prio-Food'!$H:$H,"expected")/(COUNTA('Complex-Prio-Food'!$H:$H)-1)</f>
        <v>0.58620689655172409</v>
      </c>
      <c r="I35" s="16">
        <f>COUNTIF('Complex-Prio-Food'!H:H,"unexpected")/(COUNTA('Complex-Prio-Food'!$H:$H)-1)</f>
        <v>0.41379310344827586</v>
      </c>
      <c r="J35" s="16">
        <f>COUNTIF('Complex-Prio-Food'!H:H,"confused")/(COUNTA('Complex-Prio-Food'!$H:$H)-1)</f>
        <v>0</v>
      </c>
      <c r="K35" s="10">
        <f>COUNTIF('Complex-Prio-Food'!I:I,"yes")/(COUNTA('Complex-Prio-Food'!$H:$H)-1)</f>
        <v>0</v>
      </c>
      <c r="L35" s="10">
        <f>COUNTIF('Complex-Prio-Food'!I:I,"no")/(COUNTA('Complex-Prio-Food'!$H:$H)-1)</f>
        <v>1</v>
      </c>
      <c r="M35">
        <f t="shared" si="0"/>
        <v>145</v>
      </c>
    </row>
    <row r="36" spans="1:13" x14ac:dyDescent="0.25">
      <c r="A36" t="s">
        <v>373</v>
      </c>
      <c r="B36" t="s">
        <v>1067</v>
      </c>
      <c r="C36">
        <f>COUNTIF('Complex-Prio-Profession'!$W:$W,"expected")</f>
        <v>71</v>
      </c>
      <c r="D36">
        <f>COUNTIF('Complex-Prio-Profession'!$W:$W,"unexpected")</f>
        <v>74</v>
      </c>
      <c r="E36">
        <f>COUNTIF('Complex-Prio-Profession'!$W:$W,"confused")</f>
        <v>0</v>
      </c>
      <c r="F36">
        <f>COUNTIF('Complex-Prio-Profession'!$X:$X,"yes")</f>
        <v>0</v>
      </c>
      <c r="G36">
        <f>COUNTIF('Complex-Prio-Profession'!$X:$X,"no")</f>
        <v>145</v>
      </c>
      <c r="H36" s="10">
        <f>COUNTIF('Complex-Prio-Profession'!$W:$W,"expected")/(COUNTA('Complex-Prio-Profession'!$W:$W)-1)</f>
        <v>0.48965517241379308</v>
      </c>
      <c r="I36" s="16">
        <f>COUNTIF('Complex-Prio-Profession'!W:W,"unexpected")/(COUNTA('Complex-Prio-Profession'!$W:$W)-1)</f>
        <v>0.51034482758620692</v>
      </c>
      <c r="J36" s="16">
        <f>COUNTIF('Complex-Prio-Profession'!W:W,"confused")/(COUNTA('Complex-Prio-Profession'!$W:$W)-1)</f>
        <v>0</v>
      </c>
      <c r="K36" s="10">
        <f>COUNTIF('Complex-Prio-Profession'!X:X,"yes")/(COUNTA('Complex-Prio-Profession'!$X:$X)-1)</f>
        <v>0</v>
      </c>
      <c r="L36" s="10">
        <f>COUNTIF('Complex-Prio-Profession'!X:X,"no")/(COUNTA('Complex-Prio-Profession'!$X:$X)-1)</f>
        <v>1</v>
      </c>
      <c r="M36">
        <f t="shared" si="0"/>
        <v>145</v>
      </c>
    </row>
    <row r="37" spans="1:13" x14ac:dyDescent="0.25">
      <c r="A37" t="s">
        <v>373</v>
      </c>
      <c r="B37" t="s">
        <v>1065</v>
      </c>
      <c r="C37">
        <f>COUNTIF('Complex-Prio-Profession'!$Q:$Q,"expected")</f>
        <v>82</v>
      </c>
      <c r="D37">
        <f>COUNTIF('Complex-Prio-Profession'!$Q:$Q,"unexpected")</f>
        <v>63</v>
      </c>
      <c r="E37">
        <f>COUNTIF('Complex-Prio-Profession'!$Q:$Q,"confused")</f>
        <v>0</v>
      </c>
      <c r="F37">
        <f>COUNTIF('Complex-Prio-Profession'!$R:$R,"yes")</f>
        <v>0</v>
      </c>
      <c r="G37">
        <f>COUNTIF('Complex-Prio-Profession'!$R:$R,"no")</f>
        <v>145</v>
      </c>
      <c r="H37" s="10">
        <f>COUNTIF('Complex-Prio-Profession'!$Q:$Q,"expected")/(COUNTA('Complex-Prio-Profession'!$Q:$Q)-1)</f>
        <v>0.56551724137931036</v>
      </c>
      <c r="I37" s="16">
        <f>COUNTIF('Complex-Prio-Profession'!Q:Q,"unexpected")/(COUNTA('Complex-Prio-Profession'!$Q:$Q)-1)</f>
        <v>0.43448275862068964</v>
      </c>
      <c r="J37" s="16">
        <f>COUNTIF('Complex-Prio-Profession'!Q:Q,"confused")/(COUNTA('Complex-Prio-Profession'!$Q:$Q)-1)</f>
        <v>0</v>
      </c>
      <c r="K37" s="10">
        <f>COUNTIF('Complex-Prio-Profession'!R:R,"yes")/(COUNTA('Complex-Prio-Profession'!$R:$R)-1)</f>
        <v>0</v>
      </c>
      <c r="L37" s="10">
        <f>COUNTIF('Complex-Prio-Profession'!R:R,"no")/(COUNTA('Complex-Prio-Profession'!$R:$R)-1)</f>
        <v>1</v>
      </c>
      <c r="M37">
        <f t="shared" si="0"/>
        <v>145</v>
      </c>
    </row>
    <row r="38" spans="1:13" x14ac:dyDescent="0.25">
      <c r="A38" t="s">
        <v>373</v>
      </c>
      <c r="B38" t="s">
        <v>6</v>
      </c>
      <c r="C38">
        <f>COUNTIF('Complex-Prio-Profession'!$K:$K,"expected")</f>
        <v>88</v>
      </c>
      <c r="D38">
        <f>COUNTIF('Complex-Prio-Profession'!$K:$K,"unexpected")</f>
        <v>57</v>
      </c>
      <c r="E38">
        <f>COUNTIF('Complex-Prio-Profession'!$K:$K,"confused")</f>
        <v>0</v>
      </c>
      <c r="F38">
        <f>COUNTIF('Complex-Prio-Profession'!$L:$L,"yes")</f>
        <v>22</v>
      </c>
      <c r="G38">
        <f>COUNTIF('Complex-Prio-Profession'!$L:$L,"no")</f>
        <v>123</v>
      </c>
      <c r="H38" s="10">
        <f>COUNTIF('Complex-Prio-Profession'!$K:$K,"expected")/(COUNTA('Complex-Prio-Profession'!$K:$K)-1)</f>
        <v>0.60689655172413792</v>
      </c>
      <c r="I38" s="16">
        <f>COUNTIF('Complex-Prio-Profession'!K:K,"unexpected")/(COUNTA('Complex-Prio-Profession'!$K:$K)-1)</f>
        <v>0.39310344827586208</v>
      </c>
      <c r="J38" s="16">
        <f>COUNTIF('Complex-Prio-Profession'!K:K,"confused")/(COUNTA('Complex-Prio-Profession'!$K:$K)-1)</f>
        <v>0</v>
      </c>
      <c r="K38" s="10">
        <f>COUNTIF('Complex-Prio-Profession'!L:L,"yes")/(COUNTA('Complex-Prio-Profession'!$L:$L)-1)</f>
        <v>0.15172413793103448</v>
      </c>
      <c r="L38" s="10">
        <f>COUNTIF('Complex-Prio-Profession'!L:L,"no")/(COUNTA('Complex-Prio-Profession'!$L:$L)-1)</f>
        <v>0.84827586206896555</v>
      </c>
      <c r="M38">
        <f t="shared" si="0"/>
        <v>145</v>
      </c>
    </row>
    <row r="39" spans="1:13" x14ac:dyDescent="0.25">
      <c r="A39" t="s">
        <v>373</v>
      </c>
      <c r="B39" t="s">
        <v>1064</v>
      </c>
      <c r="C39">
        <f>COUNTIF('Complex-Prio-Profession'!$T:$T,"expected")</f>
        <v>86</v>
      </c>
      <c r="D39">
        <f>COUNTIF('Complex-Prio-Profession'!$T:$T,"unexpected")</f>
        <v>59</v>
      </c>
      <c r="E39">
        <f>COUNTIF('Complex-Prio-Profession'!$T:$T,"confused")</f>
        <v>0</v>
      </c>
      <c r="F39">
        <f>COUNTIF('Complex-Prio-Profession'!$U:$U,"yes")</f>
        <v>0</v>
      </c>
      <c r="G39">
        <f>COUNTIF('Complex-Prio-Profession'!$U:$U,"no")</f>
        <v>145</v>
      </c>
      <c r="H39" s="10">
        <f>COUNTIF('Complex-Prio-Profession'!$T:$T,"expected")/(COUNTA('Complex-Prio-Profession'!$T:$T)-1)</f>
        <v>0.59310344827586203</v>
      </c>
      <c r="I39" s="16">
        <f>COUNTIF('Complex-Prio-Profession'!T:T,"unexpected")/(COUNTA('Complex-Prio-Profession'!$T:$T)-1)</f>
        <v>0.40689655172413791</v>
      </c>
      <c r="J39" s="16">
        <f>COUNTIF('Complex-Prio-Profession'!T:T,"confused")/(COUNTA('Complex-Prio-Profession'!$T:$T)-1)</f>
        <v>0</v>
      </c>
      <c r="K39" s="10">
        <f>COUNTIF('Complex-Prio-Profession'!U:U,"yes")/(COUNTA('Complex-Prio-Profession'!$U:$U)-1)</f>
        <v>0</v>
      </c>
      <c r="L39" s="10">
        <f>COUNTIF('Complex-Prio-Profession'!U:U,"no")/(COUNTA('Complex-Prio-Profession'!$U:$U)-1)</f>
        <v>1</v>
      </c>
      <c r="M39">
        <f>C39+D39+E39</f>
        <v>145</v>
      </c>
    </row>
    <row r="40" spans="1:13" x14ac:dyDescent="0.25">
      <c r="A40" t="s">
        <v>373</v>
      </c>
      <c r="B40" s="23" t="s">
        <v>1068</v>
      </c>
      <c r="C40">
        <f>COUNTIF('Complex-Prio-Profession'!$N:$N,"expected")</f>
        <v>126</v>
      </c>
      <c r="D40">
        <f>COUNTIF('Complex-Prio-Profession'!$N:$N,"unexpected")</f>
        <v>19</v>
      </c>
      <c r="E40">
        <f>COUNTIF('Complex-Prio-Profession'!$N:$N,"confused")</f>
        <v>0</v>
      </c>
      <c r="F40">
        <f>COUNTIF('Complex-Prio-Profession'!$O:$O,"yes")</f>
        <v>0</v>
      </c>
      <c r="G40">
        <f>COUNTIF('Complex-Prio-Profession'!$O:$O,"no")</f>
        <v>145</v>
      </c>
      <c r="H40" s="10">
        <f>COUNTIF('Complex-Prio-Profession'!$N:$N,"expected")/(COUNTA('Complex-Prio-Profession'!$N:$N)-1)</f>
        <v>0.86896551724137927</v>
      </c>
      <c r="I40" s="16">
        <f>COUNTIF('Complex-Prio-Profession'!N:N,"unexpected")/(COUNTA('Complex-Prio-Profession'!$H:$H)-1)</f>
        <v>0.1310344827586207</v>
      </c>
      <c r="J40" s="16">
        <f>COUNTIF('Complex-Prio-Profession'!N:N,"confused")/(COUNTA('Complex-Prio-Profession'!$H:$H)-1)</f>
        <v>0</v>
      </c>
      <c r="K40" s="10">
        <f>COUNTIF('Complex-Prio-Profession'!O:O,"yes")/(COUNTA('Complex-Prio-Profession'!$O:$O)-1)</f>
        <v>0</v>
      </c>
      <c r="L40" s="10">
        <f>COUNTIF('Complex-Prio-Profession'!O:O,"no")/(COUNTA('Complex-Prio-Profession'!$O:$O)-1)</f>
        <v>1</v>
      </c>
      <c r="M40">
        <f t="shared" si="0"/>
        <v>145</v>
      </c>
    </row>
    <row r="41" spans="1:13" x14ac:dyDescent="0.25">
      <c r="A41" t="s">
        <v>373</v>
      </c>
      <c r="B41" t="s">
        <v>390</v>
      </c>
      <c r="C41">
        <f>COUNTIF('Complex-Prio-Profession'!$H:$H,"expected")</f>
        <v>89</v>
      </c>
      <c r="D41">
        <f>COUNTIF('Complex-Prio-Profession'!$H:$H,"unexpected")</f>
        <v>56</v>
      </c>
      <c r="E41">
        <f>COUNTIF('Complex-Prio-Profession'!$H:$H,"confused")</f>
        <v>0</v>
      </c>
      <c r="F41">
        <f>COUNTIF('Complex-Prio-Profession'!$I:$I,"yes")</f>
        <v>0</v>
      </c>
      <c r="G41">
        <f>COUNTIF('Complex-Prio-Profession'!$I:$I,"no")</f>
        <v>145</v>
      </c>
      <c r="H41" s="10">
        <f>COUNTIF('Complex-Prio-Profession'!$H:$H,"expected")/(COUNTA('Complex-Prio-Profession'!$H:$H)-1)</f>
        <v>0.61379310344827587</v>
      </c>
      <c r="I41" s="16">
        <f>COUNTIF('Complex-Prio-Profession'!H:H,"unexpected")/(COUNTA('Complex-Prio-Profession'!$H:$H)-1)</f>
        <v>0.38620689655172413</v>
      </c>
      <c r="J41" s="16">
        <f>COUNTIF('Complex-Prio-Profession'!H:H,"confused")/(COUNTA('Complex-Prio-Profession'!$H:$H)-1)</f>
        <v>0</v>
      </c>
      <c r="K41" s="10">
        <f>COUNTIF('Complex-Prio-Profession'!I:I,"yes")/(COUNTA('Complex-Prio-Profession'!$H:$H)-1)</f>
        <v>0</v>
      </c>
      <c r="L41" s="10">
        <f>COUNTIF('Complex-Prio-Profession'!I:I,"no")/(COUNTA('Complex-Prio-Profession'!$H:$H)-1)</f>
        <v>1</v>
      </c>
      <c r="M41">
        <f t="shared" si="0"/>
        <v>145</v>
      </c>
    </row>
    <row r="42" spans="1:13" x14ac:dyDescent="0.25">
      <c r="A42" t="s">
        <v>374</v>
      </c>
      <c r="B42" t="s">
        <v>1067</v>
      </c>
      <c r="C42">
        <f>COUNTIF('Complex-Prio-Sentiment'!$W:$W,"expected")</f>
        <v>72</v>
      </c>
      <c r="D42">
        <f>COUNTIF('Complex-Prio-Sentiment'!$W:$W,"unexpected")</f>
        <v>73</v>
      </c>
      <c r="E42">
        <f>COUNTIF('Complex-Prio-Sentiment'!$W:$W,"confused")</f>
        <v>0</v>
      </c>
      <c r="F42">
        <f>COUNTIF('Complex-Prio-Sentiment'!$X:$X,"yes")</f>
        <v>0</v>
      </c>
      <c r="G42">
        <f>COUNTIF('Complex-Prio-Sentiment'!$X:$X,"no")</f>
        <v>145</v>
      </c>
      <c r="H42" s="10">
        <f>COUNTIF('Complex-Prio-Sentiment'!$W:$W,"expected")/(COUNTA('Complex-Prio-Sentiment'!$W:$W)-1)</f>
        <v>0.49655172413793103</v>
      </c>
      <c r="I42" s="16">
        <f>COUNTIF('Complex-Prio-Sentiment'!W:W,"unexpected")/(COUNTA('Complex-Prio-Sentiment'!$W:$W)-1)</f>
        <v>0.50344827586206897</v>
      </c>
      <c r="J42" s="16">
        <f>COUNTIF('Complex-Prio-Sentiment'!W:W,"confused")/(COUNTA('Complex-Prio-Sentiment'!$W:$W)-1)</f>
        <v>0</v>
      </c>
      <c r="K42" s="10">
        <f>COUNTIF('Complex-Prio-Sentiment'!X:X,"yes")/(COUNTA('Complex-Prio-Sentiment'!$X:$X)-1)</f>
        <v>0</v>
      </c>
      <c r="L42" s="10">
        <f>COUNTIF('Complex-Prio-Sentiment'!X:X,"no")/(COUNTA('Complex-Prio-Sentiment'!$X:$X)-1)</f>
        <v>1</v>
      </c>
      <c r="M42">
        <f t="shared" si="0"/>
        <v>145</v>
      </c>
    </row>
    <row r="43" spans="1:13" x14ac:dyDescent="0.25">
      <c r="A43" t="s">
        <v>374</v>
      </c>
      <c r="B43" t="s">
        <v>1065</v>
      </c>
      <c r="C43">
        <f>COUNTIF('Complex-Prio-Sentiment'!$Q:$Q,"expected")</f>
        <v>83</v>
      </c>
      <c r="D43">
        <f>COUNTIF('Complex-Prio-Sentiment'!$Q:$Q,"unexpected")</f>
        <v>62</v>
      </c>
      <c r="E43">
        <f>COUNTIF('Complex-Prio-Sentiment'!$Q:$Q,"confused")</f>
        <v>0</v>
      </c>
      <c r="F43">
        <f>COUNTIF('Complex-Prio-Sentiment'!$R:$R,"yes")</f>
        <v>0</v>
      </c>
      <c r="G43">
        <f>COUNTIF('Complex-Prio-Sentiment'!$R:$R,"no")</f>
        <v>145</v>
      </c>
      <c r="H43" s="10">
        <f>COUNTIF('Complex-Prio-Sentiment'!$Q:$Q,"expected")/(COUNTA('Complex-Prio-Sentiment'!$Q:$Q)-1)</f>
        <v>0.57241379310344831</v>
      </c>
      <c r="I43" s="16">
        <f>COUNTIF('Complex-Prio-Sentiment'!Q:Q,"unexpected")/(COUNTA('Complex-Prio-Sentiment'!$Q:$Q)-1)</f>
        <v>0.42758620689655175</v>
      </c>
      <c r="J43" s="16">
        <f>COUNTIF('Complex-Prio-Sentiment'!Q:Q,"confused")/(COUNTA('Complex-Prio-Sentiment'!$Q:$Q)-1)</f>
        <v>0</v>
      </c>
      <c r="K43" s="10">
        <f>COUNTIF('Complex-Prio-Sentiment'!R:R,"yes")/(COUNTA('Complex-Prio-Sentiment'!$R:$R)-1)</f>
        <v>0</v>
      </c>
      <c r="L43" s="10">
        <f>COUNTIF('Complex-Prio-Sentiment'!R:R,"no")/(COUNTA('Complex-Prio-Sentiment'!$R:$R)-1)</f>
        <v>1</v>
      </c>
      <c r="M43">
        <f t="shared" si="0"/>
        <v>145</v>
      </c>
    </row>
    <row r="44" spans="1:13" x14ac:dyDescent="0.25">
      <c r="A44" t="s">
        <v>374</v>
      </c>
      <c r="B44" t="s">
        <v>6</v>
      </c>
      <c r="C44">
        <f>COUNTIF('Complex-Prio-Sentiment'!$K:$K,"expected")</f>
        <v>79</v>
      </c>
      <c r="D44">
        <f>COUNTIF('Complex-Prio-Sentiment'!$K:$K,"unexpected")</f>
        <v>66</v>
      </c>
      <c r="E44">
        <f>COUNTIF('Complex-Prio-Sentiment'!$K:$K,"confused")</f>
        <v>0</v>
      </c>
      <c r="F44">
        <f>COUNTIF('Complex-Prio-Sentiment'!$L:$L,"yes")</f>
        <v>16</v>
      </c>
      <c r="G44">
        <f>COUNTIF('Complex-Prio-Sentiment'!$L:$L,"no")</f>
        <v>129</v>
      </c>
      <c r="H44" s="10">
        <f>COUNTIF('Complex-Prio-Sentiment'!$K:$K,"expected")/(COUNTA('Complex-Prio-Sentiment'!$K:$K)-1)</f>
        <v>0.54482758620689653</v>
      </c>
      <c r="I44" s="16">
        <f>COUNTIF('Complex-Prio-Sentiment'!K:K,"unexpected")/(COUNTA('Complex-Prio-Sentiment'!$K:$K)-1)</f>
        <v>0.45517241379310347</v>
      </c>
      <c r="J44" s="16">
        <f>COUNTIF('Complex-Prio-Sentiment'!K:K,"confused")/(COUNTA('Complex-Prio-Sentiment'!$K:$K)-1)</f>
        <v>0</v>
      </c>
      <c r="K44" s="10">
        <f>COUNTIF('Complex-Prio-Sentiment'!L:L,"yes")/(COUNTA('Complex-Prio-Sentiment'!$L:$L)-1)</f>
        <v>0.1103448275862069</v>
      </c>
      <c r="L44" s="10">
        <f>COUNTIF('Complex-Prio-Sentiment'!L:L,"no")/(COUNTA('Complex-Prio-Sentiment'!$L:$L)-1)</f>
        <v>0.8896551724137931</v>
      </c>
      <c r="M44">
        <f t="shared" si="0"/>
        <v>145</v>
      </c>
    </row>
    <row r="45" spans="1:13" x14ac:dyDescent="0.25">
      <c r="A45" t="s">
        <v>374</v>
      </c>
      <c r="B45" t="s">
        <v>1064</v>
      </c>
      <c r="C45">
        <f>COUNTIF('Complex-Prio-Sentiment'!$T:$T,"expected")</f>
        <v>78</v>
      </c>
      <c r="D45">
        <f>COUNTIF('Complex-Prio-Sentiment'!$T:$T,"unexpected")</f>
        <v>67</v>
      </c>
      <c r="E45">
        <f>COUNTIF('Complex-Prio-Sentiment'!$T:$T,"confused")</f>
        <v>0</v>
      </c>
      <c r="F45">
        <f>COUNTIF('Complex-Prio-Sentiment'!$U:$U,"yes")</f>
        <v>0</v>
      </c>
      <c r="G45">
        <f>COUNTIF('Complex-Prio-Sentiment'!$U:$U,"no")</f>
        <v>145</v>
      </c>
      <c r="H45" s="10">
        <f>COUNTIF('Complex-Prio-Sentiment'!$T:$T,"expected")/(COUNTA('Complex-Prio-Sentiment'!$T:$T)-1)</f>
        <v>0.53793103448275859</v>
      </c>
      <c r="I45" s="16">
        <f>COUNTIF('Complex-Prio-Sentiment'!T:T,"unexpected")/(COUNTA('Complex-Prio-Sentiment'!$Q:$Q)-1)</f>
        <v>0.46206896551724136</v>
      </c>
      <c r="J45" s="16">
        <f>COUNTIF('Complex-Prio-Sentiment'!T:T,"confused")/(COUNTA('Complex-Prio-Sentiment'!$Q:$Q)-1)</f>
        <v>0</v>
      </c>
      <c r="K45" s="10">
        <f>COUNTIF('Complex-Prio-Sentiment'!U:U,"yes")/(COUNTA('Complex-Prio-Sentiment'!$U:$U)-1)</f>
        <v>0</v>
      </c>
      <c r="L45" s="10">
        <f>COUNTIF('Complex-Prio-Sentiment'!U:U,"no")/(COUNTA('Complex-Prio-Sentiment'!$U:$U)-1)</f>
        <v>1</v>
      </c>
      <c r="M45">
        <f t="shared" si="0"/>
        <v>145</v>
      </c>
    </row>
    <row r="46" spans="1:13" x14ac:dyDescent="0.25">
      <c r="A46" t="s">
        <v>374</v>
      </c>
      <c r="B46" t="s">
        <v>1068</v>
      </c>
      <c r="C46">
        <f>COUNTIF('Complex-Prio-Sentiment'!$N:$N,"expected")</f>
        <v>126</v>
      </c>
      <c r="D46">
        <f>COUNTIF('Complex-Prio-Sentiment'!$N:$N,"unexpected")</f>
        <v>19</v>
      </c>
      <c r="E46">
        <f>COUNTIF('Complex-Prio-Sentiment'!$N:$N,"confused")</f>
        <v>0</v>
      </c>
      <c r="F46">
        <f>COUNTIF('Complex-Prio-Sentiment'!$O:$O,"yes")</f>
        <v>0</v>
      </c>
      <c r="G46">
        <f>COUNTIF('Complex-Prio-Sentiment'!$O:$O,"no")</f>
        <v>145</v>
      </c>
      <c r="H46" s="10">
        <f>COUNTIF('Complex-Prio-Sentiment'!$N:$N,"expected")/(COUNTA('Complex-Prio-Sentiment'!$N:$N)-1)</f>
        <v>0.86896551724137927</v>
      </c>
      <c r="I46" s="16">
        <f>COUNTIF('Complex-Prio-Sentiment'!N:N,"unexpected")/(COUNTA('Complex-Prio-Sentiment'!$N:$N)-1)</f>
        <v>0.1310344827586207</v>
      </c>
      <c r="J46" s="16">
        <f>COUNTIF('Complex-Prio-Sentiment'!N:N,"confused")/(COUNTA('Complex-Prio-Sentiment'!$N:$N)-1)</f>
        <v>0</v>
      </c>
      <c r="K46" s="10">
        <f>COUNTIF('Complex-Prio-Sentiment'!O:O,"yes")/(COUNTA('Complex-Prio-Sentiment'!$O:$O)-1)</f>
        <v>0</v>
      </c>
      <c r="L46" s="10">
        <f>COUNTIF('Complex-Prio-Sentiment'!O:O,"no")/(COUNTA('Complex-Prio-Sentiment'!$O:$O)-1)</f>
        <v>1</v>
      </c>
      <c r="M46">
        <f t="shared" si="0"/>
        <v>145</v>
      </c>
    </row>
    <row r="47" spans="1:13" x14ac:dyDescent="0.25">
      <c r="A47" t="s">
        <v>374</v>
      </c>
      <c r="B47" t="s">
        <v>390</v>
      </c>
      <c r="C47">
        <f>COUNTIF('Complex-Prio-Sentiment'!$H:$H,"expected")</f>
        <v>83</v>
      </c>
      <c r="D47">
        <f>COUNTIF('Complex-Prio-Sentiment'!$H:$H,"unexpected")</f>
        <v>62</v>
      </c>
      <c r="E47">
        <f>COUNTIF('Complex-Prio-Sentiment'!$H:$H,"confused")</f>
        <v>0</v>
      </c>
      <c r="F47">
        <f>COUNTIF('Complex-Prio-Sentiment'!$I:$I,"yes")</f>
        <v>0</v>
      </c>
      <c r="G47">
        <f>COUNTIF('Complex-Prio-Sentiment'!$I:$I,"no")</f>
        <v>145</v>
      </c>
      <c r="H47" s="10">
        <f>COUNTIF('Complex-Prio-Sentiment'!$H:$H,"expected")/(COUNTA('Complex-Prio-Sentiment'!$H:$H)-1)</f>
        <v>0.57241379310344831</v>
      </c>
      <c r="I47" s="16">
        <f>COUNTIF('Complex-Prio-Sentiment'!H:H,"unexpected")/(COUNTA('Complex-Prio-Sentiment'!$H:$H)-1)</f>
        <v>0.42758620689655175</v>
      </c>
      <c r="J47" s="16">
        <f>COUNTIF('Complex-Prio-Sentiment'!H:H,"confused")/(COUNTA('Complex-Prio-Sentiment'!$H:$H)-1)</f>
        <v>0</v>
      </c>
      <c r="K47" s="10">
        <f>COUNTIF('Complex-Prio-Sentiment'!I:I,"yes")/(COUNTA('Complex-Prio-Sentiment'!$H:$H)-1)</f>
        <v>0</v>
      </c>
      <c r="L47" s="10">
        <f>COUNTIF('Complex-Prio-Sentiment'!I:I,"no")/(COUNTA('Complex-Prio-Sentiment'!$H:$H)-1)</f>
        <v>1</v>
      </c>
      <c r="M47">
        <f t="shared" si="0"/>
        <v>145</v>
      </c>
    </row>
    <row r="48" spans="1:13" ht="5.45" customHeight="1" x14ac:dyDescent="0.25">
      <c r="A48" s="13"/>
      <c r="B48" s="13"/>
      <c r="C48" s="13"/>
      <c r="D48" s="13"/>
      <c r="E48" s="13"/>
      <c r="F48" s="13"/>
      <c r="G48" s="13"/>
      <c r="H48" s="14"/>
      <c r="I48" s="14"/>
      <c r="J48" s="14"/>
      <c r="K48" s="14"/>
      <c r="L48" s="14"/>
      <c r="M48" s="14"/>
    </row>
    <row r="49" spans="1:13" x14ac:dyDescent="0.25">
      <c r="A49" t="s">
        <v>2216</v>
      </c>
      <c r="B49" t="s">
        <v>1067</v>
      </c>
      <c r="C49" s="11">
        <f t="shared" ref="C49:G54" si="1">C30+C36+C42</f>
        <v>214</v>
      </c>
      <c r="D49" s="11">
        <f t="shared" si="1"/>
        <v>221</v>
      </c>
      <c r="E49" s="11">
        <f t="shared" si="1"/>
        <v>0</v>
      </c>
      <c r="F49" s="11">
        <f t="shared" si="1"/>
        <v>0</v>
      </c>
      <c r="G49" s="11">
        <f t="shared" si="1"/>
        <v>435</v>
      </c>
      <c r="H49" s="10">
        <f t="shared" ref="H49:H54" si="2">C49/(C49+D49+E49)</f>
        <v>0.49195402298850577</v>
      </c>
      <c r="I49" s="16">
        <f t="shared" ref="I49:J54" si="3">D49/$M49</f>
        <v>0.50804597701149423</v>
      </c>
      <c r="J49" s="16">
        <f t="shared" si="3"/>
        <v>0</v>
      </c>
      <c r="K49" s="10">
        <f t="shared" ref="K49:K54" si="4">F49/M49</f>
        <v>0</v>
      </c>
      <c r="L49" s="10">
        <f>G49/M49</f>
        <v>1</v>
      </c>
      <c r="M49" s="11">
        <f t="shared" ref="M49:M54" si="5">C49+D49+E49</f>
        <v>435</v>
      </c>
    </row>
    <row r="50" spans="1:13" x14ac:dyDescent="0.25">
      <c r="A50" t="s">
        <v>2216</v>
      </c>
      <c r="B50" t="s">
        <v>1065</v>
      </c>
      <c r="C50" s="11">
        <f t="shared" si="1"/>
        <v>243</v>
      </c>
      <c r="D50" s="11">
        <f t="shared" si="1"/>
        <v>192</v>
      </c>
      <c r="E50" s="11">
        <f t="shared" si="1"/>
        <v>0</v>
      </c>
      <c r="F50" s="11">
        <f t="shared" si="1"/>
        <v>0</v>
      </c>
      <c r="G50" s="11">
        <f t="shared" si="1"/>
        <v>435</v>
      </c>
      <c r="H50" s="10">
        <f t="shared" si="2"/>
        <v>0.55862068965517242</v>
      </c>
      <c r="I50" s="16">
        <f t="shared" si="3"/>
        <v>0.44137931034482758</v>
      </c>
      <c r="J50" s="16">
        <f t="shared" si="3"/>
        <v>0</v>
      </c>
      <c r="K50" s="10">
        <f t="shared" si="4"/>
        <v>0</v>
      </c>
      <c r="L50" s="10">
        <f>G50/M50</f>
        <v>1</v>
      </c>
      <c r="M50" s="11">
        <f t="shared" si="5"/>
        <v>435</v>
      </c>
    </row>
    <row r="51" spans="1:13" x14ac:dyDescent="0.25">
      <c r="A51" t="s">
        <v>2216</v>
      </c>
      <c r="B51" t="s">
        <v>6</v>
      </c>
      <c r="C51" s="11">
        <f t="shared" si="1"/>
        <v>240</v>
      </c>
      <c r="D51" s="11">
        <f t="shared" si="1"/>
        <v>193</v>
      </c>
      <c r="E51" s="11">
        <f t="shared" si="1"/>
        <v>2</v>
      </c>
      <c r="F51" s="11">
        <f t="shared" si="1"/>
        <v>47</v>
      </c>
      <c r="G51" s="11">
        <f t="shared" si="1"/>
        <v>388</v>
      </c>
      <c r="H51" s="10">
        <f t="shared" si="2"/>
        <v>0.55172413793103448</v>
      </c>
      <c r="I51" s="16">
        <f t="shared" si="3"/>
        <v>0.44367816091954021</v>
      </c>
      <c r="J51" s="16">
        <f t="shared" si="3"/>
        <v>4.5977011494252873E-3</v>
      </c>
      <c r="K51" s="10">
        <f t="shared" si="4"/>
        <v>0.10804597701149425</v>
      </c>
      <c r="L51" s="10">
        <f t="shared" ref="L51:L54" si="6">G51/M51</f>
        <v>0.89195402298850579</v>
      </c>
      <c r="M51" s="11">
        <f t="shared" si="5"/>
        <v>435</v>
      </c>
    </row>
    <row r="52" spans="1:13" x14ac:dyDescent="0.25">
      <c r="A52" t="s">
        <v>2216</v>
      </c>
      <c r="B52" t="s">
        <v>1064</v>
      </c>
      <c r="C52" s="11">
        <f t="shared" si="1"/>
        <v>245</v>
      </c>
      <c r="D52" s="11">
        <f t="shared" si="1"/>
        <v>190</v>
      </c>
      <c r="E52" s="11">
        <f t="shared" si="1"/>
        <v>0</v>
      </c>
      <c r="F52" s="11">
        <f t="shared" si="1"/>
        <v>0</v>
      </c>
      <c r="G52" s="11">
        <f t="shared" si="1"/>
        <v>435</v>
      </c>
      <c r="H52" s="10">
        <f t="shared" si="2"/>
        <v>0.56321839080459768</v>
      </c>
      <c r="I52" s="16">
        <f t="shared" si="3"/>
        <v>0.43678160919540232</v>
      </c>
      <c r="J52" s="16">
        <f t="shared" si="3"/>
        <v>0</v>
      </c>
      <c r="K52" s="10">
        <f t="shared" si="4"/>
        <v>0</v>
      </c>
      <c r="L52" s="10">
        <f t="shared" si="6"/>
        <v>1</v>
      </c>
      <c r="M52" s="11">
        <f t="shared" si="5"/>
        <v>435</v>
      </c>
    </row>
    <row r="53" spans="1:13" x14ac:dyDescent="0.25">
      <c r="A53" t="s">
        <v>2216</v>
      </c>
      <c r="B53" t="s">
        <v>1068</v>
      </c>
      <c r="C53" s="11">
        <f t="shared" si="1"/>
        <v>376</v>
      </c>
      <c r="D53" s="11">
        <f t="shared" si="1"/>
        <v>59</v>
      </c>
      <c r="E53" s="11">
        <f t="shared" si="1"/>
        <v>0</v>
      </c>
      <c r="F53" s="11">
        <f t="shared" si="1"/>
        <v>0</v>
      </c>
      <c r="G53" s="11">
        <f t="shared" si="1"/>
        <v>435</v>
      </c>
      <c r="H53" s="10">
        <f t="shared" si="2"/>
        <v>0.86436781609195401</v>
      </c>
      <c r="I53" s="16">
        <f t="shared" si="3"/>
        <v>0.13563218390804599</v>
      </c>
      <c r="J53" s="16">
        <f t="shared" si="3"/>
        <v>0</v>
      </c>
      <c r="K53" s="10">
        <f t="shared" si="4"/>
        <v>0</v>
      </c>
      <c r="L53" s="10">
        <f t="shared" si="6"/>
        <v>1</v>
      </c>
      <c r="M53" s="11">
        <f t="shared" si="5"/>
        <v>435</v>
      </c>
    </row>
    <row r="54" spans="1:13" x14ac:dyDescent="0.25">
      <c r="A54" t="s">
        <v>2216</v>
      </c>
      <c r="B54" t="s">
        <v>390</v>
      </c>
      <c r="C54" s="11">
        <f t="shared" si="1"/>
        <v>257</v>
      </c>
      <c r="D54" s="11">
        <f t="shared" si="1"/>
        <v>178</v>
      </c>
      <c r="E54" s="11">
        <f t="shared" si="1"/>
        <v>0</v>
      </c>
      <c r="F54" s="11">
        <f t="shared" si="1"/>
        <v>0</v>
      </c>
      <c r="G54" s="11">
        <f t="shared" si="1"/>
        <v>435</v>
      </c>
      <c r="H54" s="10">
        <f t="shared" si="2"/>
        <v>0.59080459770114946</v>
      </c>
      <c r="I54" s="16">
        <f t="shared" si="3"/>
        <v>0.4091954022988506</v>
      </c>
      <c r="J54" s="16">
        <f t="shared" si="3"/>
        <v>0</v>
      </c>
      <c r="K54" s="10">
        <f t="shared" si="4"/>
        <v>0</v>
      </c>
      <c r="L54" s="10">
        <f t="shared" si="6"/>
        <v>1</v>
      </c>
      <c r="M54" s="11">
        <f t="shared" si="5"/>
        <v>435</v>
      </c>
    </row>
    <row r="55" spans="1:13" ht="5.45" customHeight="1" x14ac:dyDescent="0.25">
      <c r="A55" s="13"/>
      <c r="B55" s="13"/>
      <c r="C55" s="13"/>
      <c r="D55" s="13"/>
      <c r="E55" s="13"/>
      <c r="F55" s="13"/>
      <c r="G55" s="13"/>
      <c r="H55" s="14"/>
      <c r="I55" s="14"/>
      <c r="J55" s="14"/>
      <c r="K55" s="14"/>
      <c r="L55" s="14"/>
      <c r="M55" s="14"/>
    </row>
    <row r="57" spans="1:13" x14ac:dyDescent="0.25">
      <c r="A57" s="7" t="s">
        <v>4</v>
      </c>
      <c r="B57" s="7" t="s">
        <v>375</v>
      </c>
      <c r="C57" s="18" t="s">
        <v>1157</v>
      </c>
      <c r="D57" s="18" t="s">
        <v>376</v>
      </c>
      <c r="E57" s="18" t="s">
        <v>377</v>
      </c>
      <c r="F57" s="18" t="s">
        <v>378</v>
      </c>
    </row>
    <row r="58" spans="1:13" x14ac:dyDescent="0.25">
      <c r="A58" t="s">
        <v>369</v>
      </c>
      <c r="B58" s="19">
        <f>AVERAGE('Simple untuned'!$Y:$Y)</f>
        <v>393.52903225806449</v>
      </c>
      <c r="C58">
        <v>1</v>
      </c>
      <c r="D58">
        <v>1</v>
      </c>
      <c r="E58">
        <v>1</v>
      </c>
      <c r="F58">
        <f>COUNTA('Simple untuned'!$Y:$Y)-1</f>
        <v>155</v>
      </c>
    </row>
    <row r="59" spans="1:13" x14ac:dyDescent="0.25">
      <c r="A59" t="s">
        <v>370</v>
      </c>
      <c r="B59" s="19">
        <f>AVERAGE('Comple untuned'!Y:Y)</f>
        <v>619.24827586206902</v>
      </c>
      <c r="C59">
        <v>3</v>
      </c>
      <c r="D59">
        <v>3</v>
      </c>
      <c r="E59">
        <v>1</v>
      </c>
      <c r="F59">
        <f>COUNTA('Comple untuned'!Y:Y)-1</f>
        <v>145</v>
      </c>
    </row>
    <row r="60" spans="1:13" x14ac:dyDescent="0.25">
      <c r="A60" t="s">
        <v>371</v>
      </c>
      <c r="B60" s="19">
        <f>AVERAGE(Simple!$Y:$Y)</f>
        <v>449.18709677419355</v>
      </c>
      <c r="C60">
        <v>2</v>
      </c>
      <c r="D60">
        <v>1</v>
      </c>
      <c r="E60">
        <v>3</v>
      </c>
      <c r="F60">
        <f>COUNTA(Simple!$Y:$Y)-1</f>
        <v>155</v>
      </c>
    </row>
    <row r="61" spans="1:13" x14ac:dyDescent="0.25">
      <c r="A61" t="s">
        <v>372</v>
      </c>
      <c r="B61" s="19">
        <f>AVERAGE(Complex!Y:Y)</f>
        <v>707.24827586206902</v>
      </c>
      <c r="C61">
        <v>4</v>
      </c>
      <c r="D61">
        <v>3</v>
      </c>
      <c r="E61">
        <v>3</v>
      </c>
      <c r="F61">
        <f>COUNTA(Complex!Y:Y)-1</f>
        <v>145</v>
      </c>
    </row>
    <row r="62" spans="1:13" x14ac:dyDescent="0.25">
      <c r="A62" t="s">
        <v>373</v>
      </c>
      <c r="B62" s="19">
        <f>AVERAGE('Complex-Prio-Profession'!Y:Y)</f>
        <v>766.24827586206902</v>
      </c>
      <c r="C62">
        <v>5</v>
      </c>
      <c r="D62">
        <v>3</v>
      </c>
      <c r="E62">
        <v>4</v>
      </c>
      <c r="F62">
        <f>COUNTA('Complex-Prio-Profession'!Y:Y)-1</f>
        <v>145</v>
      </c>
    </row>
    <row r="63" spans="1:13" x14ac:dyDescent="0.25">
      <c r="A63" t="s">
        <v>367</v>
      </c>
      <c r="B63" s="19">
        <f>AVERAGE('Complex-Prio-Food'!Y:Y)</f>
        <v>766.24827586206902</v>
      </c>
      <c r="C63">
        <v>5</v>
      </c>
      <c r="D63">
        <v>3</v>
      </c>
      <c r="E63">
        <v>4</v>
      </c>
      <c r="F63">
        <f>COUNTA('Complex-Prio-Food'!S:S)-1</f>
        <v>145</v>
      </c>
    </row>
    <row r="64" spans="1:13" x14ac:dyDescent="0.25">
      <c r="A64" t="s">
        <v>374</v>
      </c>
      <c r="B64" s="19">
        <f>AVERAGE('Complex-Prio-Sentiment'!Y:Y)</f>
        <v>766.24827586206902</v>
      </c>
      <c r="C64">
        <v>5</v>
      </c>
      <c r="D64">
        <v>3</v>
      </c>
      <c r="E64">
        <v>4</v>
      </c>
      <c r="F64">
        <f>COUNTA('Complex-Prio-Sentiment'!S:S)-1</f>
        <v>145</v>
      </c>
    </row>
    <row r="65" spans="1:13" ht="4.5" customHeight="1" x14ac:dyDescent="0.25">
      <c r="A65" s="13"/>
      <c r="B65" s="13"/>
      <c r="C65" s="13"/>
      <c r="D65" s="13"/>
      <c r="E65" s="13"/>
      <c r="F65" s="13"/>
    </row>
    <row r="69" spans="1:13" x14ac:dyDescent="0.25">
      <c r="J69" s="16"/>
    </row>
    <row r="70" spans="1:13" x14ac:dyDescent="0.25">
      <c r="A70" s="7" t="s">
        <v>4</v>
      </c>
      <c r="B70" s="7" t="s">
        <v>5</v>
      </c>
      <c r="C70" s="7" t="s">
        <v>363</v>
      </c>
      <c r="D70" s="7" t="s">
        <v>364</v>
      </c>
      <c r="E70" s="7" t="s">
        <v>2215</v>
      </c>
      <c r="F70" s="7" t="s">
        <v>366</v>
      </c>
      <c r="G70" s="7" t="s">
        <v>365</v>
      </c>
      <c r="H70" s="7" t="s">
        <v>363</v>
      </c>
      <c r="I70" s="7" t="s">
        <v>364</v>
      </c>
      <c r="J70" s="7" t="s">
        <v>2215</v>
      </c>
      <c r="K70" s="7" t="s">
        <v>366</v>
      </c>
      <c r="L70" s="7" t="s">
        <v>365</v>
      </c>
      <c r="M70" s="18" t="s">
        <v>378</v>
      </c>
    </row>
    <row r="71" spans="1:13" x14ac:dyDescent="0.25">
      <c r="A71" t="s">
        <v>369</v>
      </c>
      <c r="B71" t="s">
        <v>2197</v>
      </c>
      <c r="C71">
        <f>SUM(C2:C7)</f>
        <v>782</v>
      </c>
      <c r="D71">
        <f>SUM(D2:D7)</f>
        <v>105</v>
      </c>
      <c r="E71">
        <f>SUM(E2:E7)</f>
        <v>43</v>
      </c>
      <c r="F71">
        <f>SUM(F2:F7)</f>
        <v>483</v>
      </c>
      <c r="G71">
        <f>SUM(G2:G7)</f>
        <v>447</v>
      </c>
      <c r="H71" s="10">
        <f>C71/(C71+D71+E71)</f>
        <v>0.8408602150537634</v>
      </c>
      <c r="I71" s="16">
        <f>AVERAGE(I2:I7)</f>
        <v>0.11290322580645161</v>
      </c>
      <c r="J71" s="16">
        <f>AVERAGE(J2:J7)</f>
        <v>4.6236559139784944E-2</v>
      </c>
      <c r="K71" s="10">
        <f>AVERAGE(K2:K7)</f>
        <v>0.51935483870967747</v>
      </c>
      <c r="L71" s="10">
        <f>AVERAGE(L2:L7)</f>
        <v>0.48064516129032259</v>
      </c>
      <c r="M71">
        <f>C71+D71+E71</f>
        <v>930</v>
      </c>
    </row>
    <row r="72" spans="1:13" x14ac:dyDescent="0.25">
      <c r="A72" t="s">
        <v>371</v>
      </c>
      <c r="B72" t="s">
        <v>2197</v>
      </c>
      <c r="C72">
        <f>SUM(C16:C21)</f>
        <v>748</v>
      </c>
      <c r="D72">
        <f>SUM(D16:D21)</f>
        <v>149</v>
      </c>
      <c r="E72">
        <f>SUM(E16:E21)</f>
        <v>33</v>
      </c>
      <c r="F72">
        <f>SUM(F16:F21)</f>
        <v>8</v>
      </c>
      <c r="G72">
        <f>SUM(G16:G21)</f>
        <v>922</v>
      </c>
      <c r="H72" s="10">
        <f>C72/(C72+D72+E72)</f>
        <v>0.80430107526881722</v>
      </c>
      <c r="I72" s="16">
        <f>AVERAGE(I16:I21)</f>
        <v>0.16021505376344086</v>
      </c>
      <c r="J72" s="16">
        <f>AVERAGE(J16:J21)</f>
        <v>2.3655913978494623E-2</v>
      </c>
      <c r="K72" s="10">
        <f>AVERAGE(K16:K21)</f>
        <v>8.6021505376344086E-3</v>
      </c>
      <c r="L72" s="10">
        <f>AVERAGE(L16:L21)</f>
        <v>0.99139784946236553</v>
      </c>
      <c r="M72">
        <f t="shared" ref="M72:M87" si="7">C72+D72+E72</f>
        <v>930</v>
      </c>
    </row>
    <row r="73" spans="1:13" x14ac:dyDescent="0.25">
      <c r="A73" t="s">
        <v>370</v>
      </c>
      <c r="B73" t="s">
        <v>2197</v>
      </c>
      <c r="C73">
        <f>SUM(C9:C14)</f>
        <v>629</v>
      </c>
      <c r="D73">
        <f>SUM(D9:D14)</f>
        <v>185</v>
      </c>
      <c r="E73">
        <f>SUM(E9:E14)</f>
        <v>56</v>
      </c>
      <c r="F73">
        <f>SUM(F9:F14)</f>
        <v>522</v>
      </c>
      <c r="G73">
        <f>SUM(G9:G14)</f>
        <v>282</v>
      </c>
      <c r="H73" s="10">
        <f>C73/(C73+D73+E73)</f>
        <v>0.72298850574712648</v>
      </c>
      <c r="I73" s="16">
        <f>AVERAGE(I9:I14)</f>
        <v>0.21264367816091956</v>
      </c>
      <c r="J73" s="16">
        <f>AVERAGE(J9:J14)</f>
        <v>6.4367816091954008E-2</v>
      </c>
      <c r="K73" s="10">
        <f>AVERAGE(K9:K14)</f>
        <v>0.6</v>
      </c>
      <c r="L73" s="10">
        <f>AVERAGE(L9:L14)</f>
        <v>0.32413793103448274</v>
      </c>
      <c r="M73">
        <f t="shared" si="7"/>
        <v>870</v>
      </c>
    </row>
    <row r="74" spans="1:13" x14ac:dyDescent="0.25">
      <c r="A74" t="s">
        <v>372</v>
      </c>
      <c r="B74" t="s">
        <v>2197</v>
      </c>
      <c r="C74">
        <f>SUM(C23:C28)</f>
        <v>653</v>
      </c>
      <c r="D74">
        <f>SUM(D23:D28)</f>
        <v>216</v>
      </c>
      <c r="E74">
        <f>SUM(E23:E28)</f>
        <v>1</v>
      </c>
      <c r="F74">
        <f>SUM(F23:F28)</f>
        <v>38</v>
      </c>
      <c r="G74">
        <f>SUM(G23:G28)</f>
        <v>832</v>
      </c>
      <c r="H74" s="10">
        <f>C74/(C74+D74+E74)</f>
        <v>0.75057471264367814</v>
      </c>
      <c r="I74" s="16">
        <f>AVERAGE(I23:I28)</f>
        <v>0.24827586206896554</v>
      </c>
      <c r="J74" s="16">
        <f>AVERAGE(J23:J28)</f>
        <v>1.1494252873563218E-3</v>
      </c>
      <c r="K74" s="10">
        <f>AVERAGE(K23:K28)</f>
        <v>4.3678160919540236E-2</v>
      </c>
      <c r="L74" s="10">
        <f>AVERAGE(L23:L28)</f>
        <v>0.95632183908045976</v>
      </c>
      <c r="M74">
        <f t="shared" si="7"/>
        <v>870</v>
      </c>
    </row>
    <row r="75" spans="1:13" x14ac:dyDescent="0.25">
      <c r="A75" t="s">
        <v>2196</v>
      </c>
      <c r="B75" t="s">
        <v>2197</v>
      </c>
      <c r="C75">
        <f>SUM(C30:C47)</f>
        <v>1575</v>
      </c>
      <c r="D75">
        <f>SUM(D30:D47)</f>
        <v>1033</v>
      </c>
      <c r="E75">
        <f>SUM(E30:E47)</f>
        <v>2</v>
      </c>
      <c r="F75">
        <f>SUM(F30:F47)</f>
        <v>47</v>
      </c>
      <c r="G75">
        <f>SUM(G30:G47)</f>
        <v>2563</v>
      </c>
      <c r="H75" s="10">
        <f>C75/(C75+D75+E75)</f>
        <v>0.60344827586206895</v>
      </c>
      <c r="I75" s="16">
        <f>D75/(C75+D75+E75)</f>
        <v>0.39578544061302684</v>
      </c>
      <c r="J75" s="16">
        <f>E75/(C75+D75+E75)</f>
        <v>7.6628352490421458E-4</v>
      </c>
      <c r="K75" s="10">
        <f>F75/(F75+G75)</f>
        <v>1.8007662835249041E-2</v>
      </c>
      <c r="L75" s="10">
        <f>G75/(F75+G75)</f>
        <v>0.98199233716475098</v>
      </c>
      <c r="M75">
        <f t="shared" si="7"/>
        <v>2610</v>
      </c>
    </row>
    <row r="76" spans="1:13" ht="6" customHeight="1" x14ac:dyDescent="0.25">
      <c r="A76" s="13"/>
      <c r="B76" s="13"/>
      <c r="C76" s="13"/>
      <c r="D76" s="13"/>
      <c r="E76" s="13"/>
      <c r="F76" s="13"/>
      <c r="G76" s="13"/>
      <c r="H76" s="14"/>
      <c r="I76" s="14"/>
      <c r="J76" s="14"/>
      <c r="K76" s="14"/>
      <c r="L76" s="14"/>
      <c r="M76" s="14"/>
    </row>
    <row r="77" spans="1:13" x14ac:dyDescent="0.25">
      <c r="A77" t="s">
        <v>369</v>
      </c>
      <c r="B77" t="s">
        <v>2213</v>
      </c>
      <c r="C77">
        <f>SUM(C5:C7)</f>
        <v>391</v>
      </c>
      <c r="D77">
        <f>SUM(D5:D7)</f>
        <v>56</v>
      </c>
      <c r="E77">
        <f>SUM(E5:E7)</f>
        <v>18</v>
      </c>
      <c r="F77">
        <f>SUM(F5:F7)</f>
        <v>98</v>
      </c>
      <c r="G77">
        <f>SUM(G5:G7)</f>
        <v>367</v>
      </c>
      <c r="H77" s="10">
        <f>C77/(C77+D77+E77)</f>
        <v>0.8408602150537634</v>
      </c>
      <c r="I77" s="16">
        <f t="shared" ref="I77:I87" si="8">D77/(C77+D77+E77)</f>
        <v>0.12043010752688173</v>
      </c>
      <c r="J77" s="16">
        <f t="shared" ref="J77:J87" si="9">E77/(C77+D77+E77)</f>
        <v>3.870967741935484E-2</v>
      </c>
      <c r="K77" s="10">
        <f>F77/(F77+G77)</f>
        <v>0.21075268817204301</v>
      </c>
      <c r="L77" s="10">
        <f>G77/(F77+G77)</f>
        <v>0.78924731182795704</v>
      </c>
      <c r="M77">
        <f t="shared" si="7"/>
        <v>465</v>
      </c>
    </row>
    <row r="78" spans="1:13" x14ac:dyDescent="0.25">
      <c r="A78" t="s">
        <v>371</v>
      </c>
      <c r="B78" t="s">
        <v>2213</v>
      </c>
      <c r="C78">
        <f>SUM(C19:C21)</f>
        <v>406</v>
      </c>
      <c r="D78">
        <f>SUM(D19:D21)</f>
        <v>59</v>
      </c>
      <c r="E78">
        <f>SUM(E19:E21)</f>
        <v>0</v>
      </c>
      <c r="F78">
        <f>SUM(F19:F21)</f>
        <v>0</v>
      </c>
      <c r="G78">
        <f>SUM(G19:G21)</f>
        <v>465</v>
      </c>
      <c r="H78" s="10">
        <f t="shared" ref="H78:H81" si="10">C78/(C78+D78+E78)</f>
        <v>0.87311827956989252</v>
      </c>
      <c r="I78" s="16">
        <f t="shared" si="8"/>
        <v>0.12688172043010754</v>
      </c>
      <c r="J78" s="16">
        <f t="shared" si="9"/>
        <v>0</v>
      </c>
      <c r="K78" s="10">
        <f t="shared" ref="K78:K87" si="11">F78/(F78+G78)</f>
        <v>0</v>
      </c>
      <c r="L78" s="10">
        <f t="shared" ref="L78:L87" si="12">G78/(F78+G78)</f>
        <v>1</v>
      </c>
      <c r="M78">
        <f t="shared" si="7"/>
        <v>465</v>
      </c>
    </row>
    <row r="79" spans="1:13" x14ac:dyDescent="0.25">
      <c r="A79" t="s">
        <v>370</v>
      </c>
      <c r="B79" t="s">
        <v>2213</v>
      </c>
      <c r="C79">
        <f>SUM(C12:C14)</f>
        <v>323</v>
      </c>
      <c r="D79">
        <f>SUM(D12:D14)</f>
        <v>75</v>
      </c>
      <c r="E79">
        <f>SUM(E12:E14)</f>
        <v>37</v>
      </c>
      <c r="F79">
        <f>SUM(F12:F14)</f>
        <v>179</v>
      </c>
      <c r="G79">
        <f>SUM(G12:G14)</f>
        <v>256</v>
      </c>
      <c r="H79" s="10">
        <f t="shared" si="10"/>
        <v>0.74252873563218391</v>
      </c>
      <c r="I79" s="16">
        <f t="shared" si="8"/>
        <v>0.17241379310344829</v>
      </c>
      <c r="J79" s="16">
        <f t="shared" si="9"/>
        <v>8.5057471264367815E-2</v>
      </c>
      <c r="K79" s="10">
        <f t="shared" si="11"/>
        <v>0.41149425287356323</v>
      </c>
      <c r="L79" s="10">
        <f t="shared" si="12"/>
        <v>0.58850574712643677</v>
      </c>
      <c r="M79">
        <f t="shared" si="7"/>
        <v>435</v>
      </c>
    </row>
    <row r="80" spans="1:13" x14ac:dyDescent="0.25">
      <c r="A80" t="s">
        <v>372</v>
      </c>
      <c r="B80" t="s">
        <v>2213</v>
      </c>
      <c r="C80">
        <f>SUM(C26:C28)</f>
        <v>337</v>
      </c>
      <c r="D80">
        <f>SUM(D26:D28)</f>
        <v>98</v>
      </c>
      <c r="E80">
        <f>SUM(E26:E28)</f>
        <v>0</v>
      </c>
      <c r="F80">
        <f>SUM(F26:F28)</f>
        <v>0</v>
      </c>
      <c r="G80">
        <f>SUM(G26:G28)</f>
        <v>435</v>
      </c>
      <c r="H80" s="10">
        <f t="shared" si="10"/>
        <v>0.77471264367816095</v>
      </c>
      <c r="I80" s="16">
        <f t="shared" si="8"/>
        <v>0.22528735632183908</v>
      </c>
      <c r="J80" s="16">
        <f t="shared" si="9"/>
        <v>0</v>
      </c>
      <c r="K80" s="10">
        <f t="shared" si="11"/>
        <v>0</v>
      </c>
      <c r="L80" s="10">
        <f t="shared" si="12"/>
        <v>1</v>
      </c>
      <c r="M80">
        <f t="shared" si="7"/>
        <v>435</v>
      </c>
    </row>
    <row r="81" spans="1:13" x14ac:dyDescent="0.25">
      <c r="A81" t="s">
        <v>2196</v>
      </c>
      <c r="B81" t="s">
        <v>2213</v>
      </c>
      <c r="C81">
        <f>(SUM(C30:C32)+SUM(C36:C38)+SUM(C42:C44))</f>
        <v>697</v>
      </c>
      <c r="D81">
        <f>(SUM(D30:D32)+SUM(D36:D38)+SUM(D42:D44))</f>
        <v>606</v>
      </c>
      <c r="E81">
        <f>(SUM(E30:E32)+SUM(E36:E38)+SUM(E42:E44))</f>
        <v>2</v>
      </c>
      <c r="F81">
        <f>(SUM(F30:F32)+SUM(F36:F38)+SUM(F42:F44))</f>
        <v>47</v>
      </c>
      <c r="G81">
        <f>(SUM(G30:G32)+SUM(G36:G38)+SUM(G42:G44))</f>
        <v>1258</v>
      </c>
      <c r="H81" s="10">
        <f t="shared" si="10"/>
        <v>0.53409961685823759</v>
      </c>
      <c r="I81" s="16">
        <f t="shared" si="8"/>
        <v>0.46436781609195404</v>
      </c>
      <c r="J81" s="16">
        <f t="shared" si="9"/>
        <v>1.5325670498084292E-3</v>
      </c>
      <c r="K81" s="10">
        <f t="shared" si="11"/>
        <v>3.6015325670498081E-2</v>
      </c>
      <c r="L81" s="10">
        <f t="shared" si="12"/>
        <v>0.96398467432950197</v>
      </c>
      <c r="M81">
        <f t="shared" si="7"/>
        <v>1305</v>
      </c>
    </row>
    <row r="82" spans="1:13" ht="6" customHeight="1" x14ac:dyDescent="0.25">
      <c r="A82" s="13"/>
      <c r="B82" s="13"/>
      <c r="C82" s="13"/>
      <c r="D82" s="13"/>
      <c r="E82" s="13"/>
      <c r="F82" s="13"/>
      <c r="G82" s="13"/>
      <c r="H82" s="14"/>
      <c r="I82" s="14"/>
      <c r="J82" s="14"/>
      <c r="K82" s="14"/>
      <c r="L82" s="14"/>
      <c r="M82" s="14"/>
    </row>
    <row r="83" spans="1:13" x14ac:dyDescent="0.25">
      <c r="A83" t="s">
        <v>369</v>
      </c>
      <c r="B83" t="s">
        <v>2214</v>
      </c>
      <c r="C83">
        <f>SUM(C2:C4)</f>
        <v>391</v>
      </c>
      <c r="D83">
        <f>SUM(D2:D4)</f>
        <v>49</v>
      </c>
      <c r="E83">
        <f>SUM(E2:E4)</f>
        <v>25</v>
      </c>
      <c r="F83">
        <f>SUM(F2:F4)</f>
        <v>385</v>
      </c>
      <c r="G83">
        <f>SUM(G2:G4)</f>
        <v>80</v>
      </c>
      <c r="H83" s="10">
        <f>C83/(C83+D83+E83)</f>
        <v>0.8408602150537634</v>
      </c>
      <c r="I83" s="16">
        <f t="shared" si="8"/>
        <v>0.10537634408602151</v>
      </c>
      <c r="J83" s="16">
        <f t="shared" si="9"/>
        <v>5.3763440860215055E-2</v>
      </c>
      <c r="K83" s="10">
        <f t="shared" si="11"/>
        <v>0.82795698924731187</v>
      </c>
      <c r="L83" s="10">
        <f t="shared" si="12"/>
        <v>0.17204301075268819</v>
      </c>
      <c r="M83">
        <f t="shared" si="7"/>
        <v>465</v>
      </c>
    </row>
    <row r="84" spans="1:13" x14ac:dyDescent="0.25">
      <c r="A84" t="s">
        <v>371</v>
      </c>
      <c r="B84" t="s">
        <v>2214</v>
      </c>
      <c r="C84">
        <f>SUM(C16:C18)</f>
        <v>342</v>
      </c>
      <c r="D84">
        <f>SUM(D16:D18)</f>
        <v>90</v>
      </c>
      <c r="E84">
        <f>SUM(E16:E18)</f>
        <v>33</v>
      </c>
      <c r="F84">
        <f>SUM(F16:F18)</f>
        <v>8</v>
      </c>
      <c r="G84">
        <f>SUM(G16:G18)</f>
        <v>457</v>
      </c>
      <c r="H84" s="10">
        <f t="shared" ref="H84:H87" si="13">C84/(C84+D84+E84)</f>
        <v>0.73548387096774193</v>
      </c>
      <c r="I84" s="16">
        <f t="shared" si="8"/>
        <v>0.19354838709677419</v>
      </c>
      <c r="J84" s="16">
        <f t="shared" si="9"/>
        <v>7.0967741935483872E-2</v>
      </c>
      <c r="K84" s="10">
        <f t="shared" si="11"/>
        <v>1.7204301075268817E-2</v>
      </c>
      <c r="L84" s="10">
        <f t="shared" si="12"/>
        <v>0.98279569892473118</v>
      </c>
      <c r="M84">
        <f t="shared" si="7"/>
        <v>465</v>
      </c>
    </row>
    <row r="85" spans="1:13" x14ac:dyDescent="0.25">
      <c r="A85" t="s">
        <v>370</v>
      </c>
      <c r="B85" t="s">
        <v>2214</v>
      </c>
      <c r="C85">
        <f>SUM(C9:C11)</f>
        <v>306</v>
      </c>
      <c r="D85">
        <f>SUM(D9:D11)</f>
        <v>110</v>
      </c>
      <c r="E85">
        <f>SUM(E9:E11)</f>
        <v>19</v>
      </c>
      <c r="F85">
        <f>SUM(F9:F11)</f>
        <v>343</v>
      </c>
      <c r="G85">
        <f>SUM(G9:G11)</f>
        <v>26</v>
      </c>
      <c r="H85" s="10">
        <f t="shared" si="13"/>
        <v>0.70344827586206893</v>
      </c>
      <c r="I85" s="16">
        <f t="shared" si="8"/>
        <v>0.25287356321839083</v>
      </c>
      <c r="J85" s="16">
        <f t="shared" si="9"/>
        <v>4.3678160919540229E-2</v>
      </c>
      <c r="K85" s="10">
        <f t="shared" si="11"/>
        <v>0.92953929539295388</v>
      </c>
      <c r="L85" s="10">
        <f t="shared" si="12"/>
        <v>7.0460704607046065E-2</v>
      </c>
      <c r="M85">
        <f t="shared" si="7"/>
        <v>435</v>
      </c>
    </row>
    <row r="86" spans="1:13" x14ac:dyDescent="0.25">
      <c r="A86" t="s">
        <v>372</v>
      </c>
      <c r="B86" t="s">
        <v>2214</v>
      </c>
      <c r="C86">
        <f>SUM(C23:C25)</f>
        <v>316</v>
      </c>
      <c r="D86">
        <f>SUM(D23:D25)</f>
        <v>118</v>
      </c>
      <c r="E86">
        <f>SUM(E23:E25)</f>
        <v>1</v>
      </c>
      <c r="F86">
        <f>SUM(F23:F25)</f>
        <v>38</v>
      </c>
      <c r="G86">
        <f>SUM(G23:G25)</f>
        <v>397</v>
      </c>
      <c r="H86" s="10">
        <f t="shared" si="13"/>
        <v>0.72643678160919545</v>
      </c>
      <c r="I86" s="16">
        <f t="shared" si="8"/>
        <v>0.27126436781609198</v>
      </c>
      <c r="J86" s="16">
        <f t="shared" si="9"/>
        <v>2.2988505747126436E-3</v>
      </c>
      <c r="K86" s="10">
        <f t="shared" si="11"/>
        <v>8.7356321839080459E-2</v>
      </c>
      <c r="L86" s="10">
        <f t="shared" si="12"/>
        <v>0.91264367816091951</v>
      </c>
      <c r="M86">
        <f t="shared" si="7"/>
        <v>435</v>
      </c>
    </row>
    <row r="87" spans="1:13" x14ac:dyDescent="0.25">
      <c r="A87" t="s">
        <v>2196</v>
      </c>
      <c r="B87" t="s">
        <v>2214</v>
      </c>
      <c r="C87">
        <f>(SUM(C33:C35)+SUM(C39:C41)+SUM(C45:C47))</f>
        <v>878</v>
      </c>
      <c r="D87">
        <f>(SUM(D33:D35)+SUM(D39:D41)+SUM(D45:D47))</f>
        <v>427</v>
      </c>
      <c r="E87">
        <f>(SUM(E33:E35)+SUM(E39:E41)+SUM(E45:E47))</f>
        <v>0</v>
      </c>
      <c r="F87">
        <f>(SUM(F33:F35)+SUM(F39:F41)+SUM(F45:F47))</f>
        <v>0</v>
      </c>
      <c r="G87">
        <f>(SUM(G33:G35)+SUM(G39:G41)+SUM(G45:G47))</f>
        <v>1305</v>
      </c>
      <c r="H87" s="10">
        <f t="shared" si="13"/>
        <v>0.67279693486590042</v>
      </c>
      <c r="I87" s="16">
        <f t="shared" si="8"/>
        <v>0.32720306513409964</v>
      </c>
      <c r="J87" s="16">
        <f t="shared" si="9"/>
        <v>0</v>
      </c>
      <c r="K87" s="10">
        <f t="shared" si="11"/>
        <v>0</v>
      </c>
      <c r="L87" s="10">
        <f t="shared" si="12"/>
        <v>1</v>
      </c>
      <c r="M87">
        <f t="shared" si="7"/>
        <v>1305</v>
      </c>
    </row>
    <row r="88" spans="1:13" ht="6" customHeight="1" x14ac:dyDescent="0.25">
      <c r="A88" s="13"/>
      <c r="B88" s="13"/>
      <c r="C88" s="13"/>
      <c r="D88" s="13"/>
      <c r="E88" s="13"/>
      <c r="F88" s="13"/>
      <c r="G88" s="13"/>
      <c r="H88" s="14"/>
      <c r="I88" s="14"/>
      <c r="J88" s="14"/>
      <c r="K88" s="14"/>
      <c r="L88" s="14"/>
      <c r="M88" s="14"/>
    </row>
    <row r="93" spans="1:13" x14ac:dyDescent="0.25">
      <c r="D93">
        <f>SUM(D24:D29)</f>
        <v>169</v>
      </c>
    </row>
  </sheetData>
  <autoFilter ref="A1:L47" xr:uid="{27CFDAE9-696E-475D-BFE6-883FA50DC0EE}">
    <sortState xmlns:xlrd2="http://schemas.microsoft.com/office/spreadsheetml/2017/richdata2" ref="A23:L47">
      <sortCondition ref="A1:A47"/>
    </sortState>
  </autoFilter>
  <conditionalFormatting sqref="H2:H47">
    <cfRule type="colorScale" priority="49">
      <colorScale>
        <cfvo type="min"/>
        <cfvo type="max"/>
        <color rgb="FFFCFCFF"/>
        <color rgb="FF63BE7B"/>
      </colorScale>
    </cfRule>
  </conditionalFormatting>
  <conditionalFormatting sqref="H49:H54">
    <cfRule type="colorScale" priority="21">
      <colorScale>
        <cfvo type="min"/>
        <cfvo type="max"/>
        <color rgb="FFFCFCFF"/>
        <color rgb="FF63BE7B"/>
      </colorScale>
    </cfRule>
  </conditionalFormatting>
  <conditionalFormatting sqref="H71:H75">
    <cfRule type="colorScale" priority="27">
      <colorScale>
        <cfvo type="min"/>
        <cfvo type="max"/>
        <color rgb="FFFCFCFF"/>
        <color rgb="FF63BE7B"/>
      </colorScale>
    </cfRule>
  </conditionalFormatting>
  <conditionalFormatting sqref="H77:H81">
    <cfRule type="colorScale" priority="26">
      <colorScale>
        <cfvo type="min"/>
        <cfvo type="max"/>
        <color rgb="FFFCFCFF"/>
        <color rgb="FF63BE7B"/>
      </colorScale>
    </cfRule>
  </conditionalFormatting>
  <conditionalFormatting sqref="H83:H87">
    <cfRule type="colorScale" priority="25">
      <colorScale>
        <cfvo type="min"/>
        <cfvo type="max"/>
        <color rgb="FFFCFCFF"/>
        <color rgb="FF63BE7B"/>
      </colorScale>
    </cfRule>
  </conditionalFormatting>
  <conditionalFormatting sqref="I2:I7">
    <cfRule type="colorScale" priority="18">
      <colorScale>
        <cfvo type="min"/>
        <cfvo type="max"/>
        <color rgb="FFFCFCFF"/>
        <color rgb="FFF8696B"/>
      </colorScale>
    </cfRule>
  </conditionalFormatting>
  <conditionalFormatting sqref="I9:I14">
    <cfRule type="colorScale" priority="17">
      <colorScale>
        <cfvo type="min"/>
        <cfvo type="max"/>
        <color rgb="FFFCFCFF"/>
        <color rgb="FFF8696B"/>
      </colorScale>
    </cfRule>
  </conditionalFormatting>
  <conditionalFormatting sqref="I16:I21">
    <cfRule type="colorScale" priority="16">
      <colorScale>
        <cfvo type="min"/>
        <cfvo type="max"/>
        <color rgb="FFFCFCFF"/>
        <color rgb="FFF8696B"/>
      </colorScale>
    </cfRule>
  </conditionalFormatting>
  <conditionalFormatting sqref="I23:I28">
    <cfRule type="colorScale" priority="15">
      <colorScale>
        <cfvo type="min"/>
        <cfvo type="max"/>
        <color rgb="FFFCFCFF"/>
        <color rgb="FFF8696B"/>
      </colorScale>
    </cfRule>
  </conditionalFormatting>
  <conditionalFormatting sqref="I30:I47">
    <cfRule type="colorScale" priority="14">
      <colorScale>
        <cfvo type="min"/>
        <cfvo type="max"/>
        <color rgb="FFFCFCFF"/>
        <color rgb="FFF8696B"/>
      </colorScale>
    </cfRule>
  </conditionalFormatting>
  <conditionalFormatting sqref="I49:I54">
    <cfRule type="colorScale" priority="13">
      <colorScale>
        <cfvo type="min"/>
        <cfvo type="max"/>
        <color rgb="FFFCFCFF"/>
        <color rgb="FFF8696B"/>
      </colorScale>
    </cfRule>
  </conditionalFormatting>
  <conditionalFormatting sqref="I71:I75">
    <cfRule type="colorScale" priority="3">
      <colorScale>
        <cfvo type="min"/>
        <cfvo type="max"/>
        <color rgb="FFFCFCFF"/>
        <color rgb="FFF8696B"/>
      </colorScale>
    </cfRule>
  </conditionalFormatting>
  <conditionalFormatting sqref="I77:I81">
    <cfRule type="colorScale" priority="2">
      <colorScale>
        <cfvo type="min"/>
        <cfvo type="max"/>
        <color rgb="FFFCFCFF"/>
        <color rgb="FFF8696B"/>
      </colorScale>
    </cfRule>
  </conditionalFormatting>
  <conditionalFormatting sqref="I83:I87">
    <cfRule type="colorScale" priority="1">
      <colorScale>
        <cfvo type="min"/>
        <cfvo type="max"/>
        <color rgb="FFFCFCFF"/>
        <color rgb="FFF8696B"/>
      </colorScale>
    </cfRule>
  </conditionalFormatting>
  <conditionalFormatting sqref="J2:J55 J69 J71:J75 J77:J81 J83:J87">
    <cfRule type="colorScale" priority="51">
      <colorScale>
        <cfvo type="min"/>
        <cfvo type="max"/>
        <color rgb="FFFCFCFF"/>
        <color rgb="FFF8696B"/>
      </colorScale>
    </cfRule>
  </conditionalFormatting>
  <conditionalFormatting sqref="K2:K7">
    <cfRule type="colorScale" priority="12">
      <colorScale>
        <cfvo type="min"/>
        <cfvo type="max"/>
        <color rgb="FFFCFCFF"/>
        <color rgb="FFF8696B"/>
      </colorScale>
    </cfRule>
  </conditionalFormatting>
  <conditionalFormatting sqref="K9:K14">
    <cfRule type="colorScale" priority="11">
      <colorScale>
        <cfvo type="min"/>
        <cfvo type="max"/>
        <color rgb="FFFCFCFF"/>
        <color rgb="FFF8696B"/>
      </colorScale>
    </cfRule>
  </conditionalFormatting>
  <conditionalFormatting sqref="K16:K21">
    <cfRule type="colorScale" priority="10">
      <colorScale>
        <cfvo type="min"/>
        <cfvo type="max"/>
        <color rgb="FFFCFCFF"/>
        <color rgb="FFF8696B"/>
      </colorScale>
    </cfRule>
  </conditionalFormatting>
  <conditionalFormatting sqref="K23:K28">
    <cfRule type="colorScale" priority="9">
      <colorScale>
        <cfvo type="min"/>
        <cfvo type="max"/>
        <color rgb="FFFCFCFF"/>
        <color rgb="FFF8696B"/>
      </colorScale>
    </cfRule>
  </conditionalFormatting>
  <conditionalFormatting sqref="K30:K47">
    <cfRule type="colorScale" priority="8">
      <colorScale>
        <cfvo type="min"/>
        <cfvo type="max"/>
        <color rgb="FFFCFCFF"/>
        <color rgb="FFF8696B"/>
      </colorScale>
    </cfRule>
  </conditionalFormatting>
  <conditionalFormatting sqref="K49:K54">
    <cfRule type="colorScale" priority="7">
      <colorScale>
        <cfvo type="min"/>
        <cfvo type="max"/>
        <color rgb="FFFCFCFF"/>
        <color rgb="FFF8696B"/>
      </colorScale>
    </cfRule>
  </conditionalFormatting>
  <conditionalFormatting sqref="K71:K75">
    <cfRule type="colorScale" priority="6">
      <colorScale>
        <cfvo type="min"/>
        <cfvo type="max"/>
        <color rgb="FFFCFCFF"/>
        <color rgb="FFF8696B"/>
      </colorScale>
    </cfRule>
  </conditionalFormatting>
  <conditionalFormatting sqref="K77:K81">
    <cfRule type="colorScale" priority="5">
      <colorScale>
        <cfvo type="min"/>
        <cfvo type="max"/>
        <color rgb="FFFCFCFF"/>
        <color rgb="FFF8696B"/>
      </colorScale>
    </cfRule>
  </conditionalFormatting>
  <conditionalFormatting sqref="K83:K87">
    <cfRule type="colorScale" priority="4">
      <colorScale>
        <cfvo type="min"/>
        <cfvo type="max"/>
        <color rgb="FFFCFCFF"/>
        <color rgb="FFF8696B"/>
      </colorScale>
    </cfRule>
  </conditionalFormatting>
  <conditionalFormatting sqref="L2:L47">
    <cfRule type="colorScale" priority="53">
      <colorScale>
        <cfvo type="min"/>
        <cfvo type="max"/>
        <color rgb="FFFCFCFF"/>
        <color rgb="FF63BE7B"/>
      </colorScale>
    </cfRule>
  </conditionalFormatting>
  <conditionalFormatting sqref="L49">
    <cfRule type="colorScale" priority="19">
      <colorScale>
        <cfvo type="min"/>
        <cfvo type="max"/>
        <color rgb="FFFCFCFF"/>
        <color rgb="FF63BE7B"/>
      </colorScale>
    </cfRule>
  </conditionalFormatting>
  <conditionalFormatting sqref="L50:L54">
    <cfRule type="colorScale" priority="20">
      <colorScale>
        <cfvo type="min"/>
        <cfvo type="max"/>
        <color rgb="FFFCFCFF"/>
        <color rgb="FF63BE7B"/>
      </colorScale>
    </cfRule>
  </conditionalFormatting>
  <conditionalFormatting sqref="L71:L75">
    <cfRule type="colorScale" priority="24">
      <colorScale>
        <cfvo type="min"/>
        <cfvo type="max"/>
        <color rgb="FFFCFCFF"/>
        <color rgb="FF63BE7B"/>
      </colorScale>
    </cfRule>
  </conditionalFormatting>
  <conditionalFormatting sqref="L77:L81">
    <cfRule type="colorScale" priority="23">
      <colorScale>
        <cfvo type="min"/>
        <cfvo type="max"/>
        <color rgb="FFFCFCFF"/>
        <color rgb="FF63BE7B"/>
      </colorScale>
    </cfRule>
  </conditionalFormatting>
  <conditionalFormatting sqref="L83:L87">
    <cfRule type="colorScale" priority="22">
      <colorScale>
        <cfvo type="min"/>
        <cfvo type="max"/>
        <color rgb="FFFCFCFF"/>
        <color rgb="FF63BE7B"/>
      </colorScale>
    </cfRule>
  </conditionalFormatting>
  <conditionalFormatting sqref="M8">
    <cfRule type="colorScale" priority="28">
      <colorScale>
        <cfvo type="min"/>
        <cfvo type="max"/>
        <color rgb="FFFCFCFF"/>
        <color rgb="FF63BE7B"/>
      </colorScale>
    </cfRule>
  </conditionalFormatting>
  <conditionalFormatting sqref="M15">
    <cfRule type="colorScale" priority="29">
      <colorScale>
        <cfvo type="min"/>
        <cfvo type="max"/>
        <color rgb="FFFCFCFF"/>
        <color rgb="FF63BE7B"/>
      </colorScale>
    </cfRule>
  </conditionalFormatting>
  <conditionalFormatting sqref="M22">
    <cfRule type="colorScale" priority="30">
      <colorScale>
        <cfvo type="min"/>
        <cfvo type="max"/>
        <color rgb="FFFCFCFF"/>
        <color rgb="FF63BE7B"/>
      </colorScale>
    </cfRule>
  </conditionalFormatting>
  <conditionalFormatting sqref="M29">
    <cfRule type="colorScale" priority="3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6"/>
  <sheetViews>
    <sheetView tabSelected="1" topLeftCell="M1" workbookViewId="0">
      <selection activeCell="O1" sqref="O1"/>
    </sheetView>
  </sheetViews>
  <sheetFormatPr defaultRowHeight="15" x14ac:dyDescent="0.25"/>
  <cols>
    <col min="1" max="1" width="10.7109375" bestFit="1" customWidth="1"/>
    <col min="2" max="2" width="10.42578125" bestFit="1" customWidth="1"/>
    <col min="3" max="3" width="37.28515625" customWidth="1"/>
    <col min="4" max="4" width="68.140625" style="2" customWidth="1"/>
    <col min="5" max="5" width="40.5703125" style="2" customWidth="1"/>
    <col min="6" max="6" width="22.5703125" style="2" bestFit="1" customWidth="1"/>
    <col min="7" max="7" width="53.85546875" style="2" customWidth="1"/>
    <col min="8" max="9" width="20.140625" customWidth="1"/>
    <col min="10" max="10" width="61.85546875" style="2" customWidth="1"/>
    <col min="11" max="11" width="24.7109375" customWidth="1"/>
    <col min="12" max="12" width="15.5703125" customWidth="1"/>
    <col min="13" max="13" width="32" style="2" customWidth="1"/>
    <col min="14" max="14" width="18.5703125" customWidth="1"/>
    <col min="15" max="15" width="19.140625" customWidth="1"/>
    <col min="16" max="16" width="53.42578125" style="2" customWidth="1"/>
    <col min="17" max="17" width="24.140625" customWidth="1"/>
    <col min="18" max="18" width="30.140625" customWidth="1"/>
    <col min="19" max="19" width="32.140625" style="2" customWidth="1"/>
    <col min="20" max="20" width="22.7109375" bestFit="1" customWidth="1"/>
    <col min="21" max="21" width="21.42578125" customWidth="1"/>
    <col min="22" max="22" width="46.7109375" style="2" customWidth="1"/>
    <col min="23" max="23" width="19" customWidth="1"/>
    <col min="24" max="24" width="19.42578125" customWidth="1"/>
    <col min="25" max="25" width="16.28515625" customWidth="1"/>
    <col min="26" max="26" width="10.7109375" bestFit="1" customWidth="1"/>
  </cols>
  <sheetData>
    <row r="1" spans="1:27" ht="30" x14ac:dyDescent="0.25">
      <c r="A1" s="5" t="s">
        <v>4</v>
      </c>
      <c r="B1" s="5" t="s">
        <v>0</v>
      </c>
      <c r="C1" s="5" t="s">
        <v>1718</v>
      </c>
      <c r="D1" s="3" t="s">
        <v>8</v>
      </c>
      <c r="E1" s="3" t="s">
        <v>9</v>
      </c>
      <c r="F1" s="1" t="s">
        <v>10</v>
      </c>
      <c r="G1" s="4" t="s">
        <v>379</v>
      </c>
      <c r="H1" s="4" t="s">
        <v>380</v>
      </c>
      <c r="I1" s="4" t="s">
        <v>11</v>
      </c>
      <c r="J1" s="4" t="s">
        <v>12</v>
      </c>
      <c r="K1" s="4" t="s">
        <v>13</v>
      </c>
      <c r="L1" s="4" t="s">
        <v>14</v>
      </c>
      <c r="M1" s="4" t="s">
        <v>1069</v>
      </c>
      <c r="N1" s="4" t="s">
        <v>1070</v>
      </c>
      <c r="O1" s="4" t="s">
        <v>1071</v>
      </c>
      <c r="P1" s="24" t="s">
        <v>1035</v>
      </c>
      <c r="Q1" s="4" t="s">
        <v>1066</v>
      </c>
      <c r="R1" s="4" t="s">
        <v>1049</v>
      </c>
      <c r="S1" s="4" t="s">
        <v>1052</v>
      </c>
      <c r="T1" s="4" t="s">
        <v>1053</v>
      </c>
      <c r="U1" s="4" t="s">
        <v>1054</v>
      </c>
      <c r="V1" s="4" t="s">
        <v>1048</v>
      </c>
      <c r="W1" s="4" t="s">
        <v>1050</v>
      </c>
      <c r="X1" s="4" t="s">
        <v>1051</v>
      </c>
      <c r="Y1" s="17" t="s">
        <v>368</v>
      </c>
      <c r="Z1" s="21" t="s">
        <v>389</v>
      </c>
      <c r="AA1" s="12"/>
    </row>
    <row r="2" spans="1:27" ht="240" x14ac:dyDescent="0.25">
      <c r="A2" t="s">
        <v>15</v>
      </c>
      <c r="B2" t="s">
        <v>16</v>
      </c>
      <c r="C2" s="2" t="s">
        <v>1030</v>
      </c>
      <c r="D2" s="2" t="s">
        <v>740</v>
      </c>
      <c r="E2" t="s">
        <v>391</v>
      </c>
      <c r="F2" s="2" t="s">
        <v>23</v>
      </c>
      <c r="G2" s="2" t="s">
        <v>743</v>
      </c>
      <c r="H2" s="2" t="s">
        <v>187</v>
      </c>
      <c r="I2" s="2" t="s">
        <v>2</v>
      </c>
      <c r="J2" s="2" t="s">
        <v>874</v>
      </c>
      <c r="K2" s="2" t="s">
        <v>187</v>
      </c>
      <c r="L2" s="2" t="s">
        <v>2</v>
      </c>
      <c r="M2" s="2" t="s">
        <v>1993</v>
      </c>
      <c r="N2" s="2" t="s">
        <v>187</v>
      </c>
      <c r="O2" s="2" t="s">
        <v>1</v>
      </c>
      <c r="P2" s="2" t="s">
        <v>1864</v>
      </c>
      <c r="Q2" s="2" t="s">
        <v>187</v>
      </c>
      <c r="R2" s="2" t="s">
        <v>2</v>
      </c>
      <c r="S2" s="2" t="s">
        <v>1190</v>
      </c>
      <c r="T2" t="s">
        <v>187</v>
      </c>
      <c r="U2" s="2" t="s">
        <v>1</v>
      </c>
      <c r="V2" s="2" t="s">
        <v>1191</v>
      </c>
      <c r="W2" s="2" t="s">
        <v>187</v>
      </c>
      <c r="X2" s="2" t="s">
        <v>2</v>
      </c>
      <c r="Y2">
        <f>LEN(D2)+LEN(E2)</f>
        <v>335</v>
      </c>
      <c r="Z2" s="20">
        <v>46103</v>
      </c>
    </row>
    <row r="3" spans="1:27" ht="270" x14ac:dyDescent="0.25">
      <c r="A3" t="s">
        <v>15</v>
      </c>
      <c r="B3" t="s">
        <v>16</v>
      </c>
      <c r="C3" s="2" t="s">
        <v>1030</v>
      </c>
      <c r="D3" s="2" t="s">
        <v>740</v>
      </c>
      <c r="E3" t="s">
        <v>392</v>
      </c>
      <c r="F3" s="2" t="s">
        <v>21</v>
      </c>
      <c r="G3" s="2" t="s">
        <v>744</v>
      </c>
      <c r="H3" s="2" t="s">
        <v>187</v>
      </c>
      <c r="I3" s="2" t="s">
        <v>2</v>
      </c>
      <c r="J3" s="2" t="s">
        <v>875</v>
      </c>
      <c r="K3" s="2" t="s">
        <v>187</v>
      </c>
      <c r="L3" s="2" t="s">
        <v>2</v>
      </c>
      <c r="M3" s="2" t="s">
        <v>1994</v>
      </c>
      <c r="N3" s="2" t="s">
        <v>187</v>
      </c>
      <c r="O3" s="2" t="s">
        <v>1</v>
      </c>
      <c r="P3" s="2" t="s">
        <v>1865</v>
      </c>
      <c r="Q3" s="2" t="s">
        <v>187</v>
      </c>
      <c r="R3" s="2" t="s">
        <v>2</v>
      </c>
      <c r="S3" s="2" t="s">
        <v>1192</v>
      </c>
      <c r="T3" t="s">
        <v>187</v>
      </c>
      <c r="U3" s="2" t="s">
        <v>1</v>
      </c>
      <c r="V3" s="2" t="s">
        <v>1193</v>
      </c>
      <c r="W3" s="2" t="s">
        <v>187</v>
      </c>
      <c r="X3" s="2" t="s">
        <v>2</v>
      </c>
      <c r="Y3">
        <f>LEN(D3)+LEN(E3)</f>
        <v>329</v>
      </c>
      <c r="Z3" s="20">
        <v>46103</v>
      </c>
    </row>
    <row r="4" spans="1:27" ht="345" x14ac:dyDescent="0.25">
      <c r="A4" t="s">
        <v>15</v>
      </c>
      <c r="B4" t="s">
        <v>16</v>
      </c>
      <c r="C4" s="2" t="s">
        <v>1030</v>
      </c>
      <c r="D4" s="2" t="s">
        <v>740</v>
      </c>
      <c r="E4" t="s">
        <v>393</v>
      </c>
      <c r="F4" s="2" t="s">
        <v>18</v>
      </c>
      <c r="G4" s="2" t="s">
        <v>745</v>
      </c>
      <c r="H4" s="2" t="s">
        <v>187</v>
      </c>
      <c r="I4" s="2" t="s">
        <v>2</v>
      </c>
      <c r="J4" s="2" t="s">
        <v>876</v>
      </c>
      <c r="K4" s="2" t="s">
        <v>187</v>
      </c>
      <c r="L4" s="2" t="s">
        <v>2</v>
      </c>
      <c r="M4" s="2" t="s">
        <v>1194</v>
      </c>
      <c r="N4" s="2" t="s">
        <v>187</v>
      </c>
      <c r="O4" s="2" t="s">
        <v>1</v>
      </c>
      <c r="P4" s="2" t="s">
        <v>1866</v>
      </c>
      <c r="Q4" s="2" t="s">
        <v>187</v>
      </c>
      <c r="R4" s="2" t="s">
        <v>2</v>
      </c>
      <c r="S4" s="2" t="s">
        <v>1194</v>
      </c>
      <c r="T4" t="s">
        <v>187</v>
      </c>
      <c r="U4" s="2" t="s">
        <v>1</v>
      </c>
      <c r="V4" s="2" t="s">
        <v>1195</v>
      </c>
      <c r="W4" s="2" t="s">
        <v>187</v>
      </c>
      <c r="X4" s="2" t="s">
        <v>1</v>
      </c>
      <c r="Y4">
        <f>LEN(D4)+LEN(E4)</f>
        <v>331</v>
      </c>
      <c r="Z4" s="20">
        <v>46103</v>
      </c>
    </row>
    <row r="5" spans="1:27" ht="195" x14ac:dyDescent="0.25">
      <c r="A5" t="s">
        <v>15</v>
      </c>
      <c r="B5" t="s">
        <v>16</v>
      </c>
      <c r="C5" s="2" t="s">
        <v>1030</v>
      </c>
      <c r="D5" s="2" t="s">
        <v>740</v>
      </c>
      <c r="E5" s="2" t="s">
        <v>394</v>
      </c>
      <c r="F5" s="2" t="s">
        <v>18</v>
      </c>
      <c r="G5" s="2" t="s">
        <v>746</v>
      </c>
      <c r="H5" s="2" t="s">
        <v>187</v>
      </c>
      <c r="I5" s="2" t="s">
        <v>2</v>
      </c>
      <c r="J5" s="2" t="s">
        <v>877</v>
      </c>
      <c r="K5" s="2" t="s">
        <v>187</v>
      </c>
      <c r="L5" s="2" t="s">
        <v>2</v>
      </c>
      <c r="M5" s="2" t="s">
        <v>1995</v>
      </c>
      <c r="N5" s="2" t="s">
        <v>187</v>
      </c>
      <c r="O5" s="2" t="s">
        <v>1</v>
      </c>
      <c r="P5" s="2" t="s">
        <v>1867</v>
      </c>
      <c r="Q5" s="2" t="s">
        <v>187</v>
      </c>
      <c r="R5" s="2" t="s">
        <v>2</v>
      </c>
      <c r="S5" s="2" t="s">
        <v>18</v>
      </c>
      <c r="T5" t="s">
        <v>187</v>
      </c>
      <c r="U5" s="2" t="s">
        <v>1</v>
      </c>
      <c r="V5" s="2" t="s">
        <v>1196</v>
      </c>
      <c r="W5" s="2" t="s">
        <v>187</v>
      </c>
      <c r="X5" s="2" t="s">
        <v>1</v>
      </c>
      <c r="Y5">
        <f>LEN(D5)+LEN(E5)</f>
        <v>334</v>
      </c>
      <c r="Z5" s="20">
        <v>46103</v>
      </c>
    </row>
    <row r="6" spans="1:27" ht="240" x14ac:dyDescent="0.25">
      <c r="A6" t="s">
        <v>15</v>
      </c>
      <c r="B6" t="s">
        <v>16</v>
      </c>
      <c r="C6" s="2" t="s">
        <v>1030</v>
      </c>
      <c r="D6" s="2" t="s">
        <v>740</v>
      </c>
      <c r="E6" s="2" t="s">
        <v>395</v>
      </c>
      <c r="F6" s="2" t="s">
        <v>18</v>
      </c>
      <c r="G6" s="2" t="s">
        <v>179</v>
      </c>
      <c r="H6" s="2" t="s">
        <v>187</v>
      </c>
      <c r="I6" s="2" t="s">
        <v>1</v>
      </c>
      <c r="J6" s="2" t="s">
        <v>878</v>
      </c>
      <c r="K6" s="2" t="s">
        <v>187</v>
      </c>
      <c r="L6" s="2" t="s">
        <v>2</v>
      </c>
      <c r="M6" s="2" t="s">
        <v>179</v>
      </c>
      <c r="N6" s="2" t="s">
        <v>187</v>
      </c>
      <c r="O6" s="2" t="s">
        <v>1</v>
      </c>
      <c r="P6" s="2" t="s">
        <v>1868</v>
      </c>
      <c r="Q6" s="2" t="s">
        <v>187</v>
      </c>
      <c r="R6" s="2" t="s">
        <v>2</v>
      </c>
      <c r="S6" s="2" t="s">
        <v>179</v>
      </c>
      <c r="T6" t="s">
        <v>187</v>
      </c>
      <c r="U6" s="2" t="s">
        <v>1</v>
      </c>
      <c r="V6" s="2" t="s">
        <v>1197</v>
      </c>
      <c r="W6" s="2" t="s">
        <v>187</v>
      </c>
      <c r="X6" s="2" t="s">
        <v>2</v>
      </c>
      <c r="Y6">
        <f t="shared" ref="Y6:Y69" si="0">LEN(D6)+LEN(E6)</f>
        <v>339</v>
      </c>
      <c r="Z6" s="20">
        <v>46103</v>
      </c>
    </row>
    <row r="7" spans="1:27" ht="195" x14ac:dyDescent="0.25">
      <c r="A7" t="s">
        <v>15</v>
      </c>
      <c r="B7" t="s">
        <v>16</v>
      </c>
      <c r="C7" s="2" t="s">
        <v>1030</v>
      </c>
      <c r="D7" s="2" t="s">
        <v>740</v>
      </c>
      <c r="E7" s="2" t="s">
        <v>396</v>
      </c>
      <c r="F7" s="2" t="s">
        <v>21</v>
      </c>
      <c r="G7" s="2" t="s">
        <v>747</v>
      </c>
      <c r="H7" s="2" t="s">
        <v>187</v>
      </c>
      <c r="I7" s="2" t="s">
        <v>1</v>
      </c>
      <c r="J7" s="2" t="s">
        <v>879</v>
      </c>
      <c r="K7" s="2" t="s">
        <v>187</v>
      </c>
      <c r="L7" s="2" t="s">
        <v>2</v>
      </c>
      <c r="M7" s="2" t="s">
        <v>747</v>
      </c>
      <c r="N7" s="2" t="s">
        <v>187</v>
      </c>
      <c r="O7" s="2" t="s">
        <v>1</v>
      </c>
      <c r="P7" s="2" t="s">
        <v>1869</v>
      </c>
      <c r="Q7" s="2" t="s">
        <v>187</v>
      </c>
      <c r="R7" s="2" t="s">
        <v>2</v>
      </c>
      <c r="S7" s="2" t="s">
        <v>747</v>
      </c>
      <c r="T7" t="s">
        <v>187</v>
      </c>
      <c r="U7" s="2" t="s">
        <v>1</v>
      </c>
      <c r="V7" s="2" t="s">
        <v>1198</v>
      </c>
      <c r="W7" s="2" t="s">
        <v>187</v>
      </c>
      <c r="X7" s="2" t="s">
        <v>2</v>
      </c>
      <c r="Y7">
        <f t="shared" si="0"/>
        <v>346</v>
      </c>
      <c r="Z7" s="20">
        <v>46103</v>
      </c>
    </row>
    <row r="8" spans="1:27" ht="225" x14ac:dyDescent="0.25">
      <c r="A8" t="s">
        <v>15</v>
      </c>
      <c r="B8" t="s">
        <v>16</v>
      </c>
      <c r="C8" s="2" t="s">
        <v>1030</v>
      </c>
      <c r="D8" s="2" t="s">
        <v>740</v>
      </c>
      <c r="E8" s="2" t="s">
        <v>397</v>
      </c>
      <c r="F8" s="2" t="s">
        <v>23</v>
      </c>
      <c r="G8" s="2" t="s">
        <v>748</v>
      </c>
      <c r="H8" s="2" t="s">
        <v>187</v>
      </c>
      <c r="I8" s="2" t="s">
        <v>1</v>
      </c>
      <c r="J8" s="2" t="s">
        <v>880</v>
      </c>
      <c r="K8" s="2" t="s">
        <v>187</v>
      </c>
      <c r="L8" s="2" t="s">
        <v>2</v>
      </c>
      <c r="M8" s="2" t="s">
        <v>748</v>
      </c>
      <c r="N8" s="2" t="s">
        <v>187</v>
      </c>
      <c r="O8" s="2" t="s">
        <v>1</v>
      </c>
      <c r="P8" s="2" t="s">
        <v>1870</v>
      </c>
      <c r="Q8" s="2" t="s">
        <v>187</v>
      </c>
      <c r="R8" s="2" t="s">
        <v>2</v>
      </c>
      <c r="S8" s="2" t="s">
        <v>1199</v>
      </c>
      <c r="T8" t="s">
        <v>187</v>
      </c>
      <c r="U8" s="2" t="s">
        <v>1</v>
      </c>
      <c r="V8" s="2" t="s">
        <v>1200</v>
      </c>
      <c r="W8" s="2" t="s">
        <v>187</v>
      </c>
      <c r="X8" s="2" t="s">
        <v>2</v>
      </c>
      <c r="Y8">
        <f t="shared" si="0"/>
        <v>337</v>
      </c>
      <c r="Z8" s="20">
        <v>46103</v>
      </c>
    </row>
    <row r="9" spans="1:27" ht="240" x14ac:dyDescent="0.25">
      <c r="A9" t="s">
        <v>15</v>
      </c>
      <c r="B9" t="s">
        <v>16</v>
      </c>
      <c r="C9" s="2" t="s">
        <v>1030</v>
      </c>
      <c r="D9" s="2" t="s">
        <v>740</v>
      </c>
      <c r="E9" s="2" t="s">
        <v>398</v>
      </c>
      <c r="F9" s="2" t="s">
        <v>18</v>
      </c>
      <c r="G9" s="2" t="s">
        <v>749</v>
      </c>
      <c r="H9" s="2" t="s">
        <v>187</v>
      </c>
      <c r="I9" s="2" t="s">
        <v>1</v>
      </c>
      <c r="J9" s="2" t="s">
        <v>881</v>
      </c>
      <c r="K9" s="2" t="s">
        <v>187</v>
      </c>
      <c r="L9" s="2" t="s">
        <v>2</v>
      </c>
      <c r="M9" s="2" t="s">
        <v>749</v>
      </c>
      <c r="N9" s="2" t="s">
        <v>187</v>
      </c>
      <c r="O9" s="2" t="s">
        <v>1</v>
      </c>
      <c r="P9" s="2" t="s">
        <v>1871</v>
      </c>
      <c r="Q9" s="2" t="s">
        <v>187</v>
      </c>
      <c r="R9" s="2" t="s">
        <v>2</v>
      </c>
      <c r="S9" s="2" t="s">
        <v>749</v>
      </c>
      <c r="T9" t="s">
        <v>187</v>
      </c>
      <c r="U9" s="2" t="s">
        <v>1</v>
      </c>
      <c r="V9" s="2" t="s">
        <v>1201</v>
      </c>
      <c r="W9" s="2" t="s">
        <v>187</v>
      </c>
      <c r="X9" s="2" t="s">
        <v>2</v>
      </c>
      <c r="Y9">
        <f t="shared" si="0"/>
        <v>340</v>
      </c>
      <c r="Z9" s="20">
        <v>46103</v>
      </c>
    </row>
    <row r="10" spans="1:27" ht="409.5" x14ac:dyDescent="0.25">
      <c r="A10" t="s">
        <v>15</v>
      </c>
      <c r="B10" t="s">
        <v>16</v>
      </c>
      <c r="C10" s="2" t="s">
        <v>1030</v>
      </c>
      <c r="D10" s="2" t="s">
        <v>740</v>
      </c>
      <c r="E10" s="2" t="s">
        <v>399</v>
      </c>
      <c r="F10" s="2" t="s">
        <v>21</v>
      </c>
      <c r="G10" s="2" t="s">
        <v>750</v>
      </c>
      <c r="H10" s="2" t="s">
        <v>187</v>
      </c>
      <c r="I10" s="2" t="s">
        <v>2</v>
      </c>
      <c r="J10" s="2" t="s">
        <v>882</v>
      </c>
      <c r="K10" s="2" t="s">
        <v>187</v>
      </c>
      <c r="L10" s="2" t="s">
        <v>2</v>
      </c>
      <c r="M10" s="2" t="s">
        <v>1996</v>
      </c>
      <c r="N10" s="2" t="s">
        <v>194</v>
      </c>
      <c r="O10" s="2" t="s">
        <v>1</v>
      </c>
      <c r="P10" s="2" t="s">
        <v>1872</v>
      </c>
      <c r="Q10" s="2" t="s">
        <v>187</v>
      </c>
      <c r="R10" s="2" t="s">
        <v>2</v>
      </c>
      <c r="S10" s="2" t="s">
        <v>1202</v>
      </c>
      <c r="T10" t="s">
        <v>187</v>
      </c>
      <c r="U10" s="2" t="s">
        <v>1</v>
      </c>
      <c r="V10" s="2" t="s">
        <v>1203</v>
      </c>
      <c r="W10" s="2" t="s">
        <v>187</v>
      </c>
      <c r="X10" s="2" t="s">
        <v>2</v>
      </c>
      <c r="Y10">
        <f t="shared" si="0"/>
        <v>340</v>
      </c>
      <c r="Z10" s="20">
        <v>46103</v>
      </c>
    </row>
    <row r="11" spans="1:27" ht="409.5" x14ac:dyDescent="0.25">
      <c r="A11" t="s">
        <v>15</v>
      </c>
      <c r="B11" t="s">
        <v>16</v>
      </c>
      <c r="C11" s="2" t="s">
        <v>1030</v>
      </c>
      <c r="D11" s="2" t="s">
        <v>740</v>
      </c>
      <c r="E11" s="2" t="s">
        <v>400</v>
      </c>
      <c r="F11" s="2" t="s">
        <v>23</v>
      </c>
      <c r="G11" s="2" t="s">
        <v>751</v>
      </c>
      <c r="H11" s="2" t="s">
        <v>187</v>
      </c>
      <c r="I11" s="2" t="s">
        <v>2</v>
      </c>
      <c r="J11" s="2" t="s">
        <v>883</v>
      </c>
      <c r="K11" s="2" t="s">
        <v>187</v>
      </c>
      <c r="L11" s="2" t="s">
        <v>2</v>
      </c>
      <c r="M11" s="2" t="s">
        <v>1204</v>
      </c>
      <c r="N11" s="2" t="s">
        <v>187</v>
      </c>
      <c r="O11" s="2" t="s">
        <v>1</v>
      </c>
      <c r="P11" s="2" t="s">
        <v>1873</v>
      </c>
      <c r="Q11" s="2" t="s">
        <v>187</v>
      </c>
      <c r="R11" s="2" t="s">
        <v>2</v>
      </c>
      <c r="S11" s="2" t="s">
        <v>1204</v>
      </c>
      <c r="T11" t="s">
        <v>187</v>
      </c>
      <c r="U11" s="2" t="s">
        <v>1</v>
      </c>
      <c r="V11" s="2" t="s">
        <v>1205</v>
      </c>
      <c r="W11" s="2" t="s">
        <v>187</v>
      </c>
      <c r="X11" s="2" t="s">
        <v>2</v>
      </c>
      <c r="Y11">
        <f t="shared" si="0"/>
        <v>342</v>
      </c>
      <c r="Z11" s="20">
        <v>46103</v>
      </c>
    </row>
    <row r="12" spans="1:27" ht="409.5" x14ac:dyDescent="0.25">
      <c r="A12" t="s">
        <v>15</v>
      </c>
      <c r="B12" t="s">
        <v>16</v>
      </c>
      <c r="C12" s="2" t="s">
        <v>1030</v>
      </c>
      <c r="D12" s="2" t="s">
        <v>740</v>
      </c>
      <c r="E12" s="2" t="s">
        <v>401</v>
      </c>
      <c r="F12" s="2" t="s">
        <v>21</v>
      </c>
      <c r="G12" s="2" t="s">
        <v>752</v>
      </c>
      <c r="H12" s="2" t="s">
        <v>187</v>
      </c>
      <c r="I12" s="2" t="s">
        <v>2</v>
      </c>
      <c r="J12" s="2" t="s">
        <v>884</v>
      </c>
      <c r="K12" s="2" t="s">
        <v>187</v>
      </c>
      <c r="L12" s="2" t="s">
        <v>2</v>
      </c>
      <c r="M12" s="2" t="s">
        <v>1997</v>
      </c>
      <c r="N12" s="2" t="s">
        <v>194</v>
      </c>
      <c r="O12" s="2" t="s">
        <v>1</v>
      </c>
      <c r="P12" s="2" t="s">
        <v>1874</v>
      </c>
      <c r="Q12" s="2" t="s">
        <v>187</v>
      </c>
      <c r="R12" s="2" t="s">
        <v>2</v>
      </c>
      <c r="S12" s="2" t="s">
        <v>1206</v>
      </c>
      <c r="T12" t="s">
        <v>187</v>
      </c>
      <c r="U12" s="2" t="s">
        <v>2</v>
      </c>
      <c r="V12" s="2" t="s">
        <v>1207</v>
      </c>
      <c r="W12" s="2" t="s">
        <v>187</v>
      </c>
      <c r="X12" s="2" t="s">
        <v>2</v>
      </c>
      <c r="Y12">
        <f t="shared" si="0"/>
        <v>340</v>
      </c>
      <c r="Z12" s="20">
        <v>46103</v>
      </c>
    </row>
    <row r="13" spans="1:27" ht="225" x14ac:dyDescent="0.25">
      <c r="A13" t="s">
        <v>15</v>
      </c>
      <c r="B13" t="s">
        <v>16</v>
      </c>
      <c r="C13" s="2" t="s">
        <v>1030</v>
      </c>
      <c r="D13" s="2" t="s">
        <v>740</v>
      </c>
      <c r="E13" s="2" t="s">
        <v>402</v>
      </c>
      <c r="F13" s="2" t="s">
        <v>23</v>
      </c>
      <c r="G13" s="2" t="s">
        <v>753</v>
      </c>
      <c r="H13" s="2" t="s">
        <v>187</v>
      </c>
      <c r="I13" s="2" t="s">
        <v>2</v>
      </c>
      <c r="J13" s="2" t="s">
        <v>885</v>
      </c>
      <c r="K13" s="2" t="s">
        <v>187</v>
      </c>
      <c r="L13" s="2" t="s">
        <v>2</v>
      </c>
      <c r="M13" s="2" t="s">
        <v>1998</v>
      </c>
      <c r="N13" s="2" t="s">
        <v>187</v>
      </c>
      <c r="O13" s="2" t="s">
        <v>1</v>
      </c>
      <c r="P13" s="2" t="s">
        <v>1875</v>
      </c>
      <c r="Q13" s="2" t="s">
        <v>187</v>
      </c>
      <c r="R13" s="2" t="s">
        <v>2</v>
      </c>
      <c r="S13" s="2" t="s">
        <v>1208</v>
      </c>
      <c r="T13" t="s">
        <v>187</v>
      </c>
      <c r="U13" s="2" t="s">
        <v>1</v>
      </c>
      <c r="V13" s="2" t="s">
        <v>1209</v>
      </c>
      <c r="W13" s="2" t="s">
        <v>187</v>
      </c>
      <c r="X13" s="2" t="s">
        <v>2</v>
      </c>
      <c r="Y13">
        <f t="shared" si="0"/>
        <v>339</v>
      </c>
      <c r="Z13" s="20">
        <v>46103</v>
      </c>
    </row>
    <row r="14" spans="1:27" ht="345" x14ac:dyDescent="0.25">
      <c r="A14" t="s">
        <v>15</v>
      </c>
      <c r="B14" t="s">
        <v>16</v>
      </c>
      <c r="C14" s="2" t="s">
        <v>1030</v>
      </c>
      <c r="D14" s="2" t="s">
        <v>740</v>
      </c>
      <c r="E14" s="2" t="s">
        <v>403</v>
      </c>
      <c r="F14" s="2" t="s">
        <v>18</v>
      </c>
      <c r="G14" s="2" t="s">
        <v>754</v>
      </c>
      <c r="H14" s="2" t="s">
        <v>187</v>
      </c>
      <c r="I14" s="2" t="s">
        <v>2</v>
      </c>
      <c r="J14" s="2" t="s">
        <v>886</v>
      </c>
      <c r="K14" s="2" t="s">
        <v>187</v>
      </c>
      <c r="L14" s="2" t="s">
        <v>2</v>
      </c>
      <c r="M14" s="2" t="s">
        <v>1999</v>
      </c>
      <c r="N14" s="2" t="s">
        <v>187</v>
      </c>
      <c r="O14" s="2" t="s">
        <v>1</v>
      </c>
      <c r="P14" s="2" t="s">
        <v>1876</v>
      </c>
      <c r="Q14" s="2" t="s">
        <v>187</v>
      </c>
      <c r="R14" s="2" t="s">
        <v>2</v>
      </c>
      <c r="S14" s="2" t="s">
        <v>18</v>
      </c>
      <c r="T14" t="s">
        <v>187</v>
      </c>
      <c r="U14" s="2" t="s">
        <v>1</v>
      </c>
      <c r="V14" s="2" t="s">
        <v>1210</v>
      </c>
      <c r="W14" s="2" t="s">
        <v>187</v>
      </c>
      <c r="X14" s="2" t="s">
        <v>1</v>
      </c>
      <c r="Y14">
        <f t="shared" si="0"/>
        <v>333</v>
      </c>
      <c r="Z14" s="20">
        <v>46103</v>
      </c>
    </row>
    <row r="15" spans="1:27" ht="240" x14ac:dyDescent="0.25">
      <c r="A15" t="s">
        <v>15</v>
      </c>
      <c r="B15" t="s">
        <v>16</v>
      </c>
      <c r="C15" s="2" t="s">
        <v>1030</v>
      </c>
      <c r="D15" s="2" t="s">
        <v>740</v>
      </c>
      <c r="E15" s="2" t="s">
        <v>404</v>
      </c>
      <c r="F15" s="2" t="s">
        <v>18</v>
      </c>
      <c r="G15" s="2" t="s">
        <v>755</v>
      </c>
      <c r="H15" s="2" t="s">
        <v>187</v>
      </c>
      <c r="I15" s="2" t="s">
        <v>2</v>
      </c>
      <c r="J15" s="2" t="s">
        <v>887</v>
      </c>
      <c r="K15" s="2" t="s">
        <v>187</v>
      </c>
      <c r="L15" s="2" t="s">
        <v>2</v>
      </c>
      <c r="M15" s="2" t="s">
        <v>1211</v>
      </c>
      <c r="N15" s="2" t="s">
        <v>187</v>
      </c>
      <c r="O15" s="2" t="s">
        <v>1</v>
      </c>
      <c r="P15" s="2" t="s">
        <v>1877</v>
      </c>
      <c r="Q15" s="2" t="s">
        <v>187</v>
      </c>
      <c r="R15" s="2" t="s">
        <v>2</v>
      </c>
      <c r="S15" s="2" t="s">
        <v>1211</v>
      </c>
      <c r="T15" t="s">
        <v>187</v>
      </c>
      <c r="U15" s="2" t="s">
        <v>1</v>
      </c>
      <c r="V15" s="2" t="s">
        <v>1212</v>
      </c>
      <c r="W15" s="2" t="s">
        <v>187</v>
      </c>
      <c r="X15" s="2" t="s">
        <v>1</v>
      </c>
      <c r="Y15">
        <f t="shared" si="0"/>
        <v>334</v>
      </c>
      <c r="Z15" s="20">
        <v>46103</v>
      </c>
    </row>
    <row r="16" spans="1:27" ht="409.5" x14ac:dyDescent="0.25">
      <c r="A16" t="s">
        <v>15</v>
      </c>
      <c r="B16" t="s">
        <v>16</v>
      </c>
      <c r="C16" s="2" t="s">
        <v>1030</v>
      </c>
      <c r="D16" s="2" t="s">
        <v>740</v>
      </c>
      <c r="E16" s="2" t="s">
        <v>405</v>
      </c>
      <c r="F16" s="2" t="s">
        <v>21</v>
      </c>
      <c r="G16" s="2" t="s">
        <v>756</v>
      </c>
      <c r="H16" s="2" t="s">
        <v>194</v>
      </c>
      <c r="I16" s="2" t="s">
        <v>2</v>
      </c>
      <c r="J16" s="2" t="s">
        <v>888</v>
      </c>
      <c r="K16" s="2" t="s">
        <v>194</v>
      </c>
      <c r="L16" s="2" t="s">
        <v>2</v>
      </c>
      <c r="M16" s="2" t="s">
        <v>1213</v>
      </c>
      <c r="N16" s="2" t="s">
        <v>194</v>
      </c>
      <c r="O16" s="2" t="s">
        <v>1</v>
      </c>
      <c r="P16" s="2" t="s">
        <v>1878</v>
      </c>
      <c r="Q16" s="2" t="s">
        <v>194</v>
      </c>
      <c r="R16" s="2" t="s">
        <v>2</v>
      </c>
      <c r="S16" s="2" t="s">
        <v>1213</v>
      </c>
      <c r="T16" t="s">
        <v>194</v>
      </c>
      <c r="U16" s="2" t="s">
        <v>1</v>
      </c>
      <c r="V16" s="2" t="s">
        <v>1214</v>
      </c>
      <c r="W16" s="2" t="s">
        <v>3</v>
      </c>
      <c r="X16" s="2" t="s">
        <v>2</v>
      </c>
      <c r="Y16">
        <f t="shared" si="0"/>
        <v>335</v>
      </c>
      <c r="Z16" s="20">
        <v>46103</v>
      </c>
    </row>
    <row r="17" spans="1:26" ht="270" x14ac:dyDescent="0.25">
      <c r="A17" t="s">
        <v>15</v>
      </c>
      <c r="B17" t="s">
        <v>16</v>
      </c>
      <c r="C17" s="2" t="s">
        <v>1030</v>
      </c>
      <c r="D17" s="2" t="s">
        <v>740</v>
      </c>
      <c r="E17" s="2" t="s">
        <v>406</v>
      </c>
      <c r="F17" s="2" t="s">
        <v>18</v>
      </c>
      <c r="G17" s="2" t="s">
        <v>757</v>
      </c>
      <c r="H17" s="2" t="s">
        <v>187</v>
      </c>
      <c r="I17" s="2" t="s">
        <v>2</v>
      </c>
      <c r="J17" s="2" t="s">
        <v>889</v>
      </c>
      <c r="K17" s="2" t="s">
        <v>187</v>
      </c>
      <c r="L17" s="2" t="s">
        <v>2</v>
      </c>
      <c r="M17" s="2" t="s">
        <v>1215</v>
      </c>
      <c r="N17" s="2" t="s">
        <v>187</v>
      </c>
      <c r="O17" s="2" t="s">
        <v>1</v>
      </c>
      <c r="P17" s="2" t="s">
        <v>1879</v>
      </c>
      <c r="Q17" s="2" t="s">
        <v>187</v>
      </c>
      <c r="R17" s="2" t="s">
        <v>2</v>
      </c>
      <c r="S17" s="2" t="s">
        <v>1215</v>
      </c>
      <c r="T17" t="s">
        <v>187</v>
      </c>
      <c r="U17" s="2" t="s">
        <v>1</v>
      </c>
      <c r="V17" s="2" t="s">
        <v>1216</v>
      </c>
      <c r="W17" s="2" t="s">
        <v>187</v>
      </c>
      <c r="X17" s="2" t="s">
        <v>1</v>
      </c>
      <c r="Y17">
        <f t="shared" si="0"/>
        <v>339</v>
      </c>
      <c r="Z17" s="20">
        <v>46103</v>
      </c>
    </row>
    <row r="18" spans="1:26" ht="300" x14ac:dyDescent="0.25">
      <c r="A18" t="s">
        <v>15</v>
      </c>
      <c r="B18" t="s">
        <v>16</v>
      </c>
      <c r="C18" s="2" t="s">
        <v>1030</v>
      </c>
      <c r="D18" s="2" t="s">
        <v>740</v>
      </c>
      <c r="E18" s="2" t="s">
        <v>407</v>
      </c>
      <c r="F18" s="2" t="s">
        <v>21</v>
      </c>
      <c r="G18" s="2" t="s">
        <v>758</v>
      </c>
      <c r="H18" s="2" t="s">
        <v>187</v>
      </c>
      <c r="I18" s="2" t="s">
        <v>2</v>
      </c>
      <c r="J18" s="2" t="s">
        <v>890</v>
      </c>
      <c r="K18" s="2" t="s">
        <v>187</v>
      </c>
      <c r="L18" s="2" t="s">
        <v>2</v>
      </c>
      <c r="M18" s="2" t="s">
        <v>1217</v>
      </c>
      <c r="N18" s="2" t="s">
        <v>187</v>
      </c>
      <c r="O18" s="2" t="s">
        <v>1</v>
      </c>
      <c r="P18" s="2" t="s">
        <v>1880</v>
      </c>
      <c r="Q18" s="2" t="s">
        <v>187</v>
      </c>
      <c r="R18" s="2" t="s">
        <v>2</v>
      </c>
      <c r="S18" s="2" t="s">
        <v>1217</v>
      </c>
      <c r="T18" t="s">
        <v>187</v>
      </c>
      <c r="U18" s="2" t="s">
        <v>1</v>
      </c>
      <c r="V18" s="2" t="s">
        <v>1218</v>
      </c>
      <c r="W18" s="2" t="s">
        <v>187</v>
      </c>
      <c r="X18" s="2" t="s">
        <v>2</v>
      </c>
      <c r="Y18">
        <f t="shared" si="0"/>
        <v>342</v>
      </c>
      <c r="Z18" s="20">
        <v>46103</v>
      </c>
    </row>
    <row r="19" spans="1:26" ht="405" x14ac:dyDescent="0.25">
      <c r="A19" t="s">
        <v>15</v>
      </c>
      <c r="B19" t="s">
        <v>16</v>
      </c>
      <c r="C19" s="2" t="s">
        <v>1030</v>
      </c>
      <c r="D19" s="2" t="s">
        <v>740</v>
      </c>
      <c r="E19" s="2" t="s">
        <v>408</v>
      </c>
      <c r="F19" s="2" t="s">
        <v>21</v>
      </c>
      <c r="G19" s="2" t="s">
        <v>759</v>
      </c>
      <c r="H19" s="2" t="s">
        <v>187</v>
      </c>
      <c r="I19" s="2" t="s">
        <v>2</v>
      </c>
      <c r="J19" s="2" t="s">
        <v>891</v>
      </c>
      <c r="K19" s="2" t="s">
        <v>187</v>
      </c>
      <c r="L19" s="2" t="s">
        <v>2</v>
      </c>
      <c r="M19" s="2" t="s">
        <v>1219</v>
      </c>
      <c r="N19" s="2" t="s">
        <v>187</v>
      </c>
      <c r="O19" s="2" t="s">
        <v>1</v>
      </c>
      <c r="P19" s="2" t="s">
        <v>1881</v>
      </c>
      <c r="Q19" s="2" t="s">
        <v>187</v>
      </c>
      <c r="R19" s="2" t="s">
        <v>2</v>
      </c>
      <c r="S19" s="2" t="s">
        <v>1219</v>
      </c>
      <c r="T19" t="s">
        <v>187</v>
      </c>
      <c r="U19" s="2" t="s">
        <v>1</v>
      </c>
      <c r="V19" s="2" t="s">
        <v>1220</v>
      </c>
      <c r="W19" s="2" t="s">
        <v>187</v>
      </c>
      <c r="X19" s="2" t="s">
        <v>2</v>
      </c>
      <c r="Y19">
        <f t="shared" si="0"/>
        <v>346</v>
      </c>
      <c r="Z19" s="20">
        <v>46103</v>
      </c>
    </row>
    <row r="20" spans="1:26" ht="345" x14ac:dyDescent="0.25">
      <c r="A20" t="s">
        <v>15</v>
      </c>
      <c r="B20" t="s">
        <v>16</v>
      </c>
      <c r="C20" s="2" t="s">
        <v>1030</v>
      </c>
      <c r="D20" s="2" t="s">
        <v>740</v>
      </c>
      <c r="E20" s="2" t="s">
        <v>409</v>
      </c>
      <c r="F20" s="2" t="s">
        <v>21</v>
      </c>
      <c r="G20" s="2" t="s">
        <v>760</v>
      </c>
      <c r="H20" s="2" t="s">
        <v>187</v>
      </c>
      <c r="I20" s="2" t="s">
        <v>2</v>
      </c>
      <c r="J20" s="2" t="s">
        <v>892</v>
      </c>
      <c r="K20" s="2" t="s">
        <v>187</v>
      </c>
      <c r="L20" s="2" t="s">
        <v>2</v>
      </c>
      <c r="M20" s="2" t="s">
        <v>2000</v>
      </c>
      <c r="N20" s="2" t="s">
        <v>187</v>
      </c>
      <c r="O20" s="2" t="s">
        <v>1</v>
      </c>
      <c r="P20" s="2" t="s">
        <v>1882</v>
      </c>
      <c r="Q20" s="2" t="s">
        <v>187</v>
      </c>
      <c r="R20" s="2" t="s">
        <v>2</v>
      </c>
      <c r="S20" s="2" t="s">
        <v>1221</v>
      </c>
      <c r="T20" t="s">
        <v>187</v>
      </c>
      <c r="U20" s="2" t="s">
        <v>1</v>
      </c>
      <c r="V20" s="2" t="s">
        <v>1222</v>
      </c>
      <c r="W20" s="2" t="s">
        <v>187</v>
      </c>
      <c r="X20" s="2" t="s">
        <v>2</v>
      </c>
      <c r="Y20">
        <f t="shared" si="0"/>
        <v>340</v>
      </c>
      <c r="Z20" s="20">
        <v>46103</v>
      </c>
    </row>
    <row r="21" spans="1:26" ht="210" x14ac:dyDescent="0.25">
      <c r="A21" t="s">
        <v>15</v>
      </c>
      <c r="B21" t="s">
        <v>16</v>
      </c>
      <c r="C21" s="2" t="s">
        <v>1030</v>
      </c>
      <c r="D21" s="2" t="s">
        <v>740</v>
      </c>
      <c r="E21" s="2" t="s">
        <v>410</v>
      </c>
      <c r="F21" s="2" t="s">
        <v>23</v>
      </c>
      <c r="G21" s="2" t="s">
        <v>761</v>
      </c>
      <c r="H21" s="2" t="s">
        <v>187</v>
      </c>
      <c r="I21" s="2" t="s">
        <v>2</v>
      </c>
      <c r="J21" s="2" t="s">
        <v>893</v>
      </c>
      <c r="K21" s="2" t="s">
        <v>187</v>
      </c>
      <c r="L21" s="2" t="s">
        <v>2</v>
      </c>
      <c r="M21" s="2" t="s">
        <v>761</v>
      </c>
      <c r="N21" s="2" t="s">
        <v>187</v>
      </c>
      <c r="O21" s="2" t="s">
        <v>1</v>
      </c>
      <c r="P21" s="2" t="s">
        <v>1883</v>
      </c>
      <c r="Q21" s="2" t="s">
        <v>187</v>
      </c>
      <c r="R21" s="2" t="s">
        <v>2</v>
      </c>
      <c r="S21" s="2" t="s">
        <v>1223</v>
      </c>
      <c r="T21" t="s">
        <v>187</v>
      </c>
      <c r="U21" s="2" t="s">
        <v>1</v>
      </c>
      <c r="V21" s="2" t="s">
        <v>1224</v>
      </c>
      <c r="W21" s="2" t="s">
        <v>187</v>
      </c>
      <c r="X21" s="2" t="s">
        <v>2</v>
      </c>
      <c r="Y21">
        <f t="shared" si="0"/>
        <v>345</v>
      </c>
      <c r="Z21" s="20">
        <v>46103</v>
      </c>
    </row>
    <row r="22" spans="1:26" ht="375" x14ac:dyDescent="0.25">
      <c r="A22" t="s">
        <v>15</v>
      </c>
      <c r="B22" t="s">
        <v>16</v>
      </c>
      <c r="C22" s="2" t="s">
        <v>1030</v>
      </c>
      <c r="D22" s="2" t="s">
        <v>740</v>
      </c>
      <c r="E22" s="2" t="s">
        <v>411</v>
      </c>
      <c r="F22" s="2" t="s">
        <v>18</v>
      </c>
      <c r="G22" s="2" t="s">
        <v>762</v>
      </c>
      <c r="H22" s="2" t="s">
        <v>187</v>
      </c>
      <c r="I22" s="2" t="s">
        <v>2</v>
      </c>
      <c r="J22" s="2" t="s">
        <v>894</v>
      </c>
      <c r="K22" s="2" t="s">
        <v>187</v>
      </c>
      <c r="L22" s="2" t="s">
        <v>2</v>
      </c>
      <c r="M22" s="2" t="s">
        <v>2001</v>
      </c>
      <c r="N22" s="2" t="s">
        <v>187</v>
      </c>
      <c r="O22" s="2" t="s">
        <v>1</v>
      </c>
      <c r="P22" s="2" t="s">
        <v>1884</v>
      </c>
      <c r="Q22" s="2" t="s">
        <v>187</v>
      </c>
      <c r="R22" s="2" t="s">
        <v>2</v>
      </c>
      <c r="S22" s="2" t="s">
        <v>1225</v>
      </c>
      <c r="T22" t="s">
        <v>187</v>
      </c>
      <c r="U22" s="2" t="s">
        <v>2</v>
      </c>
      <c r="V22" s="2" t="s">
        <v>1226</v>
      </c>
      <c r="W22" s="2" t="s">
        <v>187</v>
      </c>
      <c r="X22" s="2" t="s">
        <v>1</v>
      </c>
      <c r="Y22">
        <f t="shared" si="0"/>
        <v>339</v>
      </c>
      <c r="Z22" s="20">
        <v>46103</v>
      </c>
    </row>
    <row r="23" spans="1:26" ht="240" x14ac:dyDescent="0.25">
      <c r="A23" t="s">
        <v>15</v>
      </c>
      <c r="B23" t="s">
        <v>16</v>
      </c>
      <c r="C23" s="2" t="s">
        <v>1030</v>
      </c>
      <c r="D23" s="2" t="s">
        <v>740</v>
      </c>
      <c r="E23" s="2" t="s">
        <v>412</v>
      </c>
      <c r="F23" s="2" t="s">
        <v>18</v>
      </c>
      <c r="G23" s="2" t="s">
        <v>763</v>
      </c>
      <c r="H23" s="2" t="s">
        <v>187</v>
      </c>
      <c r="I23" s="2" t="s">
        <v>1</v>
      </c>
      <c r="J23" s="2" t="s">
        <v>895</v>
      </c>
      <c r="K23" s="2" t="s">
        <v>187</v>
      </c>
      <c r="L23" s="2" t="s">
        <v>2</v>
      </c>
      <c r="M23" s="2" t="s">
        <v>763</v>
      </c>
      <c r="N23" s="2" t="s">
        <v>187</v>
      </c>
      <c r="O23" s="2" t="s">
        <v>1</v>
      </c>
      <c r="P23" s="2" t="s">
        <v>1885</v>
      </c>
      <c r="Q23" s="2" t="s">
        <v>187</v>
      </c>
      <c r="R23" s="2" t="s">
        <v>2</v>
      </c>
      <c r="S23" s="2" t="s">
        <v>763</v>
      </c>
      <c r="T23" t="s">
        <v>187</v>
      </c>
      <c r="U23" s="2" t="s">
        <v>1</v>
      </c>
      <c r="V23" s="2" t="s">
        <v>1227</v>
      </c>
      <c r="W23" s="2" t="s">
        <v>187</v>
      </c>
      <c r="X23" s="2" t="s">
        <v>1</v>
      </c>
      <c r="Y23">
        <f t="shared" si="0"/>
        <v>336</v>
      </c>
      <c r="Z23" s="20">
        <v>46103</v>
      </c>
    </row>
    <row r="24" spans="1:26" ht="375" x14ac:dyDescent="0.25">
      <c r="A24" t="s">
        <v>15</v>
      </c>
      <c r="B24" t="s">
        <v>16</v>
      </c>
      <c r="C24" s="2" t="s">
        <v>1030</v>
      </c>
      <c r="D24" s="2" t="s">
        <v>740</v>
      </c>
      <c r="E24" s="2" t="s">
        <v>413</v>
      </c>
      <c r="F24" s="2" t="s">
        <v>23</v>
      </c>
      <c r="G24" s="2" t="s">
        <v>764</v>
      </c>
      <c r="H24" s="2" t="s">
        <v>187</v>
      </c>
      <c r="I24" s="2" t="s">
        <v>1</v>
      </c>
      <c r="J24" s="2" t="s">
        <v>896</v>
      </c>
      <c r="K24" s="2" t="s">
        <v>3</v>
      </c>
      <c r="L24" s="2" t="s">
        <v>2</v>
      </c>
      <c r="M24" s="2" t="s">
        <v>764</v>
      </c>
      <c r="N24" s="2" t="s">
        <v>187</v>
      </c>
      <c r="O24" s="2" t="s">
        <v>1</v>
      </c>
      <c r="P24" s="2" t="s">
        <v>1886</v>
      </c>
      <c r="Q24" s="2" t="s">
        <v>3</v>
      </c>
      <c r="R24" s="2" t="s">
        <v>2</v>
      </c>
      <c r="S24" s="2" t="s">
        <v>1228</v>
      </c>
      <c r="T24" t="s">
        <v>187</v>
      </c>
      <c r="U24" s="2" t="s">
        <v>1</v>
      </c>
      <c r="V24" s="2" t="s">
        <v>1229</v>
      </c>
      <c r="W24" s="2" t="s">
        <v>3</v>
      </c>
      <c r="X24" s="2" t="s">
        <v>2</v>
      </c>
      <c r="Y24">
        <f t="shared" si="0"/>
        <v>348</v>
      </c>
      <c r="Z24" s="20">
        <v>46103</v>
      </c>
    </row>
    <row r="25" spans="1:26" ht="405" x14ac:dyDescent="0.25">
      <c r="A25" t="s">
        <v>15</v>
      </c>
      <c r="B25" t="s">
        <v>16</v>
      </c>
      <c r="C25" s="2" t="s">
        <v>1030</v>
      </c>
      <c r="D25" s="2" t="s">
        <v>740</v>
      </c>
      <c r="E25" s="2" t="s">
        <v>414</v>
      </c>
      <c r="F25" s="2" t="s">
        <v>18</v>
      </c>
      <c r="G25" s="2" t="s">
        <v>765</v>
      </c>
      <c r="H25" s="2" t="s">
        <v>187</v>
      </c>
      <c r="I25" s="2" t="s">
        <v>2</v>
      </c>
      <c r="J25" s="2" t="s">
        <v>897</v>
      </c>
      <c r="K25" s="2" t="s">
        <v>187</v>
      </c>
      <c r="L25" s="2" t="s">
        <v>2</v>
      </c>
      <c r="M25" s="2" t="s">
        <v>2002</v>
      </c>
      <c r="N25" s="2" t="s">
        <v>187</v>
      </c>
      <c r="O25" s="2" t="s">
        <v>1</v>
      </c>
      <c r="P25" s="2" t="s">
        <v>1887</v>
      </c>
      <c r="Q25" s="2" t="s">
        <v>187</v>
      </c>
      <c r="R25" s="2" t="s">
        <v>2</v>
      </c>
      <c r="S25" s="2" t="s">
        <v>1230</v>
      </c>
      <c r="T25" t="s">
        <v>187</v>
      </c>
      <c r="U25" s="2" t="s">
        <v>1</v>
      </c>
      <c r="V25" s="2" t="s">
        <v>1231</v>
      </c>
      <c r="W25" s="2" t="s">
        <v>187</v>
      </c>
      <c r="X25" s="2" t="s">
        <v>1</v>
      </c>
      <c r="Y25">
        <f t="shared" si="0"/>
        <v>339</v>
      </c>
      <c r="Z25" s="20">
        <v>46103</v>
      </c>
    </row>
    <row r="26" spans="1:26" ht="409.5" x14ac:dyDescent="0.25">
      <c r="A26" t="s">
        <v>15</v>
      </c>
      <c r="B26" t="s">
        <v>16</v>
      </c>
      <c r="C26" s="2" t="s">
        <v>1030</v>
      </c>
      <c r="D26" s="2" t="s">
        <v>740</v>
      </c>
      <c r="E26" s="2" t="s">
        <v>415</v>
      </c>
      <c r="F26" s="2" t="s">
        <v>21</v>
      </c>
      <c r="G26" s="2" t="s">
        <v>766</v>
      </c>
      <c r="H26" s="2" t="s">
        <v>187</v>
      </c>
      <c r="I26" s="2" t="s">
        <v>2</v>
      </c>
      <c r="J26" s="2" t="s">
        <v>898</v>
      </c>
      <c r="K26" s="2" t="s">
        <v>187</v>
      </c>
      <c r="L26" s="2" t="s">
        <v>2</v>
      </c>
      <c r="M26" s="2" t="s">
        <v>1232</v>
      </c>
      <c r="N26" s="2" t="s">
        <v>187</v>
      </c>
      <c r="O26" s="2" t="s">
        <v>1</v>
      </c>
      <c r="P26" s="2" t="s">
        <v>1888</v>
      </c>
      <c r="Q26" s="2" t="s">
        <v>187</v>
      </c>
      <c r="R26" s="2" t="s">
        <v>2</v>
      </c>
      <c r="S26" s="2" t="s">
        <v>1232</v>
      </c>
      <c r="T26" t="s">
        <v>187</v>
      </c>
      <c r="U26" s="2" t="s">
        <v>1</v>
      </c>
      <c r="V26" s="2" t="s">
        <v>1233</v>
      </c>
      <c r="W26" s="2" t="s">
        <v>187</v>
      </c>
      <c r="X26" s="2" t="s">
        <v>2</v>
      </c>
      <c r="Y26">
        <f t="shared" si="0"/>
        <v>341</v>
      </c>
      <c r="Z26" s="20">
        <v>46103</v>
      </c>
    </row>
    <row r="27" spans="1:26" ht="225" x14ac:dyDescent="0.25">
      <c r="A27" t="s">
        <v>15</v>
      </c>
      <c r="B27" t="s">
        <v>16</v>
      </c>
      <c r="C27" s="2" t="s">
        <v>1030</v>
      </c>
      <c r="D27" s="2" t="s">
        <v>740</v>
      </c>
      <c r="E27" s="2" t="s">
        <v>416</v>
      </c>
      <c r="F27" s="2" t="s">
        <v>21</v>
      </c>
      <c r="G27" s="2" t="s">
        <v>767</v>
      </c>
      <c r="H27" s="2" t="s">
        <v>187</v>
      </c>
      <c r="I27" s="2" t="s">
        <v>2</v>
      </c>
      <c r="J27" s="2" t="s">
        <v>899</v>
      </c>
      <c r="K27" s="2" t="s">
        <v>187</v>
      </c>
      <c r="L27" s="2" t="s">
        <v>2</v>
      </c>
      <c r="M27" s="2" t="s">
        <v>1234</v>
      </c>
      <c r="N27" s="2" t="s">
        <v>187</v>
      </c>
      <c r="O27" s="2" t="s">
        <v>1</v>
      </c>
      <c r="P27" s="2" t="s">
        <v>1889</v>
      </c>
      <c r="Q27" s="2" t="s">
        <v>187</v>
      </c>
      <c r="R27" s="2" t="s">
        <v>2</v>
      </c>
      <c r="S27" s="2" t="s">
        <v>1234</v>
      </c>
      <c r="T27" t="s">
        <v>187</v>
      </c>
      <c r="U27" s="2" t="s">
        <v>1</v>
      </c>
      <c r="V27" s="2" t="s">
        <v>1235</v>
      </c>
      <c r="W27" s="2" t="s">
        <v>187</v>
      </c>
      <c r="X27" s="2" t="s">
        <v>2</v>
      </c>
      <c r="Y27">
        <f t="shared" si="0"/>
        <v>348</v>
      </c>
      <c r="Z27" s="20">
        <v>46103</v>
      </c>
    </row>
    <row r="28" spans="1:26" ht="360" x14ac:dyDescent="0.25">
      <c r="A28" t="s">
        <v>15</v>
      </c>
      <c r="B28" t="s">
        <v>16</v>
      </c>
      <c r="C28" s="2" t="s">
        <v>1030</v>
      </c>
      <c r="D28" s="2" t="s">
        <v>740</v>
      </c>
      <c r="E28" s="2" t="s">
        <v>417</v>
      </c>
      <c r="F28" s="2" t="s">
        <v>23</v>
      </c>
      <c r="G28" s="2" t="s">
        <v>768</v>
      </c>
      <c r="H28" s="2" t="s">
        <v>187</v>
      </c>
      <c r="I28" s="2" t="s">
        <v>2</v>
      </c>
      <c r="J28" s="2" t="s">
        <v>900</v>
      </c>
      <c r="K28" s="2" t="s">
        <v>187</v>
      </c>
      <c r="L28" s="2" t="s">
        <v>2</v>
      </c>
      <c r="M28" s="2" t="s">
        <v>2003</v>
      </c>
      <c r="N28" s="2" t="s">
        <v>187</v>
      </c>
      <c r="O28" s="2" t="s">
        <v>1</v>
      </c>
      <c r="P28" s="2" t="s">
        <v>1890</v>
      </c>
      <c r="Q28" s="2" t="s">
        <v>187</v>
      </c>
      <c r="R28" s="2" t="s">
        <v>2</v>
      </c>
      <c r="S28" s="2" t="s">
        <v>1236</v>
      </c>
      <c r="T28" t="s">
        <v>187</v>
      </c>
      <c r="U28" s="2" t="s">
        <v>2</v>
      </c>
      <c r="V28" s="2" t="s">
        <v>1237</v>
      </c>
      <c r="W28" s="2" t="s">
        <v>187</v>
      </c>
      <c r="X28" s="2" t="s">
        <v>2</v>
      </c>
      <c r="Y28">
        <f t="shared" si="0"/>
        <v>343</v>
      </c>
      <c r="Z28" s="20">
        <v>46103</v>
      </c>
    </row>
    <row r="29" spans="1:26" ht="375" x14ac:dyDescent="0.25">
      <c r="A29" t="s">
        <v>15</v>
      </c>
      <c r="B29" t="s">
        <v>16</v>
      </c>
      <c r="C29" s="2" t="s">
        <v>1030</v>
      </c>
      <c r="D29" s="2" t="s">
        <v>740</v>
      </c>
      <c r="E29" s="2" t="s">
        <v>418</v>
      </c>
      <c r="F29" s="2" t="s">
        <v>18</v>
      </c>
      <c r="G29" s="2" t="s">
        <v>769</v>
      </c>
      <c r="H29" s="2" t="s">
        <v>187</v>
      </c>
      <c r="I29" s="2" t="s">
        <v>2</v>
      </c>
      <c r="J29" s="2" t="s">
        <v>901</v>
      </c>
      <c r="K29" s="2" t="s">
        <v>187</v>
      </c>
      <c r="L29" s="2" t="s">
        <v>2</v>
      </c>
      <c r="M29" s="2" t="s">
        <v>2004</v>
      </c>
      <c r="N29" s="2" t="s">
        <v>187</v>
      </c>
      <c r="O29" s="2" t="s">
        <v>1</v>
      </c>
      <c r="P29" s="2" t="s">
        <v>1891</v>
      </c>
      <c r="Q29" s="2" t="s">
        <v>187</v>
      </c>
      <c r="R29" s="2" t="s">
        <v>2</v>
      </c>
      <c r="S29" s="2" t="s">
        <v>1238</v>
      </c>
      <c r="T29" t="s">
        <v>187</v>
      </c>
      <c r="U29" s="2" t="s">
        <v>1</v>
      </c>
      <c r="V29" s="2" t="s">
        <v>1239</v>
      </c>
      <c r="W29" s="2" t="s">
        <v>187</v>
      </c>
      <c r="X29" s="2" t="s">
        <v>1</v>
      </c>
      <c r="Y29">
        <f t="shared" si="0"/>
        <v>337</v>
      </c>
      <c r="Z29" s="20">
        <v>46103</v>
      </c>
    </row>
    <row r="30" spans="1:26" ht="225" x14ac:dyDescent="0.25">
      <c r="A30" t="s">
        <v>15</v>
      </c>
      <c r="B30" t="s">
        <v>16</v>
      </c>
      <c r="C30" s="2" t="s">
        <v>1030</v>
      </c>
      <c r="D30" s="2" t="s">
        <v>740</v>
      </c>
      <c r="E30" s="2" t="s">
        <v>419</v>
      </c>
      <c r="F30" s="2" t="s">
        <v>23</v>
      </c>
      <c r="G30" s="2" t="s">
        <v>770</v>
      </c>
      <c r="H30" s="2" t="s">
        <v>187</v>
      </c>
      <c r="I30" s="2" t="s">
        <v>1</v>
      </c>
      <c r="J30" s="2" t="s">
        <v>902</v>
      </c>
      <c r="K30" s="2" t="s">
        <v>187</v>
      </c>
      <c r="L30" s="2" t="s">
        <v>2</v>
      </c>
      <c r="M30" s="2" t="s">
        <v>770</v>
      </c>
      <c r="N30" s="2" t="s">
        <v>187</v>
      </c>
      <c r="O30" s="2" t="s">
        <v>1</v>
      </c>
      <c r="P30" s="2" t="s">
        <v>1892</v>
      </c>
      <c r="Q30" s="2" t="s">
        <v>187</v>
      </c>
      <c r="R30" s="2" t="s">
        <v>2</v>
      </c>
      <c r="S30" s="2" t="s">
        <v>770</v>
      </c>
      <c r="T30" t="s">
        <v>187</v>
      </c>
      <c r="U30" s="2" t="s">
        <v>1</v>
      </c>
      <c r="V30" s="2" t="s">
        <v>1240</v>
      </c>
      <c r="W30" s="2" t="s">
        <v>187</v>
      </c>
      <c r="X30" s="2" t="s">
        <v>2</v>
      </c>
      <c r="Y30">
        <f t="shared" si="0"/>
        <v>341</v>
      </c>
      <c r="Z30" s="20">
        <v>46103</v>
      </c>
    </row>
    <row r="31" spans="1:26" ht="300" x14ac:dyDescent="0.25">
      <c r="A31" t="s">
        <v>15</v>
      </c>
      <c r="B31" t="s">
        <v>16</v>
      </c>
      <c r="C31" s="2" t="s">
        <v>1030</v>
      </c>
      <c r="D31" s="2" t="s">
        <v>740</v>
      </c>
      <c r="E31" s="2" t="s">
        <v>420</v>
      </c>
      <c r="F31" s="2" t="s">
        <v>21</v>
      </c>
      <c r="G31" s="2" t="s">
        <v>771</v>
      </c>
      <c r="H31" s="2" t="s">
        <v>187</v>
      </c>
      <c r="I31" s="2" t="s">
        <v>2</v>
      </c>
      <c r="J31" s="2" t="s">
        <v>903</v>
      </c>
      <c r="K31" s="2" t="s">
        <v>187</v>
      </c>
      <c r="L31" s="2" t="s">
        <v>2</v>
      </c>
      <c r="M31" s="2" t="s">
        <v>1241</v>
      </c>
      <c r="N31" s="2" t="s">
        <v>187</v>
      </c>
      <c r="O31" s="2" t="s">
        <v>1</v>
      </c>
      <c r="P31" s="2" t="s">
        <v>1893</v>
      </c>
      <c r="Q31" s="2" t="s">
        <v>187</v>
      </c>
      <c r="R31" s="2" t="s">
        <v>2</v>
      </c>
      <c r="S31" s="2" t="s">
        <v>1241</v>
      </c>
      <c r="T31" t="s">
        <v>187</v>
      </c>
      <c r="U31" s="2" t="s">
        <v>1</v>
      </c>
      <c r="V31" s="2" t="s">
        <v>1242</v>
      </c>
      <c r="W31" s="2" t="s">
        <v>187</v>
      </c>
      <c r="X31" s="2" t="s">
        <v>2</v>
      </c>
      <c r="Y31">
        <f t="shared" si="0"/>
        <v>344</v>
      </c>
      <c r="Z31" s="20">
        <v>46103</v>
      </c>
    </row>
    <row r="32" spans="1:26" ht="255" x14ac:dyDescent="0.25">
      <c r="A32" t="s">
        <v>15</v>
      </c>
      <c r="B32" t="s">
        <v>16</v>
      </c>
      <c r="C32" s="2" t="s">
        <v>1030</v>
      </c>
      <c r="D32" s="2" t="s">
        <v>740</v>
      </c>
      <c r="E32" s="2" t="s">
        <v>421</v>
      </c>
      <c r="F32" s="2" t="s">
        <v>18</v>
      </c>
      <c r="G32" s="2" t="s">
        <v>772</v>
      </c>
      <c r="H32" s="2" t="s">
        <v>187</v>
      </c>
      <c r="I32" s="2" t="s">
        <v>2</v>
      </c>
      <c r="J32" s="2" t="s">
        <v>904</v>
      </c>
      <c r="K32" s="2" t="s">
        <v>187</v>
      </c>
      <c r="L32" s="2" t="s">
        <v>2</v>
      </c>
      <c r="M32" s="2" t="s">
        <v>2005</v>
      </c>
      <c r="N32" s="2" t="s">
        <v>187</v>
      </c>
      <c r="O32" s="2" t="s">
        <v>1</v>
      </c>
      <c r="P32" s="2" t="s">
        <v>1894</v>
      </c>
      <c r="Q32" s="2" t="s">
        <v>187</v>
      </c>
      <c r="R32" s="2" t="s">
        <v>2</v>
      </c>
      <c r="S32" s="2" t="s">
        <v>1243</v>
      </c>
      <c r="T32" t="s">
        <v>187</v>
      </c>
      <c r="U32" s="2" t="s">
        <v>1</v>
      </c>
      <c r="V32" s="2" t="s">
        <v>1244</v>
      </c>
      <c r="W32" s="2" t="s">
        <v>187</v>
      </c>
      <c r="X32" s="2" t="s">
        <v>1</v>
      </c>
      <c r="Y32">
        <f t="shared" si="0"/>
        <v>336</v>
      </c>
      <c r="Z32" s="20">
        <v>46103</v>
      </c>
    </row>
    <row r="33" spans="1:26" ht="405" x14ac:dyDescent="0.25">
      <c r="A33" t="s">
        <v>15</v>
      </c>
      <c r="B33" t="s">
        <v>16</v>
      </c>
      <c r="C33" s="2" t="s">
        <v>1030</v>
      </c>
      <c r="D33" s="2" t="s">
        <v>740</v>
      </c>
      <c r="E33" s="2" t="s">
        <v>422</v>
      </c>
      <c r="F33" s="2" t="s">
        <v>23</v>
      </c>
      <c r="G33" s="2" t="s">
        <v>773</v>
      </c>
      <c r="H33" s="2" t="s">
        <v>187</v>
      </c>
      <c r="I33" s="2" t="s">
        <v>2</v>
      </c>
      <c r="J33" s="2" t="s">
        <v>905</v>
      </c>
      <c r="K33" s="2" t="s">
        <v>187</v>
      </c>
      <c r="L33" s="2" t="s">
        <v>2</v>
      </c>
      <c r="M33" s="2" t="s">
        <v>2006</v>
      </c>
      <c r="N33" s="2" t="s">
        <v>187</v>
      </c>
      <c r="O33" s="2" t="s">
        <v>1</v>
      </c>
      <c r="P33" s="2" t="s">
        <v>1895</v>
      </c>
      <c r="Q33" s="2" t="s">
        <v>187</v>
      </c>
      <c r="R33" s="2" t="s">
        <v>2</v>
      </c>
      <c r="S33" s="2" t="s">
        <v>1245</v>
      </c>
      <c r="T33" t="s">
        <v>187</v>
      </c>
      <c r="U33" s="2" t="s">
        <v>2</v>
      </c>
      <c r="V33" s="2" t="s">
        <v>1246</v>
      </c>
      <c r="W33" s="2" t="s">
        <v>187</v>
      </c>
      <c r="X33" s="2" t="s">
        <v>2</v>
      </c>
      <c r="Y33">
        <f t="shared" si="0"/>
        <v>344</v>
      </c>
      <c r="Z33" s="20">
        <v>46103</v>
      </c>
    </row>
    <row r="34" spans="1:26" ht="240" x14ac:dyDescent="0.25">
      <c r="A34" t="s">
        <v>15</v>
      </c>
      <c r="B34" t="s">
        <v>16</v>
      </c>
      <c r="C34" s="2" t="s">
        <v>1030</v>
      </c>
      <c r="D34" s="2" t="s">
        <v>740</v>
      </c>
      <c r="E34" s="2" t="s">
        <v>423</v>
      </c>
      <c r="F34" s="2" t="s">
        <v>18</v>
      </c>
      <c r="G34" s="2" t="s">
        <v>774</v>
      </c>
      <c r="H34" s="2" t="s">
        <v>187</v>
      </c>
      <c r="I34" s="2" t="s">
        <v>2</v>
      </c>
      <c r="J34" s="2" t="s">
        <v>906</v>
      </c>
      <c r="K34" s="2" t="s">
        <v>187</v>
      </c>
      <c r="L34" s="2" t="s">
        <v>2</v>
      </c>
      <c r="M34" s="2" t="s">
        <v>1247</v>
      </c>
      <c r="N34" s="2" t="s">
        <v>187</v>
      </c>
      <c r="O34" s="2" t="s">
        <v>1</v>
      </c>
      <c r="P34" s="2" t="s">
        <v>1896</v>
      </c>
      <c r="Q34" s="2" t="s">
        <v>187</v>
      </c>
      <c r="R34" s="2" t="s">
        <v>1</v>
      </c>
      <c r="S34" s="2" t="s">
        <v>1247</v>
      </c>
      <c r="T34" t="s">
        <v>187</v>
      </c>
      <c r="U34" s="2" t="s">
        <v>1</v>
      </c>
      <c r="V34" s="2" t="s">
        <v>1248</v>
      </c>
      <c r="W34" s="2" t="s">
        <v>187</v>
      </c>
      <c r="X34" s="2" t="s">
        <v>2</v>
      </c>
      <c r="Y34">
        <f t="shared" si="0"/>
        <v>341</v>
      </c>
      <c r="Z34" s="20">
        <v>46103</v>
      </c>
    </row>
    <row r="35" spans="1:26" ht="345" x14ac:dyDescent="0.25">
      <c r="A35" t="s">
        <v>15</v>
      </c>
      <c r="B35" t="s">
        <v>16</v>
      </c>
      <c r="C35" s="2" t="s">
        <v>1030</v>
      </c>
      <c r="D35" s="2" t="s">
        <v>740</v>
      </c>
      <c r="E35" s="2" t="s">
        <v>424</v>
      </c>
      <c r="F35" s="2" t="s">
        <v>23</v>
      </c>
      <c r="G35" s="2" t="s">
        <v>775</v>
      </c>
      <c r="H35" s="2" t="s">
        <v>187</v>
      </c>
      <c r="I35" s="2" t="s">
        <v>2</v>
      </c>
      <c r="J35" s="2" t="s">
        <v>907</v>
      </c>
      <c r="K35" s="2" t="s">
        <v>187</v>
      </c>
      <c r="L35" s="2" t="s">
        <v>2</v>
      </c>
      <c r="M35" s="2" t="s">
        <v>1249</v>
      </c>
      <c r="N35" s="2" t="s">
        <v>187</v>
      </c>
      <c r="O35" s="2" t="s">
        <v>1</v>
      </c>
      <c r="P35" s="2" t="s">
        <v>1897</v>
      </c>
      <c r="Q35" s="2" t="s">
        <v>187</v>
      </c>
      <c r="R35" s="2" t="s">
        <v>2</v>
      </c>
      <c r="S35" s="2" t="s">
        <v>1249</v>
      </c>
      <c r="T35" t="s">
        <v>187</v>
      </c>
      <c r="U35" s="2" t="s">
        <v>1</v>
      </c>
      <c r="V35" s="2" t="s">
        <v>1250</v>
      </c>
      <c r="W35" s="2" t="s">
        <v>187</v>
      </c>
      <c r="X35" s="2" t="s">
        <v>2</v>
      </c>
      <c r="Y35">
        <f t="shared" si="0"/>
        <v>342</v>
      </c>
      <c r="Z35" s="20">
        <v>46103</v>
      </c>
    </row>
    <row r="36" spans="1:26" ht="210" x14ac:dyDescent="0.25">
      <c r="A36" t="s">
        <v>15</v>
      </c>
      <c r="B36" t="s">
        <v>16</v>
      </c>
      <c r="C36" s="2" t="s">
        <v>1030</v>
      </c>
      <c r="D36" s="2" t="s">
        <v>740</v>
      </c>
      <c r="E36" s="2" t="s">
        <v>425</v>
      </c>
      <c r="F36" s="2" t="s">
        <v>21</v>
      </c>
      <c r="G36" s="2" t="s">
        <v>776</v>
      </c>
      <c r="H36" s="2" t="s">
        <v>187</v>
      </c>
      <c r="I36" s="2" t="s">
        <v>2</v>
      </c>
      <c r="J36" s="2" t="s">
        <v>908</v>
      </c>
      <c r="K36" s="2" t="s">
        <v>187</v>
      </c>
      <c r="L36" s="2" t="s">
        <v>2</v>
      </c>
      <c r="M36" s="2" t="s">
        <v>1251</v>
      </c>
      <c r="N36" s="2" t="s">
        <v>187</v>
      </c>
      <c r="O36" s="2" t="s">
        <v>1</v>
      </c>
      <c r="P36" s="2" t="s">
        <v>1898</v>
      </c>
      <c r="Q36" s="2" t="s">
        <v>187</v>
      </c>
      <c r="R36" s="2" t="s">
        <v>2</v>
      </c>
      <c r="S36" s="2" t="s">
        <v>1251</v>
      </c>
      <c r="T36" t="s">
        <v>187</v>
      </c>
      <c r="U36" s="2" t="s">
        <v>1</v>
      </c>
      <c r="V36" s="2" t="s">
        <v>1252</v>
      </c>
      <c r="W36" s="2" t="s">
        <v>187</v>
      </c>
      <c r="X36" s="2" t="s">
        <v>2</v>
      </c>
      <c r="Y36">
        <f t="shared" si="0"/>
        <v>352</v>
      </c>
      <c r="Z36" s="20">
        <v>46103</v>
      </c>
    </row>
    <row r="37" spans="1:26" ht="345" x14ac:dyDescent="0.25">
      <c r="A37" t="s">
        <v>15</v>
      </c>
      <c r="B37" t="s">
        <v>16</v>
      </c>
      <c r="C37" s="2" t="s">
        <v>1030</v>
      </c>
      <c r="D37" s="2" t="s">
        <v>740</v>
      </c>
      <c r="E37" s="2" t="s">
        <v>426</v>
      </c>
      <c r="F37" s="2" t="s">
        <v>23</v>
      </c>
      <c r="G37" s="2" t="s">
        <v>777</v>
      </c>
      <c r="H37" s="2" t="s">
        <v>187</v>
      </c>
      <c r="I37" s="2" t="s">
        <v>2</v>
      </c>
      <c r="J37" s="2" t="s">
        <v>909</v>
      </c>
      <c r="K37" s="2" t="s">
        <v>187</v>
      </c>
      <c r="L37" s="2" t="s">
        <v>2</v>
      </c>
      <c r="M37" s="2" t="s">
        <v>1253</v>
      </c>
      <c r="N37" s="2" t="s">
        <v>187</v>
      </c>
      <c r="O37" s="2" t="s">
        <v>1</v>
      </c>
      <c r="P37" s="2" t="s">
        <v>1899</v>
      </c>
      <c r="Q37" s="2" t="s">
        <v>187</v>
      </c>
      <c r="R37" s="2" t="s">
        <v>2</v>
      </c>
      <c r="S37" s="2" t="s">
        <v>1253</v>
      </c>
      <c r="T37" t="s">
        <v>187</v>
      </c>
      <c r="U37" s="2" t="s">
        <v>1</v>
      </c>
      <c r="V37" s="2" t="s">
        <v>1254</v>
      </c>
      <c r="W37" s="2" t="s">
        <v>187</v>
      </c>
      <c r="X37" s="2" t="s">
        <v>2</v>
      </c>
      <c r="Y37">
        <f t="shared" si="0"/>
        <v>332</v>
      </c>
      <c r="Z37" s="20">
        <v>46103</v>
      </c>
    </row>
    <row r="38" spans="1:26" ht="300" x14ac:dyDescent="0.25">
      <c r="A38" t="s">
        <v>15</v>
      </c>
      <c r="B38" t="s">
        <v>16</v>
      </c>
      <c r="C38" s="2" t="s">
        <v>1030</v>
      </c>
      <c r="D38" s="2" t="s">
        <v>740</v>
      </c>
      <c r="E38" s="2" t="s">
        <v>427</v>
      </c>
      <c r="F38" s="2" t="s">
        <v>23</v>
      </c>
      <c r="G38" s="2" t="s">
        <v>778</v>
      </c>
      <c r="H38" s="2" t="s">
        <v>187</v>
      </c>
      <c r="I38" s="2" t="s">
        <v>2</v>
      </c>
      <c r="J38" s="2" t="s">
        <v>910</v>
      </c>
      <c r="K38" s="2" t="s">
        <v>187</v>
      </c>
      <c r="L38" s="2" t="s">
        <v>2</v>
      </c>
      <c r="M38" s="2" t="s">
        <v>2007</v>
      </c>
      <c r="N38" s="2" t="s">
        <v>187</v>
      </c>
      <c r="O38" s="2" t="s">
        <v>1</v>
      </c>
      <c r="P38" s="2" t="s">
        <v>1900</v>
      </c>
      <c r="Q38" s="2" t="s">
        <v>187</v>
      </c>
      <c r="R38" s="2" t="s">
        <v>2</v>
      </c>
      <c r="S38" s="2" t="s">
        <v>1255</v>
      </c>
      <c r="T38" t="s">
        <v>187</v>
      </c>
      <c r="U38" s="2" t="s">
        <v>2</v>
      </c>
      <c r="V38" s="2" t="s">
        <v>1256</v>
      </c>
      <c r="W38" s="2" t="s">
        <v>187</v>
      </c>
      <c r="X38" s="2" t="s">
        <v>2</v>
      </c>
      <c r="Y38">
        <f t="shared" si="0"/>
        <v>336</v>
      </c>
      <c r="Z38" s="20">
        <v>46103</v>
      </c>
    </row>
    <row r="39" spans="1:26" ht="375" x14ac:dyDescent="0.25">
      <c r="A39" t="s">
        <v>15</v>
      </c>
      <c r="B39" t="s">
        <v>16</v>
      </c>
      <c r="C39" s="2" t="s">
        <v>1030</v>
      </c>
      <c r="D39" s="2" t="s">
        <v>740</v>
      </c>
      <c r="E39" s="2" t="s">
        <v>428</v>
      </c>
      <c r="F39" s="2" t="s">
        <v>18</v>
      </c>
      <c r="G39" s="2" t="s">
        <v>779</v>
      </c>
      <c r="H39" s="2" t="s">
        <v>187</v>
      </c>
      <c r="I39" s="2" t="s">
        <v>2</v>
      </c>
      <c r="J39" s="2" t="s">
        <v>911</v>
      </c>
      <c r="K39" s="2" t="s">
        <v>187</v>
      </c>
      <c r="L39" s="2" t="s">
        <v>2</v>
      </c>
      <c r="M39" s="2" t="s">
        <v>2008</v>
      </c>
      <c r="N39" s="2" t="s">
        <v>187</v>
      </c>
      <c r="O39" s="2" t="s">
        <v>1</v>
      </c>
      <c r="P39" s="2" t="s">
        <v>1901</v>
      </c>
      <c r="Q39" s="2" t="s">
        <v>187</v>
      </c>
      <c r="R39" s="2" t="s">
        <v>2</v>
      </c>
      <c r="S39" s="2" t="s">
        <v>1257</v>
      </c>
      <c r="T39" t="s">
        <v>3</v>
      </c>
      <c r="U39" s="2" t="s">
        <v>2</v>
      </c>
      <c r="V39" s="2" t="s">
        <v>1258</v>
      </c>
      <c r="W39" s="2" t="s">
        <v>3</v>
      </c>
      <c r="X39" s="2" t="s">
        <v>2</v>
      </c>
      <c r="Y39">
        <f t="shared" si="0"/>
        <v>340</v>
      </c>
      <c r="Z39" s="20">
        <v>46103</v>
      </c>
    </row>
    <row r="40" spans="1:26" ht="195" x14ac:dyDescent="0.25">
      <c r="A40" t="s">
        <v>15</v>
      </c>
      <c r="B40" t="s">
        <v>16</v>
      </c>
      <c r="C40" s="2" t="s">
        <v>1030</v>
      </c>
      <c r="D40" s="2" t="s">
        <v>740</v>
      </c>
      <c r="E40" s="2" t="s">
        <v>429</v>
      </c>
      <c r="F40" s="2" t="s">
        <v>21</v>
      </c>
      <c r="G40" s="2" t="s">
        <v>780</v>
      </c>
      <c r="H40" s="2" t="s">
        <v>187</v>
      </c>
      <c r="I40" s="2" t="s">
        <v>2</v>
      </c>
      <c r="J40" s="2" t="s">
        <v>912</v>
      </c>
      <c r="K40" s="2" t="s">
        <v>187</v>
      </c>
      <c r="L40" s="2" t="s">
        <v>2</v>
      </c>
      <c r="M40" s="2" t="s">
        <v>1259</v>
      </c>
      <c r="N40" s="2" t="s">
        <v>187</v>
      </c>
      <c r="O40" s="2" t="s">
        <v>1</v>
      </c>
      <c r="P40" s="2" t="s">
        <v>1902</v>
      </c>
      <c r="Q40" s="2" t="s">
        <v>187</v>
      </c>
      <c r="R40" s="2" t="s">
        <v>2</v>
      </c>
      <c r="S40" s="2" t="s">
        <v>1259</v>
      </c>
      <c r="T40" t="s">
        <v>187</v>
      </c>
      <c r="U40" s="2" t="s">
        <v>1</v>
      </c>
      <c r="V40" s="2" t="s">
        <v>1260</v>
      </c>
      <c r="W40" s="2" t="s">
        <v>187</v>
      </c>
      <c r="X40" s="2" t="s">
        <v>2</v>
      </c>
      <c r="Y40">
        <f t="shared" si="0"/>
        <v>347</v>
      </c>
      <c r="Z40" s="20">
        <v>46103</v>
      </c>
    </row>
    <row r="41" spans="1:26" ht="210" x14ac:dyDescent="0.25">
      <c r="A41" t="s">
        <v>15</v>
      </c>
      <c r="B41" t="s">
        <v>16</v>
      </c>
      <c r="C41" s="2" t="s">
        <v>1030</v>
      </c>
      <c r="D41" s="2" t="s">
        <v>740</v>
      </c>
      <c r="E41" s="2" t="s">
        <v>430</v>
      </c>
      <c r="F41" s="2" t="s">
        <v>18</v>
      </c>
      <c r="G41" s="2" t="s">
        <v>781</v>
      </c>
      <c r="H41" s="2" t="s">
        <v>187</v>
      </c>
      <c r="I41" s="2" t="s">
        <v>1</v>
      </c>
      <c r="J41" s="2" t="s">
        <v>913</v>
      </c>
      <c r="K41" s="2" t="s">
        <v>187</v>
      </c>
      <c r="L41" s="2" t="s">
        <v>2</v>
      </c>
      <c r="M41" s="2" t="s">
        <v>781</v>
      </c>
      <c r="N41" s="2" t="s">
        <v>187</v>
      </c>
      <c r="O41" s="2" t="s">
        <v>1</v>
      </c>
      <c r="P41" s="2" t="s">
        <v>1903</v>
      </c>
      <c r="Q41" s="2" t="s">
        <v>187</v>
      </c>
      <c r="R41" s="2" t="s">
        <v>2</v>
      </c>
      <c r="S41" s="2" t="s">
        <v>1261</v>
      </c>
      <c r="T41" t="s">
        <v>3</v>
      </c>
      <c r="U41" s="2" t="s">
        <v>1</v>
      </c>
      <c r="V41" s="2" t="s">
        <v>1262</v>
      </c>
      <c r="W41" s="2" t="s">
        <v>187</v>
      </c>
      <c r="X41" s="2" t="s">
        <v>1</v>
      </c>
      <c r="Y41">
        <f t="shared" si="0"/>
        <v>333</v>
      </c>
      <c r="Z41" s="20">
        <v>46103</v>
      </c>
    </row>
    <row r="42" spans="1:26" ht="375" x14ac:dyDescent="0.25">
      <c r="A42" t="s">
        <v>15</v>
      </c>
      <c r="B42" t="s">
        <v>16</v>
      </c>
      <c r="C42" s="2" t="s">
        <v>1030</v>
      </c>
      <c r="D42" s="2" t="s">
        <v>740</v>
      </c>
      <c r="E42" s="2" t="s">
        <v>431</v>
      </c>
      <c r="F42" s="2" t="s">
        <v>21</v>
      </c>
      <c r="G42" s="2" t="s">
        <v>782</v>
      </c>
      <c r="H42" s="2" t="s">
        <v>187</v>
      </c>
      <c r="I42" s="2" t="s">
        <v>2</v>
      </c>
      <c r="J42" s="2" t="s">
        <v>914</v>
      </c>
      <c r="K42" s="2" t="s">
        <v>187</v>
      </c>
      <c r="L42" s="2" t="s">
        <v>2</v>
      </c>
      <c r="M42" s="2" t="s">
        <v>1263</v>
      </c>
      <c r="N42" s="2" t="s">
        <v>187</v>
      </c>
      <c r="O42" s="2" t="s">
        <v>1</v>
      </c>
      <c r="P42" s="2" t="s">
        <v>1904</v>
      </c>
      <c r="Q42" s="2" t="s">
        <v>187</v>
      </c>
      <c r="R42" s="2" t="s">
        <v>2</v>
      </c>
      <c r="S42" s="2" t="s">
        <v>1263</v>
      </c>
      <c r="T42" t="s">
        <v>187</v>
      </c>
      <c r="U42" s="2" t="s">
        <v>1</v>
      </c>
      <c r="V42" s="2" t="s">
        <v>1264</v>
      </c>
      <c r="W42" s="2" t="s">
        <v>187</v>
      </c>
      <c r="X42" s="2" t="s">
        <v>2</v>
      </c>
      <c r="Y42">
        <f t="shared" si="0"/>
        <v>341</v>
      </c>
      <c r="Z42" s="20">
        <v>46103</v>
      </c>
    </row>
    <row r="43" spans="1:26" ht="255" x14ac:dyDescent="0.25">
      <c r="A43" t="s">
        <v>15</v>
      </c>
      <c r="B43" t="s">
        <v>16</v>
      </c>
      <c r="C43" s="2" t="s">
        <v>1030</v>
      </c>
      <c r="D43" s="2" t="s">
        <v>740</v>
      </c>
      <c r="E43" s="2" t="s">
        <v>432</v>
      </c>
      <c r="F43" s="2" t="s">
        <v>21</v>
      </c>
      <c r="G43" s="2" t="s">
        <v>783</v>
      </c>
      <c r="H43" s="2" t="s">
        <v>187</v>
      </c>
      <c r="I43" s="2" t="s">
        <v>2</v>
      </c>
      <c r="J43" s="2" t="s">
        <v>915</v>
      </c>
      <c r="K43" s="2" t="s">
        <v>187</v>
      </c>
      <c r="L43" s="2" t="s">
        <v>2</v>
      </c>
      <c r="M43" s="2" t="s">
        <v>1265</v>
      </c>
      <c r="N43" s="2" t="s">
        <v>187</v>
      </c>
      <c r="O43" s="2" t="s">
        <v>1</v>
      </c>
      <c r="P43" s="2" t="s">
        <v>1905</v>
      </c>
      <c r="Q43" s="2" t="s">
        <v>187</v>
      </c>
      <c r="R43" s="2" t="s">
        <v>2</v>
      </c>
      <c r="S43" s="2" t="s">
        <v>1265</v>
      </c>
      <c r="T43" t="s">
        <v>187</v>
      </c>
      <c r="U43" s="2" t="s">
        <v>1</v>
      </c>
      <c r="V43" s="2" t="s">
        <v>1266</v>
      </c>
      <c r="W43" s="2" t="s">
        <v>187</v>
      </c>
      <c r="X43" s="2" t="s">
        <v>2</v>
      </c>
      <c r="Y43">
        <f t="shared" si="0"/>
        <v>347</v>
      </c>
      <c r="Z43" s="20">
        <v>46103</v>
      </c>
    </row>
    <row r="44" spans="1:26" ht="409.5" x14ac:dyDescent="0.25">
      <c r="A44" t="s">
        <v>15</v>
      </c>
      <c r="B44" t="s">
        <v>16</v>
      </c>
      <c r="C44" s="2" t="s">
        <v>1030</v>
      </c>
      <c r="D44" s="2" t="s">
        <v>740</v>
      </c>
      <c r="E44" s="2" t="s">
        <v>433</v>
      </c>
      <c r="F44" s="2" t="s">
        <v>21</v>
      </c>
      <c r="G44" s="2" t="s">
        <v>784</v>
      </c>
      <c r="H44" s="2" t="s">
        <v>187</v>
      </c>
      <c r="I44" s="2" t="s">
        <v>2</v>
      </c>
      <c r="J44" s="2" t="s">
        <v>916</v>
      </c>
      <c r="K44" s="2" t="s">
        <v>187</v>
      </c>
      <c r="L44" s="2" t="s">
        <v>2</v>
      </c>
      <c r="M44" s="2" t="s">
        <v>1267</v>
      </c>
      <c r="N44" s="2" t="s">
        <v>187</v>
      </c>
      <c r="O44" s="2" t="s">
        <v>1</v>
      </c>
      <c r="P44" s="2" t="s">
        <v>1906</v>
      </c>
      <c r="Q44" s="2" t="s">
        <v>187</v>
      </c>
      <c r="R44" s="2" t="s">
        <v>2</v>
      </c>
      <c r="S44" s="2" t="s">
        <v>1267</v>
      </c>
      <c r="T44" t="s">
        <v>187</v>
      </c>
      <c r="U44" s="2" t="s">
        <v>1</v>
      </c>
      <c r="V44" s="2" t="s">
        <v>1268</v>
      </c>
      <c r="W44" s="2" t="s">
        <v>187</v>
      </c>
      <c r="X44" s="2" t="s">
        <v>2</v>
      </c>
      <c r="Y44">
        <f t="shared" si="0"/>
        <v>344</v>
      </c>
      <c r="Z44" s="20">
        <v>46103</v>
      </c>
    </row>
    <row r="45" spans="1:26" ht="195" x14ac:dyDescent="0.25">
      <c r="A45" t="s">
        <v>15</v>
      </c>
      <c r="B45" t="s">
        <v>16</v>
      </c>
      <c r="C45" s="2" t="s">
        <v>1030</v>
      </c>
      <c r="D45" s="2" t="s">
        <v>740</v>
      </c>
      <c r="E45" s="2" t="s">
        <v>434</v>
      </c>
      <c r="F45" s="2" t="s">
        <v>23</v>
      </c>
      <c r="G45" s="2" t="s">
        <v>785</v>
      </c>
      <c r="H45" s="2" t="s">
        <v>187</v>
      </c>
      <c r="I45" s="2" t="s">
        <v>2</v>
      </c>
      <c r="J45" s="2" t="s">
        <v>917</v>
      </c>
      <c r="K45" s="2" t="s">
        <v>187</v>
      </c>
      <c r="L45" s="2" t="s">
        <v>2</v>
      </c>
      <c r="M45" s="2" t="s">
        <v>2009</v>
      </c>
      <c r="N45" s="2" t="s">
        <v>187</v>
      </c>
      <c r="O45" s="2" t="s">
        <v>1</v>
      </c>
      <c r="P45" s="2" t="s">
        <v>1907</v>
      </c>
      <c r="Q45" s="2" t="s">
        <v>187</v>
      </c>
      <c r="R45" s="2" t="s">
        <v>2</v>
      </c>
      <c r="S45" s="2" t="s">
        <v>1269</v>
      </c>
      <c r="T45" t="s">
        <v>187</v>
      </c>
      <c r="U45" s="2" t="s">
        <v>1</v>
      </c>
      <c r="V45" s="2" t="s">
        <v>1270</v>
      </c>
      <c r="W45" s="2" t="s">
        <v>187</v>
      </c>
      <c r="X45" s="2" t="s">
        <v>2</v>
      </c>
      <c r="Y45">
        <f t="shared" si="0"/>
        <v>338</v>
      </c>
      <c r="Z45" s="20">
        <v>46103</v>
      </c>
    </row>
    <row r="46" spans="1:26" ht="315" x14ac:dyDescent="0.25">
      <c r="A46" t="s">
        <v>15</v>
      </c>
      <c r="B46" t="s">
        <v>16</v>
      </c>
      <c r="C46" s="2" t="s">
        <v>1030</v>
      </c>
      <c r="D46" s="2" t="s">
        <v>740</v>
      </c>
      <c r="E46" s="2" t="s">
        <v>435</v>
      </c>
      <c r="F46" s="2" t="s">
        <v>21</v>
      </c>
      <c r="G46" s="2" t="s">
        <v>786</v>
      </c>
      <c r="H46" s="2" t="s">
        <v>187</v>
      </c>
      <c r="I46" s="2" t="s">
        <v>2</v>
      </c>
      <c r="J46" s="2" t="s">
        <v>918</v>
      </c>
      <c r="K46" s="2" t="s">
        <v>187</v>
      </c>
      <c r="L46" s="2" t="s">
        <v>2</v>
      </c>
      <c r="M46" s="2" t="s">
        <v>1271</v>
      </c>
      <c r="N46" s="2" t="s">
        <v>187</v>
      </c>
      <c r="O46" s="2" t="s">
        <v>1</v>
      </c>
      <c r="P46" s="2" t="s">
        <v>1908</v>
      </c>
      <c r="Q46" s="2" t="s">
        <v>187</v>
      </c>
      <c r="R46" s="2" t="s">
        <v>2</v>
      </c>
      <c r="S46" s="2" t="s">
        <v>1271</v>
      </c>
      <c r="T46" t="s">
        <v>187</v>
      </c>
      <c r="U46" s="2" t="s">
        <v>1</v>
      </c>
      <c r="V46" s="2" t="s">
        <v>1272</v>
      </c>
      <c r="W46" s="2" t="s">
        <v>187</v>
      </c>
      <c r="X46" s="2" t="s">
        <v>2</v>
      </c>
      <c r="Y46">
        <f t="shared" si="0"/>
        <v>344</v>
      </c>
      <c r="Z46" s="20">
        <v>46103</v>
      </c>
    </row>
    <row r="47" spans="1:26" ht="255" x14ac:dyDescent="0.25">
      <c r="A47" t="s">
        <v>15</v>
      </c>
      <c r="B47" t="s">
        <v>16</v>
      </c>
      <c r="C47" s="2" t="s">
        <v>1030</v>
      </c>
      <c r="D47" s="2" t="s">
        <v>740</v>
      </c>
      <c r="E47" s="2" t="s">
        <v>436</v>
      </c>
      <c r="F47" s="2" t="s">
        <v>23</v>
      </c>
      <c r="G47" s="2" t="s">
        <v>787</v>
      </c>
      <c r="H47" s="2" t="s">
        <v>187</v>
      </c>
      <c r="I47" s="2" t="s">
        <v>2</v>
      </c>
      <c r="J47" s="2" t="s">
        <v>919</v>
      </c>
      <c r="K47" s="2" t="s">
        <v>187</v>
      </c>
      <c r="L47" s="2" t="s">
        <v>2</v>
      </c>
      <c r="M47" s="2" t="s">
        <v>1273</v>
      </c>
      <c r="N47" s="2" t="s">
        <v>187</v>
      </c>
      <c r="O47" s="2" t="s">
        <v>1</v>
      </c>
      <c r="P47" s="2" t="s">
        <v>1909</v>
      </c>
      <c r="Q47" s="2" t="s">
        <v>187</v>
      </c>
      <c r="R47" s="2" t="s">
        <v>2</v>
      </c>
      <c r="S47" s="2" t="s">
        <v>1273</v>
      </c>
      <c r="T47" t="s">
        <v>187</v>
      </c>
      <c r="U47" s="2" t="s">
        <v>1</v>
      </c>
      <c r="V47" s="2" t="s">
        <v>1274</v>
      </c>
      <c r="W47" s="2" t="s">
        <v>187</v>
      </c>
      <c r="X47" s="2" t="s">
        <v>2</v>
      </c>
      <c r="Y47">
        <f t="shared" si="0"/>
        <v>349</v>
      </c>
      <c r="Z47" s="20">
        <v>46103</v>
      </c>
    </row>
    <row r="48" spans="1:26" ht="409.5" x14ac:dyDescent="0.25">
      <c r="A48" t="s">
        <v>15</v>
      </c>
      <c r="B48" t="s">
        <v>16</v>
      </c>
      <c r="C48" s="2" t="s">
        <v>1030</v>
      </c>
      <c r="D48" s="2" t="s">
        <v>740</v>
      </c>
      <c r="E48" s="2" t="s">
        <v>437</v>
      </c>
      <c r="F48" s="2" t="s">
        <v>21</v>
      </c>
      <c r="G48" s="2" t="s">
        <v>788</v>
      </c>
      <c r="H48" s="2" t="s">
        <v>187</v>
      </c>
      <c r="I48" s="2" t="s">
        <v>2</v>
      </c>
      <c r="J48" s="2" t="s">
        <v>920</v>
      </c>
      <c r="K48" s="2" t="s">
        <v>187</v>
      </c>
      <c r="L48" s="2" t="s">
        <v>2</v>
      </c>
      <c r="M48" s="2" t="s">
        <v>2010</v>
      </c>
      <c r="N48" s="2" t="s">
        <v>187</v>
      </c>
      <c r="O48" s="2" t="s">
        <v>1</v>
      </c>
      <c r="P48" s="2" t="s">
        <v>1910</v>
      </c>
      <c r="Q48" s="2" t="s">
        <v>187</v>
      </c>
      <c r="R48" s="2" t="s">
        <v>2</v>
      </c>
      <c r="S48" s="2" t="s">
        <v>1275</v>
      </c>
      <c r="T48" t="s">
        <v>187</v>
      </c>
      <c r="U48" s="2" t="s">
        <v>2</v>
      </c>
      <c r="V48" s="2" t="s">
        <v>1276</v>
      </c>
      <c r="W48" s="2" t="s">
        <v>187</v>
      </c>
      <c r="X48" s="2" t="s">
        <v>2</v>
      </c>
      <c r="Y48">
        <f t="shared" si="0"/>
        <v>347</v>
      </c>
      <c r="Z48" s="20">
        <v>46103</v>
      </c>
    </row>
    <row r="49" spans="1:26" ht="315" x14ac:dyDescent="0.25">
      <c r="A49" t="s">
        <v>15</v>
      </c>
      <c r="B49" t="s">
        <v>16</v>
      </c>
      <c r="C49" s="2" t="s">
        <v>1030</v>
      </c>
      <c r="D49" s="2" t="s">
        <v>740</v>
      </c>
      <c r="E49" s="2" t="s">
        <v>438</v>
      </c>
      <c r="F49" s="2" t="s">
        <v>18</v>
      </c>
      <c r="G49" s="2" t="s">
        <v>789</v>
      </c>
      <c r="H49" s="2" t="s">
        <v>187</v>
      </c>
      <c r="I49" s="2" t="s">
        <v>2</v>
      </c>
      <c r="J49" s="2" t="s">
        <v>921</v>
      </c>
      <c r="K49" s="2" t="s">
        <v>187</v>
      </c>
      <c r="L49" s="2" t="s">
        <v>2</v>
      </c>
      <c r="M49" s="2" t="s">
        <v>1277</v>
      </c>
      <c r="N49" s="2" t="s">
        <v>187</v>
      </c>
      <c r="O49" s="2" t="s">
        <v>1</v>
      </c>
      <c r="P49" s="2" t="s">
        <v>1911</v>
      </c>
      <c r="Q49" s="2" t="s">
        <v>187</v>
      </c>
      <c r="R49" s="2" t="s">
        <v>2</v>
      </c>
      <c r="S49" s="2" t="s">
        <v>1277</v>
      </c>
      <c r="T49" t="s">
        <v>187</v>
      </c>
      <c r="U49" s="2" t="s">
        <v>1</v>
      </c>
      <c r="V49" s="2" t="s">
        <v>1278</v>
      </c>
      <c r="W49" s="2" t="s">
        <v>187</v>
      </c>
      <c r="X49" s="2" t="s">
        <v>2</v>
      </c>
      <c r="Y49">
        <f t="shared" si="0"/>
        <v>340</v>
      </c>
      <c r="Z49" s="20">
        <v>46103</v>
      </c>
    </row>
    <row r="50" spans="1:26" ht="285" x14ac:dyDescent="0.25">
      <c r="A50" t="s">
        <v>15</v>
      </c>
      <c r="B50" t="s">
        <v>16</v>
      </c>
      <c r="C50" s="2" t="s">
        <v>1030</v>
      </c>
      <c r="D50" s="2" t="s">
        <v>740</v>
      </c>
      <c r="E50" s="2" t="s">
        <v>439</v>
      </c>
      <c r="F50" s="2" t="s">
        <v>23</v>
      </c>
      <c r="G50" s="2" t="s">
        <v>790</v>
      </c>
      <c r="H50" s="2" t="s">
        <v>187</v>
      </c>
      <c r="I50" s="2" t="s">
        <v>2</v>
      </c>
      <c r="J50" s="2" t="s">
        <v>922</v>
      </c>
      <c r="K50" s="2" t="s">
        <v>187</v>
      </c>
      <c r="L50" s="2" t="s">
        <v>2</v>
      </c>
      <c r="M50" s="2" t="s">
        <v>2011</v>
      </c>
      <c r="N50" s="2" t="s">
        <v>187</v>
      </c>
      <c r="O50" s="2" t="s">
        <v>1</v>
      </c>
      <c r="P50" s="2" t="s">
        <v>1912</v>
      </c>
      <c r="Q50" s="2" t="s">
        <v>187</v>
      </c>
      <c r="R50" s="2" t="s">
        <v>2</v>
      </c>
      <c r="S50" s="2" t="s">
        <v>1279</v>
      </c>
      <c r="T50" t="s">
        <v>187</v>
      </c>
      <c r="U50" s="2" t="s">
        <v>1</v>
      </c>
      <c r="V50" s="2" t="s">
        <v>1280</v>
      </c>
      <c r="W50" s="2" t="s">
        <v>187</v>
      </c>
      <c r="X50" s="2" t="s">
        <v>2</v>
      </c>
      <c r="Y50">
        <f t="shared" si="0"/>
        <v>346</v>
      </c>
      <c r="Z50" s="20">
        <v>46103</v>
      </c>
    </row>
    <row r="51" spans="1:26" ht="225" x14ac:dyDescent="0.25">
      <c r="A51" t="s">
        <v>15</v>
      </c>
      <c r="B51" t="s">
        <v>16</v>
      </c>
      <c r="C51" s="2" t="s">
        <v>1030</v>
      </c>
      <c r="D51" s="2" t="s">
        <v>740</v>
      </c>
      <c r="E51" s="2" t="s">
        <v>440</v>
      </c>
      <c r="F51" s="2" t="s">
        <v>21</v>
      </c>
      <c r="G51" s="2" t="s">
        <v>791</v>
      </c>
      <c r="H51" s="2" t="s">
        <v>187</v>
      </c>
      <c r="I51" s="2" t="s">
        <v>2</v>
      </c>
      <c r="J51" s="2" t="s">
        <v>923</v>
      </c>
      <c r="K51" s="2" t="s">
        <v>187</v>
      </c>
      <c r="L51" s="2" t="s">
        <v>2</v>
      </c>
      <c r="M51" s="2" t="s">
        <v>791</v>
      </c>
      <c r="N51" s="2" t="s">
        <v>187</v>
      </c>
      <c r="O51" s="2" t="s">
        <v>1</v>
      </c>
      <c r="P51" s="2" t="s">
        <v>1913</v>
      </c>
      <c r="Q51" s="2" t="s">
        <v>187</v>
      </c>
      <c r="R51" s="2" t="s">
        <v>2</v>
      </c>
      <c r="S51" s="2" t="s">
        <v>791</v>
      </c>
      <c r="T51" t="s">
        <v>187</v>
      </c>
      <c r="U51" s="2" t="s">
        <v>1</v>
      </c>
      <c r="V51" s="2" t="s">
        <v>1281</v>
      </c>
      <c r="W51" s="2" t="s">
        <v>187</v>
      </c>
      <c r="X51" s="2" t="s">
        <v>2</v>
      </c>
      <c r="Y51">
        <f t="shared" si="0"/>
        <v>345</v>
      </c>
      <c r="Z51" s="20">
        <v>46103</v>
      </c>
    </row>
    <row r="52" spans="1:26" ht="345" x14ac:dyDescent="0.25">
      <c r="A52" t="s">
        <v>15</v>
      </c>
      <c r="B52" t="s">
        <v>16</v>
      </c>
      <c r="C52" s="2" t="s">
        <v>1030</v>
      </c>
      <c r="D52" s="2" t="s">
        <v>740</v>
      </c>
      <c r="E52" s="2" t="s">
        <v>441</v>
      </c>
      <c r="F52" s="2" t="s">
        <v>23</v>
      </c>
      <c r="G52" s="2" t="s">
        <v>792</v>
      </c>
      <c r="H52" s="2" t="s">
        <v>187</v>
      </c>
      <c r="I52" s="2" t="s">
        <v>2</v>
      </c>
      <c r="J52" s="2" t="s">
        <v>924</v>
      </c>
      <c r="K52" s="2" t="s">
        <v>187</v>
      </c>
      <c r="L52" s="2" t="s">
        <v>2</v>
      </c>
      <c r="M52" s="2" t="s">
        <v>1282</v>
      </c>
      <c r="N52" s="2" t="s">
        <v>187</v>
      </c>
      <c r="O52" s="2" t="s">
        <v>1</v>
      </c>
      <c r="P52" s="2" t="s">
        <v>1914</v>
      </c>
      <c r="Q52" s="2" t="s">
        <v>187</v>
      </c>
      <c r="R52" s="2" t="s">
        <v>2</v>
      </c>
      <c r="S52" s="2" t="s">
        <v>1282</v>
      </c>
      <c r="T52" t="s">
        <v>187</v>
      </c>
      <c r="U52" s="2" t="s">
        <v>1</v>
      </c>
      <c r="V52" s="2" t="s">
        <v>1283</v>
      </c>
      <c r="W52" s="2" t="s">
        <v>187</v>
      </c>
      <c r="X52" s="2" t="s">
        <v>2</v>
      </c>
      <c r="Y52">
        <f t="shared" si="0"/>
        <v>334</v>
      </c>
      <c r="Z52" s="20">
        <v>46103</v>
      </c>
    </row>
    <row r="53" spans="1:26" ht="225" x14ac:dyDescent="0.25">
      <c r="A53" t="s">
        <v>15</v>
      </c>
      <c r="B53" t="s">
        <v>16</v>
      </c>
      <c r="C53" s="2" t="s">
        <v>1030</v>
      </c>
      <c r="D53" s="2" t="s">
        <v>740</v>
      </c>
      <c r="E53" s="2" t="s">
        <v>442</v>
      </c>
      <c r="F53" s="2" t="s">
        <v>21</v>
      </c>
      <c r="G53" s="2" t="s">
        <v>793</v>
      </c>
      <c r="H53" s="2" t="s">
        <v>187</v>
      </c>
      <c r="I53" s="2" t="s">
        <v>1</v>
      </c>
      <c r="J53" s="2" t="s">
        <v>925</v>
      </c>
      <c r="K53" s="2" t="s">
        <v>187</v>
      </c>
      <c r="L53" s="2" t="s">
        <v>2</v>
      </c>
      <c r="M53" s="2" t="s">
        <v>793</v>
      </c>
      <c r="N53" s="2" t="s">
        <v>187</v>
      </c>
      <c r="O53" s="2" t="s">
        <v>1</v>
      </c>
      <c r="P53" s="2" t="s">
        <v>1915</v>
      </c>
      <c r="Q53" s="2" t="s">
        <v>187</v>
      </c>
      <c r="R53" s="2" t="s">
        <v>2</v>
      </c>
      <c r="S53" s="2" t="s">
        <v>793</v>
      </c>
      <c r="T53" t="s">
        <v>187</v>
      </c>
      <c r="U53" s="2" t="s">
        <v>1</v>
      </c>
      <c r="V53" s="2" t="s">
        <v>1284</v>
      </c>
      <c r="W53" s="2" t="s">
        <v>187</v>
      </c>
      <c r="X53" s="2" t="s">
        <v>2</v>
      </c>
      <c r="Y53">
        <f t="shared" si="0"/>
        <v>341</v>
      </c>
      <c r="Z53" s="20">
        <v>46103</v>
      </c>
    </row>
    <row r="54" spans="1:26" ht="240" x14ac:dyDescent="0.25">
      <c r="A54" t="s">
        <v>15</v>
      </c>
      <c r="B54" t="s">
        <v>16</v>
      </c>
      <c r="C54" s="2" t="s">
        <v>1030</v>
      </c>
      <c r="D54" s="2" t="s">
        <v>740</v>
      </c>
      <c r="E54" s="2" t="s">
        <v>443</v>
      </c>
      <c r="F54" s="2" t="s">
        <v>18</v>
      </c>
      <c r="G54" s="2" t="s">
        <v>794</v>
      </c>
      <c r="H54" s="2" t="s">
        <v>187</v>
      </c>
      <c r="I54" s="2" t="s">
        <v>1</v>
      </c>
      <c r="J54" s="2" t="s">
        <v>926</v>
      </c>
      <c r="K54" s="2" t="s">
        <v>187</v>
      </c>
      <c r="L54" s="2" t="s">
        <v>2</v>
      </c>
      <c r="M54" s="2" t="s">
        <v>794</v>
      </c>
      <c r="N54" s="2" t="s">
        <v>187</v>
      </c>
      <c r="O54" s="2" t="s">
        <v>1</v>
      </c>
      <c r="P54" s="2" t="s">
        <v>1916</v>
      </c>
      <c r="Q54" s="2" t="s">
        <v>187</v>
      </c>
      <c r="R54" s="2" t="s">
        <v>2</v>
      </c>
      <c r="S54" s="2" t="s">
        <v>1285</v>
      </c>
      <c r="T54" t="s">
        <v>3</v>
      </c>
      <c r="U54" s="2" t="s">
        <v>2</v>
      </c>
      <c r="V54" s="2" t="s">
        <v>1286</v>
      </c>
      <c r="W54" s="2" t="s">
        <v>187</v>
      </c>
      <c r="X54" s="2" t="s">
        <v>1</v>
      </c>
      <c r="Y54">
        <f t="shared" si="0"/>
        <v>332</v>
      </c>
      <c r="Z54" s="20">
        <v>46103</v>
      </c>
    </row>
    <row r="55" spans="1:26" ht="255" x14ac:dyDescent="0.25">
      <c r="A55" t="s">
        <v>15</v>
      </c>
      <c r="B55" t="s">
        <v>70</v>
      </c>
      <c r="C55" s="2" t="s">
        <v>1030</v>
      </c>
      <c r="D55" s="2" t="s">
        <v>741</v>
      </c>
      <c r="E55" s="2" t="s">
        <v>71</v>
      </c>
      <c r="F55" s="2" t="s">
        <v>23</v>
      </c>
      <c r="G55" s="2" t="s">
        <v>735</v>
      </c>
      <c r="H55" s="2" t="s">
        <v>3</v>
      </c>
      <c r="I55" s="2" t="s">
        <v>1</v>
      </c>
      <c r="J55" s="2" t="s">
        <v>927</v>
      </c>
      <c r="K55" s="2" t="s">
        <v>187</v>
      </c>
      <c r="L55" s="2" t="s">
        <v>2</v>
      </c>
      <c r="M55" s="2" t="s">
        <v>2012</v>
      </c>
      <c r="N55" s="2" t="s">
        <v>187</v>
      </c>
      <c r="O55" s="2" t="s">
        <v>1</v>
      </c>
      <c r="P55" s="2" t="s">
        <v>1917</v>
      </c>
      <c r="Q55" s="2" t="s">
        <v>187</v>
      </c>
      <c r="R55" s="2" t="s">
        <v>2</v>
      </c>
      <c r="S55" s="2" t="s">
        <v>1287</v>
      </c>
      <c r="T55" t="s">
        <v>187</v>
      </c>
      <c r="U55" s="2" t="s">
        <v>1</v>
      </c>
      <c r="V55" s="2" t="s">
        <v>1288</v>
      </c>
      <c r="W55" s="2" t="s">
        <v>187</v>
      </c>
      <c r="X55" s="2" t="s">
        <v>2</v>
      </c>
      <c r="Y55">
        <f t="shared" si="0"/>
        <v>370</v>
      </c>
      <c r="Z55" s="20">
        <v>46103</v>
      </c>
    </row>
    <row r="56" spans="1:26" ht="270" x14ac:dyDescent="0.25">
      <c r="A56" t="s">
        <v>15</v>
      </c>
      <c r="B56" t="s">
        <v>70</v>
      </c>
      <c r="C56" s="2" t="s">
        <v>1030</v>
      </c>
      <c r="D56" s="2" t="s">
        <v>741</v>
      </c>
      <c r="E56" s="2" t="s">
        <v>73</v>
      </c>
      <c r="F56" s="2" t="s">
        <v>23</v>
      </c>
      <c r="G56" s="2" t="s">
        <v>795</v>
      </c>
      <c r="H56" s="2" t="s">
        <v>187</v>
      </c>
      <c r="I56" s="2" t="s">
        <v>1</v>
      </c>
      <c r="J56" s="2" t="s">
        <v>928</v>
      </c>
      <c r="K56" s="2" t="s">
        <v>187</v>
      </c>
      <c r="L56" s="2" t="s">
        <v>2</v>
      </c>
      <c r="M56" s="2" t="s">
        <v>2013</v>
      </c>
      <c r="N56" s="2" t="s">
        <v>187</v>
      </c>
      <c r="O56" s="2" t="s">
        <v>1</v>
      </c>
      <c r="P56" s="2" t="s">
        <v>1918</v>
      </c>
      <c r="Q56" s="2" t="s">
        <v>187</v>
      </c>
      <c r="R56" s="2" t="s">
        <v>2</v>
      </c>
      <c r="S56" s="2" t="s">
        <v>1289</v>
      </c>
      <c r="T56" t="s">
        <v>3</v>
      </c>
      <c r="U56" s="2" t="s">
        <v>1</v>
      </c>
      <c r="V56" s="2" t="s">
        <v>1290</v>
      </c>
      <c r="W56" s="2" t="s">
        <v>187</v>
      </c>
      <c r="X56" s="2" t="s">
        <v>2</v>
      </c>
      <c r="Y56">
        <f t="shared" si="0"/>
        <v>374</v>
      </c>
      <c r="Z56" s="20">
        <v>46103</v>
      </c>
    </row>
    <row r="57" spans="1:26" ht="240" x14ac:dyDescent="0.25">
      <c r="A57" t="s">
        <v>15</v>
      </c>
      <c r="B57" t="s">
        <v>70</v>
      </c>
      <c r="C57" s="2" t="s">
        <v>1030</v>
      </c>
      <c r="D57" s="2" t="s">
        <v>741</v>
      </c>
      <c r="E57" s="2" t="s">
        <v>74</v>
      </c>
      <c r="F57" s="2" t="s">
        <v>23</v>
      </c>
      <c r="G57" s="2" t="s">
        <v>796</v>
      </c>
      <c r="H57" s="2" t="s">
        <v>187</v>
      </c>
      <c r="I57" s="2" t="s">
        <v>2</v>
      </c>
      <c r="J57" s="2" t="s">
        <v>929</v>
      </c>
      <c r="K57" s="2" t="s">
        <v>194</v>
      </c>
      <c r="L57" s="2" t="s">
        <v>2</v>
      </c>
      <c r="M57" s="2" t="s">
        <v>2014</v>
      </c>
      <c r="N57" s="2" t="s">
        <v>194</v>
      </c>
      <c r="O57" s="2" t="s">
        <v>1</v>
      </c>
      <c r="P57" s="2" t="s">
        <v>1919</v>
      </c>
      <c r="Q57" s="2" t="s">
        <v>187</v>
      </c>
      <c r="R57" s="2" t="s">
        <v>2</v>
      </c>
      <c r="S57" s="2" t="s">
        <v>1291</v>
      </c>
      <c r="T57" t="s">
        <v>3</v>
      </c>
      <c r="U57" s="2" t="s">
        <v>1</v>
      </c>
      <c r="V57" s="2" t="s">
        <v>1292</v>
      </c>
      <c r="W57" s="2" t="s">
        <v>194</v>
      </c>
      <c r="X57" s="2" t="s">
        <v>2</v>
      </c>
      <c r="Y57">
        <f t="shared" si="0"/>
        <v>365</v>
      </c>
      <c r="Z57" s="20">
        <v>46103</v>
      </c>
    </row>
    <row r="58" spans="1:26" ht="315" x14ac:dyDescent="0.25">
      <c r="A58" t="s">
        <v>15</v>
      </c>
      <c r="B58" t="s">
        <v>70</v>
      </c>
      <c r="C58" s="2" t="s">
        <v>1030</v>
      </c>
      <c r="D58" s="2" t="s">
        <v>741</v>
      </c>
      <c r="E58" s="2" t="s">
        <v>75</v>
      </c>
      <c r="F58" s="2" t="s">
        <v>23</v>
      </c>
      <c r="G58" s="2" t="s">
        <v>797</v>
      </c>
      <c r="H58" s="2" t="s">
        <v>187</v>
      </c>
      <c r="I58" s="2" t="s">
        <v>2</v>
      </c>
      <c r="J58" s="2" t="s">
        <v>930</v>
      </c>
      <c r="K58" s="2" t="s">
        <v>187</v>
      </c>
      <c r="L58" s="2" t="s">
        <v>2</v>
      </c>
      <c r="M58" s="2" t="s">
        <v>1293</v>
      </c>
      <c r="N58" s="2" t="s">
        <v>187</v>
      </c>
      <c r="O58" s="2" t="s">
        <v>1</v>
      </c>
      <c r="P58" s="2" t="s">
        <v>1920</v>
      </c>
      <c r="Q58" s="2" t="s">
        <v>187</v>
      </c>
      <c r="R58" s="2" t="s">
        <v>2</v>
      </c>
      <c r="S58" s="2" t="s">
        <v>1293</v>
      </c>
      <c r="T58" t="s">
        <v>187</v>
      </c>
      <c r="U58" s="2" t="s">
        <v>1</v>
      </c>
      <c r="V58" s="2" t="s">
        <v>1294</v>
      </c>
      <c r="W58" s="2" t="s">
        <v>187</v>
      </c>
      <c r="X58" s="2" t="s">
        <v>2</v>
      </c>
      <c r="Y58">
        <f t="shared" si="0"/>
        <v>380</v>
      </c>
      <c r="Z58" s="20">
        <v>46103</v>
      </c>
    </row>
    <row r="59" spans="1:26" ht="300" x14ac:dyDescent="0.25">
      <c r="A59" t="s">
        <v>15</v>
      </c>
      <c r="B59" t="s">
        <v>70</v>
      </c>
      <c r="C59" s="2" t="s">
        <v>1030</v>
      </c>
      <c r="D59" s="2" t="s">
        <v>741</v>
      </c>
      <c r="E59" s="2" t="s">
        <v>76</v>
      </c>
      <c r="F59" s="2" t="s">
        <v>23</v>
      </c>
      <c r="G59" s="2" t="s">
        <v>798</v>
      </c>
      <c r="H59" s="2" t="s">
        <v>3</v>
      </c>
      <c r="I59" s="2" t="s">
        <v>1</v>
      </c>
      <c r="J59" s="2" t="s">
        <v>931</v>
      </c>
      <c r="K59" s="2" t="s">
        <v>3</v>
      </c>
      <c r="L59" s="2" t="s">
        <v>2</v>
      </c>
      <c r="M59" s="2" t="s">
        <v>2015</v>
      </c>
      <c r="N59" s="2" t="s">
        <v>187</v>
      </c>
      <c r="O59" s="2" t="s">
        <v>1</v>
      </c>
      <c r="P59" s="2" t="s">
        <v>1921</v>
      </c>
      <c r="Q59" s="2" t="s">
        <v>187</v>
      </c>
      <c r="R59" s="2" t="s">
        <v>2</v>
      </c>
      <c r="S59" s="2" t="s">
        <v>1295</v>
      </c>
      <c r="T59" t="s">
        <v>3</v>
      </c>
      <c r="U59" s="2" t="s">
        <v>2</v>
      </c>
      <c r="V59" s="2" t="s">
        <v>1296</v>
      </c>
      <c r="W59" s="2" t="s">
        <v>187</v>
      </c>
      <c r="X59" s="2" t="s">
        <v>2</v>
      </c>
      <c r="Y59">
        <f t="shared" si="0"/>
        <v>371</v>
      </c>
      <c r="Z59" s="20">
        <v>46103</v>
      </c>
    </row>
    <row r="60" spans="1:26" ht="285" x14ac:dyDescent="0.25">
      <c r="A60" t="s">
        <v>15</v>
      </c>
      <c r="B60" t="s">
        <v>70</v>
      </c>
      <c r="C60" s="2" t="s">
        <v>1030</v>
      </c>
      <c r="D60" s="2" t="s">
        <v>741</v>
      </c>
      <c r="E60" s="2" t="s">
        <v>77</v>
      </c>
      <c r="F60" s="2" t="s">
        <v>23</v>
      </c>
      <c r="G60" s="2" t="s">
        <v>799</v>
      </c>
      <c r="H60" s="2" t="s">
        <v>194</v>
      </c>
      <c r="I60" s="2" t="s">
        <v>2</v>
      </c>
      <c r="J60" s="2" t="s">
        <v>932</v>
      </c>
      <c r="K60" s="2" t="s">
        <v>187</v>
      </c>
      <c r="L60" s="2" t="s">
        <v>2</v>
      </c>
      <c r="M60" s="2" t="s">
        <v>1297</v>
      </c>
      <c r="N60" s="2" t="s">
        <v>187</v>
      </c>
      <c r="O60" s="2" t="s">
        <v>1</v>
      </c>
      <c r="P60" s="2" t="s">
        <v>1922</v>
      </c>
      <c r="Q60" s="2" t="s">
        <v>194</v>
      </c>
      <c r="R60" s="2" t="s">
        <v>2</v>
      </c>
      <c r="S60" s="2" t="s">
        <v>1297</v>
      </c>
      <c r="T60" t="s">
        <v>187</v>
      </c>
      <c r="U60" s="2" t="s">
        <v>1</v>
      </c>
      <c r="V60" s="2" t="s">
        <v>1298</v>
      </c>
      <c r="W60" s="2" t="s">
        <v>187</v>
      </c>
      <c r="X60" s="2" t="s">
        <v>2</v>
      </c>
      <c r="Y60">
        <f t="shared" si="0"/>
        <v>396</v>
      </c>
      <c r="Z60" s="20">
        <v>46103</v>
      </c>
    </row>
    <row r="61" spans="1:26" ht="330" x14ac:dyDescent="0.25">
      <c r="A61" t="s">
        <v>15</v>
      </c>
      <c r="B61" t="s">
        <v>70</v>
      </c>
      <c r="C61" s="2" t="s">
        <v>1030</v>
      </c>
      <c r="D61" s="2" t="s">
        <v>741</v>
      </c>
      <c r="E61" s="2" t="s">
        <v>78</v>
      </c>
      <c r="F61" s="2" t="s">
        <v>23</v>
      </c>
      <c r="G61" s="2" t="s">
        <v>800</v>
      </c>
      <c r="H61" s="2" t="s">
        <v>187</v>
      </c>
      <c r="I61" s="2" t="s">
        <v>2</v>
      </c>
      <c r="J61" s="2" t="s">
        <v>933</v>
      </c>
      <c r="K61" s="2" t="s">
        <v>187</v>
      </c>
      <c r="L61" s="2" t="s">
        <v>2</v>
      </c>
      <c r="M61" s="2" t="s">
        <v>1299</v>
      </c>
      <c r="N61" s="2" t="s">
        <v>187</v>
      </c>
      <c r="O61" s="2" t="s">
        <v>1</v>
      </c>
      <c r="P61" s="2" t="s">
        <v>1923</v>
      </c>
      <c r="Q61" s="2" t="s">
        <v>187</v>
      </c>
      <c r="R61" s="2" t="s">
        <v>2</v>
      </c>
      <c r="S61" s="2" t="s">
        <v>1299</v>
      </c>
      <c r="T61" t="s">
        <v>187</v>
      </c>
      <c r="U61" s="2" t="s">
        <v>1</v>
      </c>
      <c r="V61" s="2" t="s">
        <v>1300</v>
      </c>
      <c r="W61" s="2" t="s">
        <v>3</v>
      </c>
      <c r="X61" s="2" t="s">
        <v>2</v>
      </c>
      <c r="Y61">
        <f t="shared" si="0"/>
        <v>373</v>
      </c>
      <c r="Z61" s="20">
        <v>46103</v>
      </c>
    </row>
    <row r="62" spans="1:26" ht="360" x14ac:dyDescent="0.25">
      <c r="A62" t="s">
        <v>15</v>
      </c>
      <c r="B62" t="s">
        <v>70</v>
      </c>
      <c r="C62" s="2" t="s">
        <v>1030</v>
      </c>
      <c r="D62" s="2" t="s">
        <v>741</v>
      </c>
      <c r="E62" s="2" t="s">
        <v>79</v>
      </c>
      <c r="F62" s="2" t="s">
        <v>21</v>
      </c>
      <c r="G62" s="2" t="s">
        <v>801</v>
      </c>
      <c r="H62" s="2" t="s">
        <v>187</v>
      </c>
      <c r="I62" s="2" t="s">
        <v>2</v>
      </c>
      <c r="J62" s="2" t="s">
        <v>934</v>
      </c>
      <c r="K62" s="2" t="s">
        <v>187</v>
      </c>
      <c r="L62" s="2" t="s">
        <v>2</v>
      </c>
      <c r="M62" s="2" t="s">
        <v>2016</v>
      </c>
      <c r="N62" s="2" t="s">
        <v>187</v>
      </c>
      <c r="O62" s="2" t="s">
        <v>1</v>
      </c>
      <c r="P62" s="2" t="s">
        <v>1924</v>
      </c>
      <c r="Q62" s="2" t="s">
        <v>3</v>
      </c>
      <c r="R62" s="2" t="s">
        <v>2</v>
      </c>
      <c r="S62" s="2" t="s">
        <v>1301</v>
      </c>
      <c r="T62" t="s">
        <v>187</v>
      </c>
      <c r="U62" s="2" t="s">
        <v>1</v>
      </c>
      <c r="V62" s="2" t="s">
        <v>1302</v>
      </c>
      <c r="W62" s="2" t="s">
        <v>187</v>
      </c>
      <c r="X62" s="2" t="s">
        <v>2</v>
      </c>
      <c r="Y62">
        <f t="shared" si="0"/>
        <v>384</v>
      </c>
      <c r="Z62" s="20">
        <v>46103</v>
      </c>
    </row>
    <row r="63" spans="1:26" ht="375" x14ac:dyDescent="0.25">
      <c r="A63" t="s">
        <v>15</v>
      </c>
      <c r="B63" t="s">
        <v>70</v>
      </c>
      <c r="C63" s="2" t="s">
        <v>1030</v>
      </c>
      <c r="D63" s="2" t="s">
        <v>741</v>
      </c>
      <c r="E63" s="2" t="s">
        <v>80</v>
      </c>
      <c r="F63" s="2" t="s">
        <v>23</v>
      </c>
      <c r="G63" s="2" t="s">
        <v>802</v>
      </c>
      <c r="H63" s="2" t="s">
        <v>194</v>
      </c>
      <c r="I63" s="2" t="s">
        <v>1</v>
      </c>
      <c r="J63" s="2" t="s">
        <v>935</v>
      </c>
      <c r="K63" s="2" t="s">
        <v>194</v>
      </c>
      <c r="L63" s="2" t="s">
        <v>2</v>
      </c>
      <c r="M63" s="2" t="s">
        <v>2017</v>
      </c>
      <c r="N63" s="2" t="s">
        <v>194</v>
      </c>
      <c r="O63" s="2" t="s">
        <v>1</v>
      </c>
      <c r="P63" s="2" t="s">
        <v>1925</v>
      </c>
      <c r="Q63" s="2" t="s">
        <v>194</v>
      </c>
      <c r="R63" s="2" t="s">
        <v>2</v>
      </c>
      <c r="S63" s="2" t="s">
        <v>1303</v>
      </c>
      <c r="T63" t="s">
        <v>3</v>
      </c>
      <c r="U63" s="2" t="s">
        <v>1</v>
      </c>
      <c r="V63" s="2" t="s">
        <v>1304</v>
      </c>
      <c r="W63" s="2" t="s">
        <v>3</v>
      </c>
      <c r="X63" s="2" t="s">
        <v>2</v>
      </c>
      <c r="Y63">
        <f t="shared" si="0"/>
        <v>369</v>
      </c>
      <c r="Z63" s="20">
        <v>46103</v>
      </c>
    </row>
    <row r="64" spans="1:26" ht="409.5" x14ac:dyDescent="0.25">
      <c r="A64" t="s">
        <v>15</v>
      </c>
      <c r="B64" t="s">
        <v>70</v>
      </c>
      <c r="C64" s="2" t="s">
        <v>1030</v>
      </c>
      <c r="D64" s="2" t="s">
        <v>741</v>
      </c>
      <c r="E64" s="2" t="s">
        <v>81</v>
      </c>
      <c r="F64" s="2" t="s">
        <v>23</v>
      </c>
      <c r="G64" s="2" t="s">
        <v>803</v>
      </c>
      <c r="H64" s="2" t="s">
        <v>194</v>
      </c>
      <c r="I64" s="2" t="s">
        <v>2</v>
      </c>
      <c r="J64" s="2" t="s">
        <v>936</v>
      </c>
      <c r="K64" s="2" t="s">
        <v>194</v>
      </c>
      <c r="L64" s="2" t="s">
        <v>2</v>
      </c>
      <c r="M64" s="2" t="s">
        <v>2018</v>
      </c>
      <c r="N64" s="2" t="s">
        <v>194</v>
      </c>
      <c r="O64" s="2" t="s">
        <v>1</v>
      </c>
      <c r="P64" s="2" t="s">
        <v>1926</v>
      </c>
      <c r="Q64" s="2" t="s">
        <v>194</v>
      </c>
      <c r="R64" s="2" t="s">
        <v>2</v>
      </c>
      <c r="S64" s="2" t="s">
        <v>1305</v>
      </c>
      <c r="T64" t="s">
        <v>194</v>
      </c>
      <c r="U64" s="2" t="s">
        <v>2</v>
      </c>
      <c r="V64" s="2" t="s">
        <v>1306</v>
      </c>
      <c r="W64" s="2" t="s">
        <v>194</v>
      </c>
      <c r="X64" s="2" t="s">
        <v>2</v>
      </c>
      <c r="Y64">
        <f t="shared" si="0"/>
        <v>373</v>
      </c>
      <c r="Z64" s="20">
        <v>46103</v>
      </c>
    </row>
    <row r="65" spans="1:26" ht="330" x14ac:dyDescent="0.25">
      <c r="A65" t="s">
        <v>15</v>
      </c>
      <c r="B65" t="s">
        <v>70</v>
      </c>
      <c r="C65" s="2" t="s">
        <v>1030</v>
      </c>
      <c r="D65" s="2" t="s">
        <v>741</v>
      </c>
      <c r="E65" s="2" t="s">
        <v>82</v>
      </c>
      <c r="F65" s="2" t="s">
        <v>23</v>
      </c>
      <c r="G65" s="2" t="s">
        <v>804</v>
      </c>
      <c r="H65" s="2" t="s">
        <v>194</v>
      </c>
      <c r="I65" s="2" t="s">
        <v>1</v>
      </c>
      <c r="J65" s="2" t="s">
        <v>937</v>
      </c>
      <c r="K65" s="2" t="s">
        <v>187</v>
      </c>
      <c r="L65" s="2" t="s">
        <v>2</v>
      </c>
      <c r="M65" s="2" t="s">
        <v>1307</v>
      </c>
      <c r="N65" s="2" t="s">
        <v>187</v>
      </c>
      <c r="O65" s="2" t="s">
        <v>1</v>
      </c>
      <c r="P65" s="2" t="s">
        <v>1927</v>
      </c>
      <c r="Q65" s="2" t="s">
        <v>187</v>
      </c>
      <c r="R65" s="2" t="s">
        <v>2</v>
      </c>
      <c r="S65" s="2" t="s">
        <v>1307</v>
      </c>
      <c r="T65" t="s">
        <v>187</v>
      </c>
      <c r="U65" s="2" t="s">
        <v>1</v>
      </c>
      <c r="V65" s="2" t="s">
        <v>1308</v>
      </c>
      <c r="W65" s="2" t="s">
        <v>187</v>
      </c>
      <c r="X65" s="2" t="s">
        <v>2</v>
      </c>
      <c r="Y65">
        <f t="shared" si="0"/>
        <v>373</v>
      </c>
      <c r="Z65" s="20">
        <v>46103</v>
      </c>
    </row>
    <row r="66" spans="1:26" ht="409.5" x14ac:dyDescent="0.25">
      <c r="A66" t="s">
        <v>15</v>
      </c>
      <c r="B66" t="s">
        <v>70</v>
      </c>
      <c r="C66" s="2" t="s">
        <v>1030</v>
      </c>
      <c r="D66" s="2" t="s">
        <v>741</v>
      </c>
      <c r="E66" s="2" t="s">
        <v>83</v>
      </c>
      <c r="F66" s="2" t="s">
        <v>21</v>
      </c>
      <c r="G66" s="2" t="s">
        <v>805</v>
      </c>
      <c r="H66" s="2" t="s">
        <v>3</v>
      </c>
      <c r="I66" s="2" t="s">
        <v>2</v>
      </c>
      <c r="J66" s="2" t="s">
        <v>938</v>
      </c>
      <c r="K66" s="2" t="s">
        <v>194</v>
      </c>
      <c r="L66" s="2" t="s">
        <v>2</v>
      </c>
      <c r="M66" s="2" t="s">
        <v>2019</v>
      </c>
      <c r="N66" s="2" t="s">
        <v>194</v>
      </c>
      <c r="O66" s="2" t="s">
        <v>1</v>
      </c>
      <c r="P66" s="2" t="s">
        <v>1928</v>
      </c>
      <c r="Q66" s="2" t="s">
        <v>187</v>
      </c>
      <c r="R66" s="2" t="s">
        <v>2</v>
      </c>
      <c r="S66" s="2" t="s">
        <v>1309</v>
      </c>
      <c r="T66" t="s">
        <v>194</v>
      </c>
      <c r="U66" s="2" t="s">
        <v>1</v>
      </c>
      <c r="V66" s="2" t="s">
        <v>1310</v>
      </c>
      <c r="W66" s="2" t="s">
        <v>194</v>
      </c>
      <c r="X66" s="2" t="s">
        <v>2</v>
      </c>
      <c r="Y66">
        <f t="shared" si="0"/>
        <v>383</v>
      </c>
      <c r="Z66" s="20">
        <v>46103</v>
      </c>
    </row>
    <row r="67" spans="1:26" ht="300" x14ac:dyDescent="0.25">
      <c r="A67" t="s">
        <v>15</v>
      </c>
      <c r="B67" t="s">
        <v>70</v>
      </c>
      <c r="C67" s="2" t="s">
        <v>1030</v>
      </c>
      <c r="D67" s="2" t="s">
        <v>741</v>
      </c>
      <c r="E67" s="2" t="s">
        <v>84</v>
      </c>
      <c r="F67" s="2" t="s">
        <v>23</v>
      </c>
      <c r="G67" s="2" t="s">
        <v>806</v>
      </c>
      <c r="H67" s="2" t="s">
        <v>187</v>
      </c>
      <c r="I67" s="2" t="s">
        <v>2</v>
      </c>
      <c r="J67" s="2" t="s">
        <v>939</v>
      </c>
      <c r="K67" s="2" t="s">
        <v>187</v>
      </c>
      <c r="L67" s="2" t="s">
        <v>2</v>
      </c>
      <c r="M67" s="2" t="s">
        <v>2020</v>
      </c>
      <c r="N67" s="2" t="s">
        <v>187</v>
      </c>
      <c r="O67" s="2" t="s">
        <v>1</v>
      </c>
      <c r="P67" s="2" t="s">
        <v>1929</v>
      </c>
      <c r="Q67" s="2" t="s">
        <v>187</v>
      </c>
      <c r="R67" s="2" t="s">
        <v>2</v>
      </c>
      <c r="S67" s="2" t="s">
        <v>1311</v>
      </c>
      <c r="T67" t="s">
        <v>3</v>
      </c>
      <c r="U67" s="2" t="s">
        <v>1</v>
      </c>
      <c r="V67" s="2" t="s">
        <v>1312</v>
      </c>
      <c r="W67" s="2" t="s">
        <v>187</v>
      </c>
      <c r="X67" s="2" t="s">
        <v>2</v>
      </c>
      <c r="Y67">
        <f t="shared" si="0"/>
        <v>378</v>
      </c>
      <c r="Z67" s="20">
        <v>46103</v>
      </c>
    </row>
    <row r="68" spans="1:26" ht="240" x14ac:dyDescent="0.25">
      <c r="A68" t="s">
        <v>15</v>
      </c>
      <c r="B68" t="s">
        <v>70</v>
      </c>
      <c r="C68" s="2" t="s">
        <v>1030</v>
      </c>
      <c r="D68" s="2" t="s">
        <v>741</v>
      </c>
      <c r="E68" s="2" t="s">
        <v>85</v>
      </c>
      <c r="F68" s="2" t="s">
        <v>18</v>
      </c>
      <c r="G68" s="2" t="s">
        <v>807</v>
      </c>
      <c r="H68" s="2" t="s">
        <v>194</v>
      </c>
      <c r="I68" s="2" t="s">
        <v>2</v>
      </c>
      <c r="J68" s="2" t="s">
        <v>940</v>
      </c>
      <c r="K68" s="2" t="s">
        <v>194</v>
      </c>
      <c r="L68" s="2" t="s">
        <v>2</v>
      </c>
      <c r="M68" s="2" t="s">
        <v>1313</v>
      </c>
      <c r="N68" s="2" t="s">
        <v>194</v>
      </c>
      <c r="O68" s="2" t="s">
        <v>1</v>
      </c>
      <c r="P68" s="2" t="s">
        <v>1930</v>
      </c>
      <c r="Q68" s="2" t="s">
        <v>3</v>
      </c>
      <c r="R68" s="2" t="s">
        <v>2</v>
      </c>
      <c r="S68" s="2" t="s">
        <v>1313</v>
      </c>
      <c r="T68" t="s">
        <v>194</v>
      </c>
      <c r="U68" s="2" t="s">
        <v>1</v>
      </c>
      <c r="V68" s="2" t="s">
        <v>1314</v>
      </c>
      <c r="W68" s="2" t="s">
        <v>194</v>
      </c>
      <c r="X68" s="2" t="s">
        <v>1</v>
      </c>
      <c r="Y68">
        <f t="shared" si="0"/>
        <v>383</v>
      </c>
      <c r="Z68" s="20">
        <v>46103</v>
      </c>
    </row>
    <row r="69" spans="1:26" ht="285" x14ac:dyDescent="0.25">
      <c r="A69" t="s">
        <v>15</v>
      </c>
      <c r="B69" t="s">
        <v>70</v>
      </c>
      <c r="C69" s="2" t="s">
        <v>1030</v>
      </c>
      <c r="D69" s="2" t="s">
        <v>741</v>
      </c>
      <c r="E69" s="2" t="s">
        <v>86</v>
      </c>
      <c r="F69" s="2" t="s">
        <v>18</v>
      </c>
      <c r="G69" s="2" t="s">
        <v>808</v>
      </c>
      <c r="H69" s="2" t="s">
        <v>187</v>
      </c>
      <c r="I69" s="2" t="s">
        <v>1</v>
      </c>
      <c r="J69" s="2" t="s">
        <v>941</v>
      </c>
      <c r="K69" s="2" t="s">
        <v>187</v>
      </c>
      <c r="L69" s="2" t="s">
        <v>2</v>
      </c>
      <c r="M69" s="2" t="s">
        <v>2021</v>
      </c>
      <c r="N69" s="2" t="s">
        <v>194</v>
      </c>
      <c r="O69" s="2" t="s">
        <v>1</v>
      </c>
      <c r="P69" s="2" t="s">
        <v>1931</v>
      </c>
      <c r="Q69" s="2" t="s">
        <v>187</v>
      </c>
      <c r="R69" s="2" t="s">
        <v>2</v>
      </c>
      <c r="S69" s="2" t="s">
        <v>1315</v>
      </c>
      <c r="T69" t="s">
        <v>187</v>
      </c>
      <c r="U69" s="2" t="s">
        <v>1</v>
      </c>
      <c r="V69" s="2" t="s">
        <v>1316</v>
      </c>
      <c r="W69" s="2" t="s">
        <v>194</v>
      </c>
      <c r="X69" s="2" t="s">
        <v>2</v>
      </c>
      <c r="Y69">
        <f t="shared" si="0"/>
        <v>389</v>
      </c>
      <c r="Z69" s="20">
        <v>46103</v>
      </c>
    </row>
    <row r="70" spans="1:26" ht="409.5" x14ac:dyDescent="0.25">
      <c r="A70" t="s">
        <v>15</v>
      </c>
      <c r="B70" t="s">
        <v>70</v>
      </c>
      <c r="C70" s="2" t="s">
        <v>1030</v>
      </c>
      <c r="D70" s="2" t="s">
        <v>741</v>
      </c>
      <c r="E70" s="2" t="s">
        <v>87</v>
      </c>
      <c r="F70" s="2" t="s">
        <v>21</v>
      </c>
      <c r="G70" s="2" t="s">
        <v>809</v>
      </c>
      <c r="H70" s="2" t="s">
        <v>194</v>
      </c>
      <c r="I70" s="2" t="s">
        <v>1</v>
      </c>
      <c r="J70" s="2" t="s">
        <v>942</v>
      </c>
      <c r="K70" s="2" t="s">
        <v>187</v>
      </c>
      <c r="L70" s="2" t="s">
        <v>2</v>
      </c>
      <c r="M70" s="2" t="s">
        <v>2022</v>
      </c>
      <c r="N70" s="2" t="s">
        <v>187</v>
      </c>
      <c r="O70" s="2" t="s">
        <v>1</v>
      </c>
      <c r="P70" s="2" t="s">
        <v>1932</v>
      </c>
      <c r="Q70" s="2" t="s">
        <v>3</v>
      </c>
      <c r="R70" s="2" t="s">
        <v>2</v>
      </c>
      <c r="S70" s="2" t="s">
        <v>1317</v>
      </c>
      <c r="T70" t="s">
        <v>194</v>
      </c>
      <c r="U70" s="2" t="s">
        <v>1</v>
      </c>
      <c r="V70" s="2" t="s">
        <v>1318</v>
      </c>
      <c r="W70" s="2" t="s">
        <v>187</v>
      </c>
      <c r="X70" s="2" t="s">
        <v>2</v>
      </c>
      <c r="Y70">
        <f t="shared" ref="Y70:Y133" si="1">LEN(D70)+LEN(E70)</f>
        <v>369</v>
      </c>
      <c r="Z70" s="20">
        <v>46103</v>
      </c>
    </row>
    <row r="71" spans="1:26" ht="180" x14ac:dyDescent="0.25">
      <c r="A71" t="s">
        <v>15</v>
      </c>
      <c r="B71" t="s">
        <v>70</v>
      </c>
      <c r="C71" s="2" t="s">
        <v>1030</v>
      </c>
      <c r="D71" s="2" t="s">
        <v>741</v>
      </c>
      <c r="E71" s="2" t="s">
        <v>88</v>
      </c>
      <c r="F71" s="2" t="s">
        <v>21</v>
      </c>
      <c r="G71" s="2" t="s">
        <v>810</v>
      </c>
      <c r="H71" s="2" t="s">
        <v>187</v>
      </c>
      <c r="I71" s="2" t="s">
        <v>1</v>
      </c>
      <c r="J71" s="2" t="s">
        <v>943</v>
      </c>
      <c r="K71" s="2" t="s">
        <v>187</v>
      </c>
      <c r="L71" s="2" t="s">
        <v>2</v>
      </c>
      <c r="M71" s="2" t="s">
        <v>810</v>
      </c>
      <c r="N71" s="2" t="s">
        <v>187</v>
      </c>
      <c r="O71" s="2" t="s">
        <v>1</v>
      </c>
      <c r="P71" s="2" t="s">
        <v>1933</v>
      </c>
      <c r="Q71" s="2" t="s">
        <v>187</v>
      </c>
      <c r="R71" s="2" t="s">
        <v>2</v>
      </c>
      <c r="S71" s="2" t="s">
        <v>810</v>
      </c>
      <c r="T71" t="s">
        <v>187</v>
      </c>
      <c r="U71" s="2" t="s">
        <v>1</v>
      </c>
      <c r="V71" s="2" t="s">
        <v>1319</v>
      </c>
      <c r="W71" s="2" t="s">
        <v>187</v>
      </c>
      <c r="X71" s="2" t="s">
        <v>2</v>
      </c>
      <c r="Y71">
        <f t="shared" si="1"/>
        <v>372</v>
      </c>
      <c r="Z71" s="20">
        <v>46103</v>
      </c>
    </row>
    <row r="72" spans="1:26" ht="195" x14ac:dyDescent="0.25">
      <c r="A72" t="s">
        <v>15</v>
      </c>
      <c r="B72" t="s">
        <v>70</v>
      </c>
      <c r="C72" s="2" t="s">
        <v>1030</v>
      </c>
      <c r="D72" s="2" t="s">
        <v>741</v>
      </c>
      <c r="E72" s="2" t="s">
        <v>89</v>
      </c>
      <c r="F72" s="2" t="s">
        <v>21</v>
      </c>
      <c r="G72" s="2" t="s">
        <v>811</v>
      </c>
      <c r="H72" s="2" t="s">
        <v>187</v>
      </c>
      <c r="I72" s="2" t="s">
        <v>2</v>
      </c>
      <c r="J72" s="2" t="s">
        <v>944</v>
      </c>
      <c r="K72" s="2" t="s">
        <v>187</v>
      </c>
      <c r="L72" s="2" t="s">
        <v>2</v>
      </c>
      <c r="M72" s="2" t="s">
        <v>1320</v>
      </c>
      <c r="N72" s="2" t="s">
        <v>187</v>
      </c>
      <c r="O72" s="2" t="s">
        <v>1</v>
      </c>
      <c r="P72" s="2" t="s">
        <v>1934</v>
      </c>
      <c r="Q72" s="2" t="s">
        <v>187</v>
      </c>
      <c r="R72" s="2" t="s">
        <v>2</v>
      </c>
      <c r="S72" s="2" t="s">
        <v>1320</v>
      </c>
      <c r="T72" t="s">
        <v>187</v>
      </c>
      <c r="U72" s="2" t="s">
        <v>1</v>
      </c>
      <c r="V72" s="2" t="s">
        <v>1321</v>
      </c>
      <c r="W72" s="2" t="s">
        <v>187</v>
      </c>
      <c r="X72" s="2" t="s">
        <v>2</v>
      </c>
      <c r="Y72">
        <f t="shared" si="1"/>
        <v>382</v>
      </c>
      <c r="Z72" s="20">
        <v>46103</v>
      </c>
    </row>
    <row r="73" spans="1:26" ht="270" x14ac:dyDescent="0.25">
      <c r="A73" t="s">
        <v>15</v>
      </c>
      <c r="B73" t="s">
        <v>70</v>
      </c>
      <c r="C73" s="2" t="s">
        <v>1030</v>
      </c>
      <c r="D73" s="2" t="s">
        <v>741</v>
      </c>
      <c r="E73" s="2" t="s">
        <v>90</v>
      </c>
      <c r="F73" s="2" t="s">
        <v>21</v>
      </c>
      <c r="G73" s="2" t="s">
        <v>812</v>
      </c>
      <c r="H73" s="2" t="s">
        <v>187</v>
      </c>
      <c r="I73" s="2" t="s">
        <v>2</v>
      </c>
      <c r="J73" s="2" t="s">
        <v>945</v>
      </c>
      <c r="K73" s="2" t="s">
        <v>187</v>
      </c>
      <c r="L73" s="2" t="s">
        <v>2</v>
      </c>
      <c r="M73" s="2" t="s">
        <v>1322</v>
      </c>
      <c r="N73" s="2" t="s">
        <v>187</v>
      </c>
      <c r="O73" s="2" t="s">
        <v>1</v>
      </c>
      <c r="P73" s="2" t="s">
        <v>1935</v>
      </c>
      <c r="Q73" s="2" t="s">
        <v>187</v>
      </c>
      <c r="R73" s="2" t="s">
        <v>2</v>
      </c>
      <c r="S73" s="2" t="s">
        <v>1322</v>
      </c>
      <c r="T73" t="s">
        <v>187</v>
      </c>
      <c r="U73" s="2" t="s">
        <v>1</v>
      </c>
      <c r="V73" s="2" t="s">
        <v>1323</v>
      </c>
      <c r="W73" s="2" t="s">
        <v>187</v>
      </c>
      <c r="X73" s="2" t="s">
        <v>2</v>
      </c>
      <c r="Y73">
        <f t="shared" si="1"/>
        <v>383</v>
      </c>
      <c r="Z73" s="20">
        <v>46103</v>
      </c>
    </row>
    <row r="74" spans="1:26" ht="360" x14ac:dyDescent="0.25">
      <c r="A74" t="s">
        <v>15</v>
      </c>
      <c r="B74" t="s">
        <v>70</v>
      </c>
      <c r="C74" s="2" t="s">
        <v>1030</v>
      </c>
      <c r="D74" s="2" t="s">
        <v>741</v>
      </c>
      <c r="E74" s="2" t="s">
        <v>91</v>
      </c>
      <c r="F74" s="2" t="s">
        <v>18</v>
      </c>
      <c r="G74" s="2" t="s">
        <v>813</v>
      </c>
      <c r="H74" s="2" t="s">
        <v>194</v>
      </c>
      <c r="I74" s="2" t="s">
        <v>2</v>
      </c>
      <c r="J74" s="2" t="s">
        <v>946</v>
      </c>
      <c r="K74" s="2" t="s">
        <v>187</v>
      </c>
      <c r="L74" s="2" t="s">
        <v>2</v>
      </c>
      <c r="M74" s="2" t="s">
        <v>1324</v>
      </c>
      <c r="N74" s="2" t="s">
        <v>194</v>
      </c>
      <c r="O74" s="2" t="s">
        <v>1</v>
      </c>
      <c r="P74" s="2" t="s">
        <v>1936</v>
      </c>
      <c r="Q74" s="2" t="s">
        <v>194</v>
      </c>
      <c r="R74" s="2" t="s">
        <v>2</v>
      </c>
      <c r="S74" s="2" t="s">
        <v>1324</v>
      </c>
      <c r="T74" t="s">
        <v>194</v>
      </c>
      <c r="U74" s="2" t="s">
        <v>1</v>
      </c>
      <c r="V74" s="2" t="s">
        <v>1325</v>
      </c>
      <c r="W74" s="2" t="s">
        <v>194</v>
      </c>
      <c r="X74" s="2" t="s">
        <v>2</v>
      </c>
      <c r="Y74">
        <f t="shared" si="1"/>
        <v>380</v>
      </c>
      <c r="Z74" s="20">
        <v>46103</v>
      </c>
    </row>
    <row r="75" spans="1:26" ht="225" x14ac:dyDescent="0.25">
      <c r="A75" t="s">
        <v>15</v>
      </c>
      <c r="B75" t="s">
        <v>70</v>
      </c>
      <c r="C75" s="2" t="s">
        <v>1030</v>
      </c>
      <c r="D75" s="2" t="s">
        <v>741</v>
      </c>
      <c r="E75" s="2" t="s">
        <v>92</v>
      </c>
      <c r="F75" s="2" t="s">
        <v>21</v>
      </c>
      <c r="G75" s="2" t="s">
        <v>814</v>
      </c>
      <c r="H75" s="2" t="s">
        <v>187</v>
      </c>
      <c r="I75" s="2" t="s">
        <v>2</v>
      </c>
      <c r="J75" s="2" t="s">
        <v>947</v>
      </c>
      <c r="K75" s="2" t="s">
        <v>194</v>
      </c>
      <c r="L75" s="2" t="s">
        <v>2</v>
      </c>
      <c r="M75" s="2" t="s">
        <v>1326</v>
      </c>
      <c r="N75" s="2" t="s">
        <v>187</v>
      </c>
      <c r="O75" s="2" t="s">
        <v>1</v>
      </c>
      <c r="P75" s="2" t="s">
        <v>1937</v>
      </c>
      <c r="Q75" s="2" t="s">
        <v>194</v>
      </c>
      <c r="R75" s="2" t="s">
        <v>2</v>
      </c>
      <c r="S75" s="2" t="s">
        <v>1326</v>
      </c>
      <c r="T75" t="s">
        <v>187</v>
      </c>
      <c r="U75" s="2" t="s">
        <v>1</v>
      </c>
      <c r="V75" s="2" t="s">
        <v>1327</v>
      </c>
      <c r="W75" s="2" t="s">
        <v>194</v>
      </c>
      <c r="X75" s="2" t="s">
        <v>2</v>
      </c>
      <c r="Y75">
        <f t="shared" si="1"/>
        <v>384</v>
      </c>
      <c r="Z75" s="20">
        <v>46103</v>
      </c>
    </row>
    <row r="76" spans="1:26" ht="345" x14ac:dyDescent="0.25">
      <c r="A76" t="s">
        <v>15</v>
      </c>
      <c r="B76" t="s">
        <v>70</v>
      </c>
      <c r="C76" s="2" t="s">
        <v>1030</v>
      </c>
      <c r="D76" s="2" t="s">
        <v>741</v>
      </c>
      <c r="E76" s="2" t="s">
        <v>93</v>
      </c>
      <c r="F76" s="2" t="s">
        <v>18</v>
      </c>
      <c r="G76" s="2" t="s">
        <v>815</v>
      </c>
      <c r="H76" s="2" t="s">
        <v>194</v>
      </c>
      <c r="I76" s="2" t="s">
        <v>2</v>
      </c>
      <c r="J76" s="2" t="s">
        <v>948</v>
      </c>
      <c r="K76" s="2" t="s">
        <v>194</v>
      </c>
      <c r="L76" s="2" t="s">
        <v>2</v>
      </c>
      <c r="M76" s="2" t="s">
        <v>2023</v>
      </c>
      <c r="N76" s="2" t="s">
        <v>194</v>
      </c>
      <c r="O76" s="2" t="s">
        <v>1</v>
      </c>
      <c r="P76" s="2" t="s">
        <v>1938</v>
      </c>
      <c r="Q76" s="2" t="s">
        <v>187</v>
      </c>
      <c r="R76" s="2" t="s">
        <v>2</v>
      </c>
      <c r="S76" s="2" t="s">
        <v>1328</v>
      </c>
      <c r="T76" t="s">
        <v>3</v>
      </c>
      <c r="U76" s="2" t="s">
        <v>2</v>
      </c>
      <c r="V76" s="2" t="s">
        <v>1329</v>
      </c>
      <c r="W76" s="2" t="s">
        <v>3</v>
      </c>
      <c r="X76" s="2" t="s">
        <v>2</v>
      </c>
      <c r="Y76">
        <f t="shared" si="1"/>
        <v>381</v>
      </c>
      <c r="Z76" s="20">
        <v>46103</v>
      </c>
    </row>
    <row r="77" spans="1:26" ht="180" x14ac:dyDescent="0.25">
      <c r="A77" t="s">
        <v>15</v>
      </c>
      <c r="B77" t="s">
        <v>70</v>
      </c>
      <c r="C77" s="2" t="s">
        <v>1030</v>
      </c>
      <c r="D77" s="2" t="s">
        <v>741</v>
      </c>
      <c r="E77" s="2" t="s">
        <v>94</v>
      </c>
      <c r="F77" s="2" t="s">
        <v>21</v>
      </c>
      <c r="G77" s="2" t="s">
        <v>816</v>
      </c>
      <c r="H77" s="2" t="s">
        <v>187</v>
      </c>
      <c r="I77" s="2" t="s">
        <v>2</v>
      </c>
      <c r="J77" s="2" t="s">
        <v>949</v>
      </c>
      <c r="K77" s="2" t="s">
        <v>187</v>
      </c>
      <c r="L77" s="2" t="s">
        <v>2</v>
      </c>
      <c r="M77" s="2" t="s">
        <v>2024</v>
      </c>
      <c r="N77" s="2" t="s">
        <v>187</v>
      </c>
      <c r="O77" s="2" t="s">
        <v>1</v>
      </c>
      <c r="P77" s="2" t="s">
        <v>1939</v>
      </c>
      <c r="Q77" s="2" t="s">
        <v>187</v>
      </c>
      <c r="R77" s="2" t="s">
        <v>2</v>
      </c>
      <c r="S77" s="2" t="s">
        <v>21</v>
      </c>
      <c r="T77" t="s">
        <v>187</v>
      </c>
      <c r="U77" s="2" t="s">
        <v>1</v>
      </c>
      <c r="V77" s="2" t="s">
        <v>1330</v>
      </c>
      <c r="W77" s="2" t="s">
        <v>187</v>
      </c>
      <c r="X77" s="2" t="s">
        <v>2</v>
      </c>
      <c r="Y77">
        <f t="shared" si="1"/>
        <v>384</v>
      </c>
      <c r="Z77" s="20">
        <v>46103</v>
      </c>
    </row>
    <row r="78" spans="1:26" ht="285" x14ac:dyDescent="0.25">
      <c r="A78" t="s">
        <v>15</v>
      </c>
      <c r="B78" t="s">
        <v>70</v>
      </c>
      <c r="C78" s="2" t="s">
        <v>1030</v>
      </c>
      <c r="D78" s="2" t="s">
        <v>741</v>
      </c>
      <c r="E78" s="2" t="s">
        <v>95</v>
      </c>
      <c r="F78" s="2" t="s">
        <v>18</v>
      </c>
      <c r="G78" s="2" t="s">
        <v>817</v>
      </c>
      <c r="H78" s="2" t="s">
        <v>194</v>
      </c>
      <c r="I78" s="2" t="s">
        <v>1</v>
      </c>
      <c r="J78" s="2" t="s">
        <v>950</v>
      </c>
      <c r="K78" s="2" t="s">
        <v>194</v>
      </c>
      <c r="L78" s="2" t="s">
        <v>2</v>
      </c>
      <c r="M78" s="2" t="s">
        <v>817</v>
      </c>
      <c r="N78" s="2" t="s">
        <v>194</v>
      </c>
      <c r="O78" s="2" t="s">
        <v>1</v>
      </c>
      <c r="P78" s="2" t="s">
        <v>1940</v>
      </c>
      <c r="Q78" s="2" t="s">
        <v>194</v>
      </c>
      <c r="R78" s="2" t="s">
        <v>2</v>
      </c>
      <c r="S78" s="2" t="s">
        <v>1331</v>
      </c>
      <c r="T78" t="s">
        <v>187</v>
      </c>
      <c r="U78" s="2" t="s">
        <v>1</v>
      </c>
      <c r="V78" s="2" t="s">
        <v>1332</v>
      </c>
      <c r="W78" s="2" t="s">
        <v>194</v>
      </c>
      <c r="X78" s="2" t="s">
        <v>2</v>
      </c>
      <c r="Y78">
        <f t="shared" si="1"/>
        <v>386</v>
      </c>
      <c r="Z78" s="20">
        <v>46103</v>
      </c>
    </row>
    <row r="79" spans="1:26" ht="390" x14ac:dyDescent="0.25">
      <c r="A79" t="s">
        <v>15</v>
      </c>
      <c r="B79" t="s">
        <v>70</v>
      </c>
      <c r="C79" s="2" t="s">
        <v>1030</v>
      </c>
      <c r="D79" s="2" t="s">
        <v>741</v>
      </c>
      <c r="E79" s="2" t="s">
        <v>96</v>
      </c>
      <c r="F79" s="2" t="s">
        <v>23</v>
      </c>
      <c r="G79" s="2" t="s">
        <v>818</v>
      </c>
      <c r="H79" s="2" t="s">
        <v>187</v>
      </c>
      <c r="I79" s="2" t="s">
        <v>2</v>
      </c>
      <c r="J79" s="2" t="s">
        <v>951</v>
      </c>
      <c r="K79" s="2" t="s">
        <v>187</v>
      </c>
      <c r="L79" s="2" t="s">
        <v>2</v>
      </c>
      <c r="M79" s="2" t="s">
        <v>1333</v>
      </c>
      <c r="N79" s="2" t="s">
        <v>187</v>
      </c>
      <c r="O79" s="2" t="s">
        <v>1</v>
      </c>
      <c r="P79" s="2" t="s">
        <v>1941</v>
      </c>
      <c r="Q79" s="2" t="s">
        <v>194</v>
      </c>
      <c r="R79" s="2" t="s">
        <v>2</v>
      </c>
      <c r="S79" s="2" t="s">
        <v>1333</v>
      </c>
      <c r="T79" t="s">
        <v>187</v>
      </c>
      <c r="U79" s="2" t="s">
        <v>1</v>
      </c>
      <c r="V79" s="2" t="s">
        <v>1334</v>
      </c>
      <c r="W79" s="2" t="s">
        <v>194</v>
      </c>
      <c r="X79" s="2" t="s">
        <v>2</v>
      </c>
      <c r="Y79">
        <f t="shared" si="1"/>
        <v>379</v>
      </c>
      <c r="Z79" s="20">
        <v>46103</v>
      </c>
    </row>
    <row r="80" spans="1:26" ht="330" x14ac:dyDescent="0.25">
      <c r="A80" t="s">
        <v>15</v>
      </c>
      <c r="B80" t="s">
        <v>70</v>
      </c>
      <c r="C80" s="2" t="s">
        <v>1030</v>
      </c>
      <c r="D80" s="2" t="s">
        <v>741</v>
      </c>
      <c r="E80" s="2" t="s">
        <v>97</v>
      </c>
      <c r="F80" s="2" t="s">
        <v>21</v>
      </c>
      <c r="G80" s="2" t="s">
        <v>819</v>
      </c>
      <c r="H80" s="2" t="s">
        <v>187</v>
      </c>
      <c r="I80" s="2" t="s">
        <v>2</v>
      </c>
      <c r="J80" s="2" t="s">
        <v>952</v>
      </c>
      <c r="K80" s="2" t="s">
        <v>187</v>
      </c>
      <c r="L80" s="2" t="s">
        <v>2</v>
      </c>
      <c r="M80" s="2" t="s">
        <v>1335</v>
      </c>
      <c r="N80" s="2" t="s">
        <v>187</v>
      </c>
      <c r="O80" s="2" t="s">
        <v>1</v>
      </c>
      <c r="P80" s="2" t="s">
        <v>1942</v>
      </c>
      <c r="Q80" s="2" t="s">
        <v>187</v>
      </c>
      <c r="R80" s="2" t="s">
        <v>2</v>
      </c>
      <c r="S80" s="2" t="s">
        <v>1335</v>
      </c>
      <c r="T80" t="s">
        <v>187</v>
      </c>
      <c r="U80" s="2" t="s">
        <v>1</v>
      </c>
      <c r="V80" s="2" t="s">
        <v>1336</v>
      </c>
      <c r="W80" s="2" t="s">
        <v>187</v>
      </c>
      <c r="X80" s="2" t="s">
        <v>2</v>
      </c>
      <c r="Y80">
        <f t="shared" si="1"/>
        <v>374</v>
      </c>
      <c r="Z80" s="20">
        <v>46103</v>
      </c>
    </row>
    <row r="81" spans="1:26" ht="300" x14ac:dyDescent="0.25">
      <c r="A81" t="s">
        <v>15</v>
      </c>
      <c r="B81" t="s">
        <v>70</v>
      </c>
      <c r="C81" s="2" t="s">
        <v>1030</v>
      </c>
      <c r="D81" s="2" t="s">
        <v>741</v>
      </c>
      <c r="E81" s="2" t="s">
        <v>98</v>
      </c>
      <c r="F81" s="2" t="s">
        <v>21</v>
      </c>
      <c r="G81" s="2" t="s">
        <v>820</v>
      </c>
      <c r="H81" s="2" t="s">
        <v>187</v>
      </c>
      <c r="I81" s="2" t="s">
        <v>2</v>
      </c>
      <c r="J81" s="2" t="s">
        <v>953</v>
      </c>
      <c r="K81" s="2" t="s">
        <v>194</v>
      </c>
      <c r="L81" s="2" t="s">
        <v>2</v>
      </c>
      <c r="M81" s="2" t="s">
        <v>2025</v>
      </c>
      <c r="N81" s="2" t="s">
        <v>187</v>
      </c>
      <c r="O81" s="2" t="s">
        <v>1</v>
      </c>
      <c r="P81" s="2" t="s">
        <v>1943</v>
      </c>
      <c r="Q81" s="2" t="s">
        <v>187</v>
      </c>
      <c r="R81" s="2" t="s">
        <v>2</v>
      </c>
      <c r="S81" s="2" t="s">
        <v>1337</v>
      </c>
      <c r="T81" t="s">
        <v>3</v>
      </c>
      <c r="U81" s="2" t="s">
        <v>1</v>
      </c>
      <c r="V81" s="2" t="s">
        <v>1338</v>
      </c>
      <c r="W81" s="2" t="s">
        <v>3</v>
      </c>
      <c r="X81" s="2" t="s">
        <v>2</v>
      </c>
      <c r="Y81">
        <f t="shared" si="1"/>
        <v>372</v>
      </c>
      <c r="Z81" s="20">
        <v>46103</v>
      </c>
    </row>
    <row r="82" spans="1:26" ht="315" x14ac:dyDescent="0.25">
      <c r="A82" t="s">
        <v>15</v>
      </c>
      <c r="B82" t="s">
        <v>70</v>
      </c>
      <c r="C82" s="2" t="s">
        <v>1030</v>
      </c>
      <c r="D82" s="2" t="s">
        <v>741</v>
      </c>
      <c r="E82" s="2" t="s">
        <v>99</v>
      </c>
      <c r="F82" s="2" t="s">
        <v>23</v>
      </c>
      <c r="G82" s="2" t="s">
        <v>821</v>
      </c>
      <c r="H82" s="2" t="s">
        <v>194</v>
      </c>
      <c r="I82" s="2" t="s">
        <v>2</v>
      </c>
      <c r="J82" s="2" t="s">
        <v>954</v>
      </c>
      <c r="K82" s="2" t="s">
        <v>194</v>
      </c>
      <c r="L82" s="2" t="s">
        <v>2</v>
      </c>
      <c r="M82" s="2" t="s">
        <v>2026</v>
      </c>
      <c r="N82" s="2" t="s">
        <v>194</v>
      </c>
      <c r="O82" s="2" t="s">
        <v>1</v>
      </c>
      <c r="P82" s="2" t="s">
        <v>1944</v>
      </c>
      <c r="Q82" s="2" t="s">
        <v>194</v>
      </c>
      <c r="R82" s="2" t="s">
        <v>2</v>
      </c>
      <c r="S82" s="2" t="s">
        <v>1339</v>
      </c>
      <c r="T82" t="s">
        <v>194</v>
      </c>
      <c r="U82" s="2" t="s">
        <v>1</v>
      </c>
      <c r="V82" s="2" t="s">
        <v>1340</v>
      </c>
      <c r="W82" s="2" t="s">
        <v>3</v>
      </c>
      <c r="X82" s="2" t="s">
        <v>2</v>
      </c>
      <c r="Y82">
        <f t="shared" si="1"/>
        <v>377</v>
      </c>
      <c r="Z82" s="20">
        <v>46103</v>
      </c>
    </row>
    <row r="83" spans="1:26" ht="405" x14ac:dyDescent="0.25">
      <c r="A83" t="s">
        <v>15</v>
      </c>
      <c r="B83" t="s">
        <v>70</v>
      </c>
      <c r="C83" s="2" t="s">
        <v>1030</v>
      </c>
      <c r="D83" s="2" t="s">
        <v>741</v>
      </c>
      <c r="E83" s="2" t="s">
        <v>100</v>
      </c>
      <c r="F83" s="2" t="s">
        <v>18</v>
      </c>
      <c r="G83" s="2" t="s">
        <v>822</v>
      </c>
      <c r="H83" s="2" t="s">
        <v>187</v>
      </c>
      <c r="I83" s="2" t="s">
        <v>2</v>
      </c>
      <c r="J83" s="2" t="s">
        <v>955</v>
      </c>
      <c r="K83" s="2" t="s">
        <v>194</v>
      </c>
      <c r="L83" s="2" t="s">
        <v>2</v>
      </c>
      <c r="M83" s="2" t="s">
        <v>2027</v>
      </c>
      <c r="N83" s="2" t="s">
        <v>194</v>
      </c>
      <c r="O83" s="2" t="s">
        <v>1</v>
      </c>
      <c r="P83" s="2" t="s">
        <v>1945</v>
      </c>
      <c r="Q83" s="2" t="s">
        <v>187</v>
      </c>
      <c r="R83" s="2" t="s">
        <v>2</v>
      </c>
      <c r="S83" s="2" t="s">
        <v>1341</v>
      </c>
      <c r="T83" t="s">
        <v>3</v>
      </c>
      <c r="U83" s="2" t="s">
        <v>1</v>
      </c>
      <c r="V83" s="2" t="s">
        <v>1342</v>
      </c>
      <c r="W83" s="2" t="s">
        <v>194</v>
      </c>
      <c r="X83" s="2" t="s">
        <v>2</v>
      </c>
      <c r="Y83">
        <f t="shared" si="1"/>
        <v>377</v>
      </c>
      <c r="Z83" s="20">
        <v>46103</v>
      </c>
    </row>
    <row r="84" spans="1:26" ht="315" x14ac:dyDescent="0.25">
      <c r="A84" t="s">
        <v>15</v>
      </c>
      <c r="B84" t="s">
        <v>70</v>
      </c>
      <c r="C84" s="2" t="s">
        <v>1030</v>
      </c>
      <c r="D84" s="2" t="s">
        <v>741</v>
      </c>
      <c r="E84" s="2" t="s">
        <v>101</v>
      </c>
      <c r="F84" s="2" t="s">
        <v>21</v>
      </c>
      <c r="G84" s="2" t="s">
        <v>823</v>
      </c>
      <c r="H84" s="2" t="s">
        <v>187</v>
      </c>
      <c r="I84" s="2" t="s">
        <v>1</v>
      </c>
      <c r="J84" s="2" t="s">
        <v>956</v>
      </c>
      <c r="K84" s="2" t="s">
        <v>3</v>
      </c>
      <c r="L84" s="2" t="s">
        <v>2</v>
      </c>
      <c r="M84" s="2" t="s">
        <v>823</v>
      </c>
      <c r="N84" s="2" t="s">
        <v>194</v>
      </c>
      <c r="O84" s="2" t="s">
        <v>1</v>
      </c>
      <c r="P84" s="2" t="s">
        <v>1946</v>
      </c>
      <c r="Q84" s="2" t="s">
        <v>3</v>
      </c>
      <c r="R84" s="2" t="s">
        <v>2</v>
      </c>
      <c r="S84" s="2" t="s">
        <v>1343</v>
      </c>
      <c r="T84" t="s">
        <v>3</v>
      </c>
      <c r="U84" s="2" t="s">
        <v>1</v>
      </c>
      <c r="V84" s="2" t="s">
        <v>1344</v>
      </c>
      <c r="W84" s="2" t="s">
        <v>3</v>
      </c>
      <c r="X84" s="2" t="s">
        <v>2</v>
      </c>
      <c r="Y84">
        <f t="shared" si="1"/>
        <v>377</v>
      </c>
      <c r="Z84" s="20">
        <v>46103</v>
      </c>
    </row>
    <row r="85" spans="1:26" ht="345" x14ac:dyDescent="0.25">
      <c r="A85" t="s">
        <v>15</v>
      </c>
      <c r="B85" t="s">
        <v>70</v>
      </c>
      <c r="C85" s="2" t="s">
        <v>1030</v>
      </c>
      <c r="D85" s="2" t="s">
        <v>741</v>
      </c>
      <c r="E85" s="2" t="s">
        <v>102</v>
      </c>
      <c r="F85" s="2" t="s">
        <v>21</v>
      </c>
      <c r="G85" s="2" t="s">
        <v>824</v>
      </c>
      <c r="H85" s="2" t="s">
        <v>187</v>
      </c>
      <c r="I85" s="2" t="s">
        <v>1</v>
      </c>
      <c r="J85" s="2" t="s">
        <v>957</v>
      </c>
      <c r="K85" s="2" t="s">
        <v>187</v>
      </c>
      <c r="L85" s="2" t="s">
        <v>2</v>
      </c>
      <c r="M85" s="2" t="s">
        <v>824</v>
      </c>
      <c r="N85" s="2" t="s">
        <v>187</v>
      </c>
      <c r="O85" s="2" t="s">
        <v>1</v>
      </c>
      <c r="P85" s="2" t="s">
        <v>1947</v>
      </c>
      <c r="Q85" s="2" t="s">
        <v>187</v>
      </c>
      <c r="R85" s="2" t="s">
        <v>2</v>
      </c>
      <c r="S85" s="2" t="s">
        <v>824</v>
      </c>
      <c r="T85" t="s">
        <v>187</v>
      </c>
      <c r="U85" s="2" t="s">
        <v>1</v>
      </c>
      <c r="V85" s="2" t="s">
        <v>1345</v>
      </c>
      <c r="W85" s="2" t="s">
        <v>187</v>
      </c>
      <c r="X85" s="2" t="s">
        <v>2</v>
      </c>
      <c r="Y85">
        <f t="shared" si="1"/>
        <v>365</v>
      </c>
      <c r="Z85" s="20">
        <v>46103</v>
      </c>
    </row>
    <row r="86" spans="1:26" ht="300" x14ac:dyDescent="0.25">
      <c r="A86" t="s">
        <v>15</v>
      </c>
      <c r="B86" t="s">
        <v>70</v>
      </c>
      <c r="C86" s="2" t="s">
        <v>1030</v>
      </c>
      <c r="D86" s="2" t="s">
        <v>741</v>
      </c>
      <c r="E86" s="2" t="s">
        <v>103</v>
      </c>
      <c r="F86" s="2" t="s">
        <v>21</v>
      </c>
      <c r="G86" s="2" t="s">
        <v>825</v>
      </c>
      <c r="H86" s="2" t="s">
        <v>187</v>
      </c>
      <c r="I86" s="2" t="s">
        <v>2</v>
      </c>
      <c r="J86" s="2" t="s">
        <v>958</v>
      </c>
      <c r="K86" s="2" t="s">
        <v>187</v>
      </c>
      <c r="L86" s="2" t="s">
        <v>2</v>
      </c>
      <c r="M86" s="2" t="s">
        <v>1346</v>
      </c>
      <c r="N86" s="2" t="s">
        <v>187</v>
      </c>
      <c r="O86" s="2" t="s">
        <v>1</v>
      </c>
      <c r="P86" s="2" t="s">
        <v>1948</v>
      </c>
      <c r="Q86" s="2" t="s">
        <v>187</v>
      </c>
      <c r="R86" s="2" t="s">
        <v>2</v>
      </c>
      <c r="S86" s="2" t="s">
        <v>1346</v>
      </c>
      <c r="T86" t="s">
        <v>187</v>
      </c>
      <c r="U86" s="2" t="s">
        <v>1</v>
      </c>
      <c r="V86" s="2" t="s">
        <v>1347</v>
      </c>
      <c r="W86" s="2" t="s">
        <v>187</v>
      </c>
      <c r="X86" s="2" t="s">
        <v>2</v>
      </c>
      <c r="Y86">
        <f t="shared" si="1"/>
        <v>369</v>
      </c>
      <c r="Z86" s="20">
        <v>46103</v>
      </c>
    </row>
    <row r="87" spans="1:26" ht="150" x14ac:dyDescent="0.25">
      <c r="A87" t="s">
        <v>15</v>
      </c>
      <c r="B87" t="s">
        <v>70</v>
      </c>
      <c r="C87" s="2" t="s">
        <v>1030</v>
      </c>
      <c r="D87" s="2" t="s">
        <v>741</v>
      </c>
      <c r="E87" s="2" t="s">
        <v>104</v>
      </c>
      <c r="F87" s="2" t="s">
        <v>21</v>
      </c>
      <c r="G87" s="2" t="s">
        <v>826</v>
      </c>
      <c r="H87" s="2" t="s">
        <v>187</v>
      </c>
      <c r="I87" s="2" t="s">
        <v>1</v>
      </c>
      <c r="J87" s="2" t="s">
        <v>959</v>
      </c>
      <c r="K87" s="2" t="s">
        <v>187</v>
      </c>
      <c r="L87" s="2" t="s">
        <v>1</v>
      </c>
      <c r="M87" s="2" t="s">
        <v>826</v>
      </c>
      <c r="N87" s="2" t="s">
        <v>187</v>
      </c>
      <c r="O87" s="2" t="s">
        <v>1</v>
      </c>
      <c r="P87" s="2" t="s">
        <v>1949</v>
      </c>
      <c r="Q87" s="2" t="s">
        <v>187</v>
      </c>
      <c r="R87" s="2" t="s">
        <v>2</v>
      </c>
      <c r="S87" s="2" t="s">
        <v>826</v>
      </c>
      <c r="T87" t="s">
        <v>187</v>
      </c>
      <c r="U87" s="2" t="s">
        <v>1</v>
      </c>
      <c r="V87" s="2" t="s">
        <v>1348</v>
      </c>
      <c r="W87" s="2" t="s">
        <v>187</v>
      </c>
      <c r="X87" s="2" t="s">
        <v>2</v>
      </c>
      <c r="Y87">
        <f t="shared" si="1"/>
        <v>362</v>
      </c>
      <c r="Z87" s="20">
        <v>46103</v>
      </c>
    </row>
    <row r="88" spans="1:26" ht="210" x14ac:dyDescent="0.25">
      <c r="A88" t="s">
        <v>15</v>
      </c>
      <c r="B88" t="s">
        <v>70</v>
      </c>
      <c r="C88" s="2" t="s">
        <v>1030</v>
      </c>
      <c r="D88" s="2" t="s">
        <v>741</v>
      </c>
      <c r="E88" s="2" t="s">
        <v>105</v>
      </c>
      <c r="F88" s="2" t="s">
        <v>21</v>
      </c>
      <c r="G88" s="2" t="s">
        <v>106</v>
      </c>
      <c r="H88" s="2" t="s">
        <v>187</v>
      </c>
      <c r="I88" s="2" t="s">
        <v>1</v>
      </c>
      <c r="J88" s="2" t="s">
        <v>960</v>
      </c>
      <c r="K88" s="2" t="s">
        <v>187</v>
      </c>
      <c r="L88" s="2" t="s">
        <v>2</v>
      </c>
      <c r="M88" s="2" t="s">
        <v>106</v>
      </c>
      <c r="N88" s="2" t="s">
        <v>187</v>
      </c>
      <c r="O88" s="2" t="s">
        <v>1</v>
      </c>
      <c r="P88" s="2" t="s">
        <v>1950</v>
      </c>
      <c r="Q88" s="2" t="s">
        <v>187</v>
      </c>
      <c r="R88" s="2" t="s">
        <v>2</v>
      </c>
      <c r="S88" s="2" t="s">
        <v>106</v>
      </c>
      <c r="T88" t="s">
        <v>187</v>
      </c>
      <c r="U88" s="2" t="s">
        <v>1</v>
      </c>
      <c r="V88" s="2" t="s">
        <v>1349</v>
      </c>
      <c r="W88" s="2" t="s">
        <v>187</v>
      </c>
      <c r="X88" s="2" t="s">
        <v>2</v>
      </c>
      <c r="Y88">
        <f t="shared" si="1"/>
        <v>369</v>
      </c>
      <c r="Z88" s="20">
        <v>46103</v>
      </c>
    </row>
    <row r="89" spans="1:26" ht="225" x14ac:dyDescent="0.25">
      <c r="A89" t="s">
        <v>15</v>
      </c>
      <c r="B89" t="s">
        <v>70</v>
      </c>
      <c r="C89" s="2" t="s">
        <v>1030</v>
      </c>
      <c r="D89" s="2" t="s">
        <v>741</v>
      </c>
      <c r="E89" s="2" t="s">
        <v>107</v>
      </c>
      <c r="F89" s="2" t="s">
        <v>18</v>
      </c>
      <c r="G89" s="2" t="s">
        <v>827</v>
      </c>
      <c r="H89" s="2" t="s">
        <v>187</v>
      </c>
      <c r="I89" s="2" t="s">
        <v>2</v>
      </c>
      <c r="J89" s="2" t="s">
        <v>961</v>
      </c>
      <c r="K89" s="2" t="s">
        <v>187</v>
      </c>
      <c r="L89" s="2" t="s">
        <v>2</v>
      </c>
      <c r="M89" s="2" t="s">
        <v>1350</v>
      </c>
      <c r="N89" s="2" t="s">
        <v>187</v>
      </c>
      <c r="O89" s="2" t="s">
        <v>1</v>
      </c>
      <c r="P89" s="2" t="s">
        <v>1951</v>
      </c>
      <c r="Q89" s="2" t="s">
        <v>187</v>
      </c>
      <c r="R89" s="2" t="s">
        <v>2</v>
      </c>
      <c r="S89" s="2" t="s">
        <v>1350</v>
      </c>
      <c r="T89" t="s">
        <v>187</v>
      </c>
      <c r="U89" s="2" t="s">
        <v>1</v>
      </c>
      <c r="V89" s="2" t="s">
        <v>1351</v>
      </c>
      <c r="W89" s="2" t="s">
        <v>187</v>
      </c>
      <c r="X89" s="2" t="s">
        <v>1</v>
      </c>
      <c r="Y89">
        <f t="shared" si="1"/>
        <v>374</v>
      </c>
      <c r="Z89" s="20">
        <v>46103</v>
      </c>
    </row>
    <row r="90" spans="1:26" ht="270" x14ac:dyDescent="0.25">
      <c r="A90" t="s">
        <v>15</v>
      </c>
      <c r="B90" t="s">
        <v>70</v>
      </c>
      <c r="C90" s="2" t="s">
        <v>1030</v>
      </c>
      <c r="D90" s="2" t="s">
        <v>741</v>
      </c>
      <c r="E90" s="2" t="s">
        <v>108</v>
      </c>
      <c r="F90" s="2" t="s">
        <v>18</v>
      </c>
      <c r="G90" s="2" t="s">
        <v>828</v>
      </c>
      <c r="H90" s="2" t="s">
        <v>187</v>
      </c>
      <c r="I90" s="2" t="s">
        <v>2</v>
      </c>
      <c r="J90" s="2" t="s">
        <v>962</v>
      </c>
      <c r="K90" s="2" t="s">
        <v>187</v>
      </c>
      <c r="L90" s="2" t="s">
        <v>2</v>
      </c>
      <c r="M90" s="2" t="s">
        <v>1352</v>
      </c>
      <c r="N90" s="2" t="s">
        <v>187</v>
      </c>
      <c r="O90" s="2" t="s">
        <v>1</v>
      </c>
      <c r="P90" s="2" t="s">
        <v>1952</v>
      </c>
      <c r="Q90" s="2" t="s">
        <v>187</v>
      </c>
      <c r="R90" s="2" t="s">
        <v>2</v>
      </c>
      <c r="S90" s="2" t="s">
        <v>1352</v>
      </c>
      <c r="T90" t="s">
        <v>187</v>
      </c>
      <c r="U90" s="2" t="s">
        <v>1</v>
      </c>
      <c r="V90" s="2" t="s">
        <v>1353</v>
      </c>
      <c r="W90" s="2" t="s">
        <v>187</v>
      </c>
      <c r="X90" s="2" t="s">
        <v>1</v>
      </c>
      <c r="Y90">
        <f t="shared" si="1"/>
        <v>375</v>
      </c>
      <c r="Z90" s="20">
        <v>46103</v>
      </c>
    </row>
    <row r="91" spans="1:26" ht="405" x14ac:dyDescent="0.25">
      <c r="A91" t="s">
        <v>15</v>
      </c>
      <c r="B91" t="s">
        <v>70</v>
      </c>
      <c r="C91" s="2" t="s">
        <v>1030</v>
      </c>
      <c r="D91" s="2" t="s">
        <v>741</v>
      </c>
      <c r="E91" s="2" t="s">
        <v>109</v>
      </c>
      <c r="F91" s="2" t="s">
        <v>23</v>
      </c>
      <c r="G91" s="2" t="s">
        <v>829</v>
      </c>
      <c r="H91" s="2" t="s">
        <v>194</v>
      </c>
      <c r="I91" s="2" t="s">
        <v>2</v>
      </c>
      <c r="J91" s="2" t="s">
        <v>963</v>
      </c>
      <c r="K91" s="2" t="s">
        <v>3</v>
      </c>
      <c r="L91" s="2" t="s">
        <v>2</v>
      </c>
      <c r="M91" s="2" t="s">
        <v>2028</v>
      </c>
      <c r="N91" s="2" t="s">
        <v>194</v>
      </c>
      <c r="O91" s="2" t="s">
        <v>1</v>
      </c>
      <c r="P91" s="2" t="s">
        <v>1953</v>
      </c>
      <c r="Q91" s="2" t="s">
        <v>194</v>
      </c>
      <c r="R91" s="2" t="s">
        <v>2</v>
      </c>
      <c r="S91" s="2" t="s">
        <v>1354</v>
      </c>
      <c r="T91" t="s">
        <v>3</v>
      </c>
      <c r="U91" s="2" t="s">
        <v>1</v>
      </c>
      <c r="V91" s="2" t="s">
        <v>1355</v>
      </c>
      <c r="W91" s="2" t="s">
        <v>194</v>
      </c>
      <c r="X91" s="2" t="s">
        <v>2</v>
      </c>
      <c r="Y91">
        <f t="shared" si="1"/>
        <v>367</v>
      </c>
      <c r="Z91" s="20">
        <v>46103</v>
      </c>
    </row>
    <row r="92" spans="1:26" ht="390" x14ac:dyDescent="0.25">
      <c r="A92" t="s">
        <v>15</v>
      </c>
      <c r="B92" t="s">
        <v>70</v>
      </c>
      <c r="C92" s="2" t="s">
        <v>1030</v>
      </c>
      <c r="D92" s="2" t="s">
        <v>741</v>
      </c>
      <c r="E92" s="2" t="s">
        <v>110</v>
      </c>
      <c r="F92" s="2" t="s">
        <v>23</v>
      </c>
      <c r="G92" s="2" t="s">
        <v>830</v>
      </c>
      <c r="H92" s="2" t="s">
        <v>194</v>
      </c>
      <c r="I92" s="2" t="s">
        <v>2</v>
      </c>
      <c r="J92" s="2" t="s">
        <v>964</v>
      </c>
      <c r="K92" s="2" t="s">
        <v>194</v>
      </c>
      <c r="L92" s="2" t="s">
        <v>2</v>
      </c>
      <c r="M92" s="2" t="s">
        <v>2029</v>
      </c>
      <c r="N92" s="2" t="s">
        <v>194</v>
      </c>
      <c r="O92" s="2" t="s">
        <v>1</v>
      </c>
      <c r="P92" s="2" t="s">
        <v>1954</v>
      </c>
      <c r="Q92" s="2" t="s">
        <v>194</v>
      </c>
      <c r="R92" s="2" t="s">
        <v>2</v>
      </c>
      <c r="S92" s="2" t="s">
        <v>1356</v>
      </c>
      <c r="T92" t="s">
        <v>194</v>
      </c>
      <c r="U92" s="2" t="s">
        <v>1</v>
      </c>
      <c r="V92" s="2" t="s">
        <v>1357</v>
      </c>
      <c r="W92" s="2" t="s">
        <v>3</v>
      </c>
      <c r="X92" s="2" t="s">
        <v>2</v>
      </c>
      <c r="Y92">
        <f t="shared" si="1"/>
        <v>373</v>
      </c>
      <c r="Z92" s="20">
        <v>46103</v>
      </c>
    </row>
    <row r="93" spans="1:26" ht="315" x14ac:dyDescent="0.25">
      <c r="A93" t="s">
        <v>15</v>
      </c>
      <c r="B93" t="s">
        <v>70</v>
      </c>
      <c r="C93" s="2" t="s">
        <v>1030</v>
      </c>
      <c r="D93" s="2" t="s">
        <v>741</v>
      </c>
      <c r="E93" s="2" t="s">
        <v>111</v>
      </c>
      <c r="F93" s="2" t="s">
        <v>23</v>
      </c>
      <c r="G93" s="2" t="s">
        <v>831</v>
      </c>
      <c r="H93" s="2" t="s">
        <v>194</v>
      </c>
      <c r="I93" s="2" t="s">
        <v>1</v>
      </c>
      <c r="J93" s="2" t="s">
        <v>965</v>
      </c>
      <c r="K93" s="2" t="s">
        <v>194</v>
      </c>
      <c r="L93" s="2" t="s">
        <v>2</v>
      </c>
      <c r="M93" s="2" t="s">
        <v>831</v>
      </c>
      <c r="N93" s="2" t="s">
        <v>194</v>
      </c>
      <c r="O93" s="2" t="s">
        <v>1</v>
      </c>
      <c r="P93" s="2" t="s">
        <v>1955</v>
      </c>
      <c r="Q93" s="2" t="s">
        <v>194</v>
      </c>
      <c r="R93" s="2" t="s">
        <v>2</v>
      </c>
      <c r="S93" s="2" t="s">
        <v>831</v>
      </c>
      <c r="T93" t="s">
        <v>194</v>
      </c>
      <c r="U93" s="2" t="s">
        <v>1</v>
      </c>
      <c r="V93" s="2" t="s">
        <v>1358</v>
      </c>
      <c r="W93" s="2" t="s">
        <v>194</v>
      </c>
      <c r="X93" s="2" t="s">
        <v>2</v>
      </c>
      <c r="Y93">
        <f t="shared" si="1"/>
        <v>372</v>
      </c>
      <c r="Z93" s="20">
        <v>46103</v>
      </c>
    </row>
    <row r="94" spans="1:26" ht="180" x14ac:dyDescent="0.25">
      <c r="A94" t="s">
        <v>15</v>
      </c>
      <c r="B94" t="s">
        <v>70</v>
      </c>
      <c r="C94" s="2" t="s">
        <v>1030</v>
      </c>
      <c r="D94" s="2" t="s">
        <v>741</v>
      </c>
      <c r="E94" s="2" t="s">
        <v>112</v>
      </c>
      <c r="F94" s="2" t="s">
        <v>18</v>
      </c>
      <c r="G94" s="2" t="s">
        <v>832</v>
      </c>
      <c r="H94" s="2" t="s">
        <v>187</v>
      </c>
      <c r="I94" s="2" t="s">
        <v>1</v>
      </c>
      <c r="J94" s="2" t="s">
        <v>966</v>
      </c>
      <c r="K94" s="2" t="s">
        <v>187</v>
      </c>
      <c r="L94" s="2" t="s">
        <v>2</v>
      </c>
      <c r="M94" s="2" t="s">
        <v>1371</v>
      </c>
      <c r="N94" s="2" t="s">
        <v>187</v>
      </c>
      <c r="O94" s="2" t="s">
        <v>1</v>
      </c>
      <c r="P94" s="2" t="s">
        <v>1956</v>
      </c>
      <c r="Q94" s="2" t="s">
        <v>187</v>
      </c>
      <c r="R94" s="2" t="s">
        <v>2</v>
      </c>
      <c r="S94" s="2" t="s">
        <v>832</v>
      </c>
      <c r="T94" t="s">
        <v>187</v>
      </c>
      <c r="U94" s="2" t="s">
        <v>1</v>
      </c>
      <c r="V94" s="2" t="s">
        <v>1359</v>
      </c>
      <c r="W94" s="2" t="s">
        <v>187</v>
      </c>
      <c r="X94" s="2" t="s">
        <v>1</v>
      </c>
      <c r="Y94">
        <f t="shared" si="1"/>
        <v>371</v>
      </c>
      <c r="Z94" s="20">
        <v>46103</v>
      </c>
    </row>
    <row r="95" spans="1:26" ht="285" x14ac:dyDescent="0.25">
      <c r="A95" t="s">
        <v>15</v>
      </c>
      <c r="B95" t="s">
        <v>70</v>
      </c>
      <c r="C95" s="2" t="s">
        <v>1030</v>
      </c>
      <c r="D95" s="2" t="s">
        <v>741</v>
      </c>
      <c r="E95" s="2" t="s">
        <v>113</v>
      </c>
      <c r="F95" s="2" t="s">
        <v>18</v>
      </c>
      <c r="G95" s="2" t="s">
        <v>833</v>
      </c>
      <c r="H95" s="2" t="s">
        <v>187</v>
      </c>
      <c r="I95" s="2" t="s">
        <v>2</v>
      </c>
      <c r="J95" s="2" t="s">
        <v>967</v>
      </c>
      <c r="K95" s="2" t="s">
        <v>187</v>
      </c>
      <c r="L95" s="2" t="s">
        <v>2</v>
      </c>
      <c r="M95" s="2" t="s">
        <v>1360</v>
      </c>
      <c r="N95" s="2" t="s">
        <v>187</v>
      </c>
      <c r="O95" s="2" t="s">
        <v>1</v>
      </c>
      <c r="P95" s="2" t="s">
        <v>1957</v>
      </c>
      <c r="Q95" s="2" t="s">
        <v>187</v>
      </c>
      <c r="R95" s="2" t="s">
        <v>2</v>
      </c>
      <c r="S95" s="2" t="s">
        <v>1360</v>
      </c>
      <c r="T95" t="s">
        <v>187</v>
      </c>
      <c r="U95" s="2" t="s">
        <v>1</v>
      </c>
      <c r="V95" s="2" t="s">
        <v>1361</v>
      </c>
      <c r="W95" s="2" t="s">
        <v>187</v>
      </c>
      <c r="X95" s="2" t="s">
        <v>1</v>
      </c>
      <c r="Y95">
        <f t="shared" si="1"/>
        <v>373</v>
      </c>
      <c r="Z95" s="20">
        <v>46103</v>
      </c>
    </row>
    <row r="96" spans="1:26" ht="180" x14ac:dyDescent="0.25">
      <c r="A96" t="s">
        <v>15</v>
      </c>
      <c r="B96" t="s">
        <v>70</v>
      </c>
      <c r="C96" s="2" t="s">
        <v>1030</v>
      </c>
      <c r="D96" s="2" t="s">
        <v>741</v>
      </c>
      <c r="E96" s="2" t="s">
        <v>114</v>
      </c>
      <c r="F96" s="2" t="s">
        <v>18</v>
      </c>
      <c r="G96" s="2" t="s">
        <v>834</v>
      </c>
      <c r="H96" s="2" t="s">
        <v>187</v>
      </c>
      <c r="I96" s="2" t="s">
        <v>1</v>
      </c>
      <c r="J96" s="2" t="s">
        <v>968</v>
      </c>
      <c r="K96" s="2" t="s">
        <v>187</v>
      </c>
      <c r="L96" s="2" t="s">
        <v>1</v>
      </c>
      <c r="M96" s="2" t="s">
        <v>834</v>
      </c>
      <c r="N96" s="2" t="s">
        <v>187</v>
      </c>
      <c r="O96" s="2" t="s">
        <v>1</v>
      </c>
      <c r="P96" s="2" t="s">
        <v>1958</v>
      </c>
      <c r="Q96" s="2" t="s">
        <v>187</v>
      </c>
      <c r="R96" s="2" t="s">
        <v>2</v>
      </c>
      <c r="S96" s="2" t="s">
        <v>834</v>
      </c>
      <c r="T96" t="s">
        <v>187</v>
      </c>
      <c r="U96" s="2" t="s">
        <v>1</v>
      </c>
      <c r="V96" s="2" t="s">
        <v>1362</v>
      </c>
      <c r="W96" s="2" t="s">
        <v>187</v>
      </c>
      <c r="X96" s="2" t="s">
        <v>1</v>
      </c>
      <c r="Y96">
        <f t="shared" si="1"/>
        <v>373</v>
      </c>
      <c r="Z96" s="20">
        <v>46103</v>
      </c>
    </row>
    <row r="97" spans="1:26" ht="240" x14ac:dyDescent="0.25">
      <c r="A97" t="s">
        <v>15</v>
      </c>
      <c r="B97" t="s">
        <v>70</v>
      </c>
      <c r="C97" s="2" t="s">
        <v>1030</v>
      </c>
      <c r="D97" s="2" t="s">
        <v>741</v>
      </c>
      <c r="E97" s="2" t="s">
        <v>115</v>
      </c>
      <c r="F97" s="2" t="s">
        <v>18</v>
      </c>
      <c r="G97" s="2" t="s">
        <v>835</v>
      </c>
      <c r="H97" s="2" t="s">
        <v>187</v>
      </c>
      <c r="I97" s="2" t="s">
        <v>2</v>
      </c>
      <c r="J97" s="2" t="s">
        <v>969</v>
      </c>
      <c r="K97" s="2" t="s">
        <v>187</v>
      </c>
      <c r="L97" s="2" t="s">
        <v>2</v>
      </c>
      <c r="M97" s="2" t="s">
        <v>1363</v>
      </c>
      <c r="N97" s="2" t="s">
        <v>187</v>
      </c>
      <c r="O97" s="2" t="s">
        <v>1</v>
      </c>
      <c r="P97" s="2" t="s">
        <v>1959</v>
      </c>
      <c r="Q97" s="2" t="s">
        <v>187</v>
      </c>
      <c r="R97" s="2" t="s">
        <v>2</v>
      </c>
      <c r="S97" s="2" t="s">
        <v>1363</v>
      </c>
      <c r="T97" t="s">
        <v>187</v>
      </c>
      <c r="U97" s="2" t="s">
        <v>1</v>
      </c>
      <c r="V97" s="2" t="s">
        <v>1364</v>
      </c>
      <c r="W97" s="2" t="s">
        <v>187</v>
      </c>
      <c r="X97" s="2" t="s">
        <v>1</v>
      </c>
      <c r="Y97">
        <f t="shared" si="1"/>
        <v>367</v>
      </c>
      <c r="Z97" s="20">
        <v>46103</v>
      </c>
    </row>
    <row r="98" spans="1:26" ht="135" x14ac:dyDescent="0.25">
      <c r="A98" t="s">
        <v>15</v>
      </c>
      <c r="B98" t="s">
        <v>70</v>
      </c>
      <c r="C98" s="2" t="s">
        <v>1030</v>
      </c>
      <c r="D98" s="2" t="s">
        <v>741</v>
      </c>
      <c r="E98" s="2" t="s">
        <v>116</v>
      </c>
      <c r="F98" s="2" t="s">
        <v>18</v>
      </c>
      <c r="G98" s="2" t="s">
        <v>836</v>
      </c>
      <c r="H98" s="2" t="s">
        <v>187</v>
      </c>
      <c r="I98" s="2" t="s">
        <v>2</v>
      </c>
      <c r="J98" s="2" t="s">
        <v>970</v>
      </c>
      <c r="K98" s="2" t="s">
        <v>187</v>
      </c>
      <c r="L98" s="2" t="s">
        <v>1</v>
      </c>
      <c r="M98" s="2" t="s">
        <v>1365</v>
      </c>
      <c r="N98" s="2" t="s">
        <v>187</v>
      </c>
      <c r="O98" s="2" t="s">
        <v>1</v>
      </c>
      <c r="P98" s="2" t="s">
        <v>1960</v>
      </c>
      <c r="Q98" s="2" t="s">
        <v>187</v>
      </c>
      <c r="R98" s="2" t="s">
        <v>2</v>
      </c>
      <c r="S98" s="2" t="s">
        <v>1365</v>
      </c>
      <c r="T98" t="s">
        <v>187</v>
      </c>
      <c r="U98" s="2" t="s">
        <v>1</v>
      </c>
      <c r="V98" s="2" t="s">
        <v>1366</v>
      </c>
      <c r="W98" s="2" t="s">
        <v>187</v>
      </c>
      <c r="X98" s="2" t="s">
        <v>1</v>
      </c>
      <c r="Y98">
        <f t="shared" si="1"/>
        <v>371</v>
      </c>
      <c r="Z98" s="20">
        <v>46103</v>
      </c>
    </row>
    <row r="99" spans="1:26" ht="255" x14ac:dyDescent="0.25">
      <c r="A99" t="s">
        <v>15</v>
      </c>
      <c r="B99" t="s">
        <v>70</v>
      </c>
      <c r="C99" s="2" t="s">
        <v>1030</v>
      </c>
      <c r="D99" s="2" t="s">
        <v>741</v>
      </c>
      <c r="E99" s="2" t="s">
        <v>117</v>
      </c>
      <c r="F99" s="2" t="s">
        <v>18</v>
      </c>
      <c r="G99" s="2" t="s">
        <v>837</v>
      </c>
      <c r="H99" s="2" t="s">
        <v>187</v>
      </c>
      <c r="I99" s="2" t="s">
        <v>2</v>
      </c>
      <c r="J99" s="2" t="s">
        <v>971</v>
      </c>
      <c r="K99" s="2" t="s">
        <v>187</v>
      </c>
      <c r="L99" s="2" t="s">
        <v>2</v>
      </c>
      <c r="M99" s="2" t="s">
        <v>1367</v>
      </c>
      <c r="N99" s="2" t="s">
        <v>187</v>
      </c>
      <c r="O99" s="2" t="s">
        <v>1</v>
      </c>
      <c r="P99" s="2" t="s">
        <v>1961</v>
      </c>
      <c r="Q99" s="2" t="s">
        <v>187</v>
      </c>
      <c r="R99" s="2" t="s">
        <v>2</v>
      </c>
      <c r="S99" s="2" t="s">
        <v>1367</v>
      </c>
      <c r="T99" t="s">
        <v>187</v>
      </c>
      <c r="U99" s="2" t="s">
        <v>1</v>
      </c>
      <c r="V99" s="2" t="s">
        <v>1368</v>
      </c>
      <c r="W99" s="2" t="s">
        <v>187</v>
      </c>
      <c r="X99" s="2" t="s">
        <v>2</v>
      </c>
      <c r="Y99">
        <f t="shared" si="1"/>
        <v>375</v>
      </c>
      <c r="Z99" s="20">
        <v>46103</v>
      </c>
    </row>
    <row r="100" spans="1:26" ht="255" x14ac:dyDescent="0.25">
      <c r="A100" t="s">
        <v>15</v>
      </c>
      <c r="B100" t="s">
        <v>70</v>
      </c>
      <c r="C100" s="2" t="s">
        <v>1030</v>
      </c>
      <c r="D100" s="2" t="s">
        <v>741</v>
      </c>
      <c r="E100" s="2" t="s">
        <v>118</v>
      </c>
      <c r="F100" s="2" t="s">
        <v>18</v>
      </c>
      <c r="G100" s="2" t="s">
        <v>838</v>
      </c>
      <c r="H100" s="2" t="s">
        <v>187</v>
      </c>
      <c r="I100" s="2" t="s">
        <v>2</v>
      </c>
      <c r="J100" s="2" t="s">
        <v>972</v>
      </c>
      <c r="K100" s="2" t="s">
        <v>187</v>
      </c>
      <c r="L100" s="2" t="s">
        <v>2</v>
      </c>
      <c r="M100" s="2" t="s">
        <v>1369</v>
      </c>
      <c r="N100" s="2" t="s">
        <v>187</v>
      </c>
      <c r="O100" s="2" t="s">
        <v>1</v>
      </c>
      <c r="P100" s="2" t="s">
        <v>1962</v>
      </c>
      <c r="Q100" s="2" t="s">
        <v>187</v>
      </c>
      <c r="R100" s="2" t="s">
        <v>2</v>
      </c>
      <c r="S100" s="2" t="s">
        <v>1369</v>
      </c>
      <c r="T100" t="s">
        <v>187</v>
      </c>
      <c r="U100" s="2" t="s">
        <v>1</v>
      </c>
      <c r="V100" s="2" t="s">
        <v>1370</v>
      </c>
      <c r="W100" s="2" t="s">
        <v>187</v>
      </c>
      <c r="X100" s="2" t="s">
        <v>2</v>
      </c>
      <c r="Y100">
        <f t="shared" si="1"/>
        <v>372</v>
      </c>
      <c r="Z100" s="20">
        <v>46103</v>
      </c>
    </row>
    <row r="101" spans="1:26" ht="285" x14ac:dyDescent="0.25">
      <c r="A101" t="s">
        <v>15</v>
      </c>
      <c r="B101" t="s">
        <v>70</v>
      </c>
      <c r="C101" s="2" t="s">
        <v>1030</v>
      </c>
      <c r="D101" s="2" t="s">
        <v>741</v>
      </c>
      <c r="E101" s="2" t="s">
        <v>119</v>
      </c>
      <c r="F101" s="2" t="s">
        <v>18</v>
      </c>
      <c r="G101" s="2" t="s">
        <v>839</v>
      </c>
      <c r="H101" s="2" t="s">
        <v>187</v>
      </c>
      <c r="I101" s="2" t="s">
        <v>1</v>
      </c>
      <c r="J101" s="2" t="s">
        <v>973</v>
      </c>
      <c r="K101" s="2" t="s">
        <v>187</v>
      </c>
      <c r="L101" s="2" t="s">
        <v>2</v>
      </c>
      <c r="M101" s="2" t="s">
        <v>839</v>
      </c>
      <c r="N101" s="2" t="s">
        <v>187</v>
      </c>
      <c r="O101" s="2" t="s">
        <v>1</v>
      </c>
      <c r="P101" s="2" t="s">
        <v>1963</v>
      </c>
      <c r="Q101" s="2" t="s">
        <v>187</v>
      </c>
      <c r="R101" s="2" t="s">
        <v>2</v>
      </c>
      <c r="S101" s="2" t="s">
        <v>1371</v>
      </c>
      <c r="T101" t="s">
        <v>187</v>
      </c>
      <c r="U101" s="2" t="s">
        <v>1</v>
      </c>
      <c r="V101" s="2" t="s">
        <v>1372</v>
      </c>
      <c r="W101" s="2" t="s">
        <v>187</v>
      </c>
      <c r="X101" s="2" t="s">
        <v>2</v>
      </c>
      <c r="Y101">
        <f t="shared" si="1"/>
        <v>372</v>
      </c>
      <c r="Z101" s="20">
        <v>46103</v>
      </c>
    </row>
    <row r="102" spans="1:26" ht="285" x14ac:dyDescent="0.25">
      <c r="A102" t="s">
        <v>15</v>
      </c>
      <c r="B102" t="s">
        <v>70</v>
      </c>
      <c r="C102" s="2" t="s">
        <v>1030</v>
      </c>
      <c r="D102" s="2" t="s">
        <v>741</v>
      </c>
      <c r="E102" s="2" t="s">
        <v>120</v>
      </c>
      <c r="F102" s="2" t="s">
        <v>18</v>
      </c>
      <c r="G102" s="2" t="s">
        <v>840</v>
      </c>
      <c r="H102" s="2" t="s">
        <v>194</v>
      </c>
      <c r="I102" s="2" t="s">
        <v>2</v>
      </c>
      <c r="J102" s="2" t="s">
        <v>974</v>
      </c>
      <c r="K102" s="2" t="s">
        <v>3</v>
      </c>
      <c r="L102" s="2" t="s">
        <v>2</v>
      </c>
      <c r="M102" s="2" t="s">
        <v>360</v>
      </c>
      <c r="N102" s="2" t="s">
        <v>194</v>
      </c>
      <c r="O102" s="2" t="s">
        <v>1</v>
      </c>
      <c r="P102" s="2" t="s">
        <v>1964</v>
      </c>
      <c r="Q102" s="2" t="s">
        <v>194</v>
      </c>
      <c r="R102" s="2" t="s">
        <v>2</v>
      </c>
      <c r="S102" s="2" t="s">
        <v>1373</v>
      </c>
      <c r="T102" t="s">
        <v>3</v>
      </c>
      <c r="U102" s="2" t="s">
        <v>1</v>
      </c>
      <c r="V102" s="2" t="s">
        <v>1374</v>
      </c>
      <c r="W102" s="2" t="s">
        <v>3</v>
      </c>
      <c r="X102" s="2" t="s">
        <v>2</v>
      </c>
      <c r="Y102">
        <f t="shared" si="1"/>
        <v>365</v>
      </c>
      <c r="Z102" s="20">
        <v>46103</v>
      </c>
    </row>
    <row r="103" spans="1:26" ht="255" x14ac:dyDescent="0.25">
      <c r="A103" t="s">
        <v>15</v>
      </c>
      <c r="B103" t="s">
        <v>70</v>
      </c>
      <c r="C103" s="2" t="s">
        <v>1030</v>
      </c>
      <c r="D103" s="2" t="s">
        <v>741</v>
      </c>
      <c r="E103" s="2" t="s">
        <v>121</v>
      </c>
      <c r="F103" s="2" t="s">
        <v>18</v>
      </c>
      <c r="G103" s="2" t="s">
        <v>841</v>
      </c>
      <c r="H103" s="2" t="s">
        <v>187</v>
      </c>
      <c r="I103" s="2" t="s">
        <v>2</v>
      </c>
      <c r="J103" s="2" t="s">
        <v>975</v>
      </c>
      <c r="K103" s="2" t="s">
        <v>187</v>
      </c>
      <c r="L103" s="2" t="s">
        <v>1</v>
      </c>
      <c r="M103" s="2" t="s">
        <v>1375</v>
      </c>
      <c r="N103" s="2" t="s">
        <v>187</v>
      </c>
      <c r="O103" s="2" t="s">
        <v>1</v>
      </c>
      <c r="P103" s="2" t="s">
        <v>1965</v>
      </c>
      <c r="Q103" s="2" t="s">
        <v>187</v>
      </c>
      <c r="R103" s="2" t="s">
        <v>2</v>
      </c>
      <c r="S103" s="2" t="s">
        <v>1375</v>
      </c>
      <c r="T103" t="s">
        <v>187</v>
      </c>
      <c r="U103" s="2" t="s">
        <v>1</v>
      </c>
      <c r="V103" s="2" t="s">
        <v>1376</v>
      </c>
      <c r="W103" s="2" t="s">
        <v>187</v>
      </c>
      <c r="X103" s="2" t="s">
        <v>2</v>
      </c>
      <c r="Y103">
        <f t="shared" si="1"/>
        <v>371</v>
      </c>
      <c r="Z103" s="20">
        <v>46103</v>
      </c>
    </row>
    <row r="104" spans="1:26" ht="240" x14ac:dyDescent="0.25">
      <c r="A104" t="s">
        <v>15</v>
      </c>
      <c r="B104" t="s">
        <v>70</v>
      </c>
      <c r="C104" s="2" t="s">
        <v>1030</v>
      </c>
      <c r="D104" s="2" t="s">
        <v>741</v>
      </c>
      <c r="E104" s="2" t="s">
        <v>122</v>
      </c>
      <c r="F104" s="2" t="s">
        <v>18</v>
      </c>
      <c r="G104" s="2" t="s">
        <v>842</v>
      </c>
      <c r="H104" s="2" t="s">
        <v>187</v>
      </c>
      <c r="I104" s="2" t="s">
        <v>2</v>
      </c>
      <c r="J104" s="2" t="s">
        <v>976</v>
      </c>
      <c r="K104" s="2" t="s">
        <v>187</v>
      </c>
      <c r="L104" s="2" t="s">
        <v>2</v>
      </c>
      <c r="M104" s="2" t="s">
        <v>1377</v>
      </c>
      <c r="N104" s="2" t="s">
        <v>187</v>
      </c>
      <c r="O104" s="2" t="s">
        <v>1</v>
      </c>
      <c r="P104" s="2" t="s">
        <v>1966</v>
      </c>
      <c r="Q104" s="2" t="s">
        <v>187</v>
      </c>
      <c r="R104" s="2" t="s">
        <v>2</v>
      </c>
      <c r="S104" s="2" t="s">
        <v>1377</v>
      </c>
      <c r="T104" t="s">
        <v>187</v>
      </c>
      <c r="U104" s="2" t="s">
        <v>1</v>
      </c>
      <c r="V104" s="2" t="s">
        <v>1378</v>
      </c>
      <c r="W104" s="2" t="s">
        <v>187</v>
      </c>
      <c r="X104" s="2" t="s">
        <v>1</v>
      </c>
      <c r="Y104">
        <f t="shared" si="1"/>
        <v>366</v>
      </c>
      <c r="Z104" s="20">
        <v>46103</v>
      </c>
    </row>
    <row r="105" spans="1:26" ht="240" x14ac:dyDescent="0.25">
      <c r="A105" t="s">
        <v>15</v>
      </c>
      <c r="B105" t="s">
        <v>70</v>
      </c>
      <c r="C105" s="2" t="s">
        <v>1030</v>
      </c>
      <c r="D105" s="2" t="s">
        <v>741</v>
      </c>
      <c r="E105" s="2" t="s">
        <v>123</v>
      </c>
      <c r="F105" s="2" t="s">
        <v>18</v>
      </c>
      <c r="G105" s="2" t="s">
        <v>843</v>
      </c>
      <c r="H105" s="2" t="s">
        <v>187</v>
      </c>
      <c r="I105" s="2" t="s">
        <v>2</v>
      </c>
      <c r="J105" s="2" t="s">
        <v>977</v>
      </c>
      <c r="K105" s="2" t="s">
        <v>187</v>
      </c>
      <c r="L105" s="2" t="s">
        <v>2</v>
      </c>
      <c r="M105" s="2" t="s">
        <v>1379</v>
      </c>
      <c r="N105" s="2" t="s">
        <v>187</v>
      </c>
      <c r="O105" s="2" t="s">
        <v>1</v>
      </c>
      <c r="P105" s="2" t="s">
        <v>1967</v>
      </c>
      <c r="Q105" s="2" t="s">
        <v>187</v>
      </c>
      <c r="R105" s="2" t="s">
        <v>2</v>
      </c>
      <c r="S105" s="2" t="s">
        <v>1379</v>
      </c>
      <c r="T105" t="s">
        <v>187</v>
      </c>
      <c r="U105" s="2" t="s">
        <v>1</v>
      </c>
      <c r="V105" s="2" t="s">
        <v>1380</v>
      </c>
      <c r="W105" s="2" t="s">
        <v>187</v>
      </c>
      <c r="X105" s="2" t="s">
        <v>1</v>
      </c>
      <c r="Y105">
        <f t="shared" si="1"/>
        <v>365</v>
      </c>
      <c r="Z105" s="20">
        <v>46103</v>
      </c>
    </row>
    <row r="106" spans="1:26" ht="180" x14ac:dyDescent="0.25">
      <c r="A106" t="s">
        <v>15</v>
      </c>
      <c r="B106" t="s">
        <v>124</v>
      </c>
      <c r="C106" s="2" t="s">
        <v>1030</v>
      </c>
      <c r="D106" s="2" t="s">
        <v>742</v>
      </c>
      <c r="E106" s="2" t="s">
        <v>125</v>
      </c>
      <c r="F106" s="2" t="s">
        <v>23</v>
      </c>
      <c r="G106" s="2" t="s">
        <v>844</v>
      </c>
      <c r="H106" s="2" t="s">
        <v>187</v>
      </c>
      <c r="I106" s="2" t="s">
        <v>1</v>
      </c>
      <c r="J106" s="2" t="s">
        <v>978</v>
      </c>
      <c r="K106" s="2" t="s">
        <v>187</v>
      </c>
      <c r="L106" s="2" t="s">
        <v>2</v>
      </c>
      <c r="M106" s="2" t="s">
        <v>2030</v>
      </c>
      <c r="N106" s="2" t="s">
        <v>187</v>
      </c>
      <c r="O106" s="2" t="s">
        <v>1</v>
      </c>
      <c r="P106" s="2" t="s">
        <v>182</v>
      </c>
      <c r="Q106" s="2" t="s">
        <v>187</v>
      </c>
      <c r="R106" s="2" t="s">
        <v>1</v>
      </c>
      <c r="S106" s="2" t="s">
        <v>182</v>
      </c>
      <c r="T106" t="s">
        <v>187</v>
      </c>
      <c r="U106" s="2" t="s">
        <v>1</v>
      </c>
      <c r="V106" s="2" t="s">
        <v>1381</v>
      </c>
      <c r="W106" s="2" t="s">
        <v>187</v>
      </c>
      <c r="X106" s="2" t="s">
        <v>2</v>
      </c>
      <c r="Y106">
        <f t="shared" si="1"/>
        <v>471</v>
      </c>
      <c r="Z106" s="20">
        <v>46103</v>
      </c>
    </row>
    <row r="107" spans="1:26" ht="180" x14ac:dyDescent="0.25">
      <c r="A107" t="s">
        <v>15</v>
      </c>
      <c r="B107" t="s">
        <v>124</v>
      </c>
      <c r="C107" s="2" t="s">
        <v>1030</v>
      </c>
      <c r="D107" s="2" t="s">
        <v>742</v>
      </c>
      <c r="E107" s="2" t="s">
        <v>126</v>
      </c>
      <c r="F107" s="2" t="s">
        <v>23</v>
      </c>
      <c r="G107" s="2" t="s">
        <v>845</v>
      </c>
      <c r="H107" s="2" t="s">
        <v>187</v>
      </c>
      <c r="I107" s="2" t="s">
        <v>2</v>
      </c>
      <c r="J107" s="2" t="s">
        <v>979</v>
      </c>
      <c r="K107" s="2" t="s">
        <v>187</v>
      </c>
      <c r="L107" s="2" t="s">
        <v>2</v>
      </c>
      <c r="M107" s="2" t="s">
        <v>1382</v>
      </c>
      <c r="N107" s="2" t="s">
        <v>187</v>
      </c>
      <c r="O107" s="2" t="s">
        <v>1</v>
      </c>
      <c r="P107" s="2" t="s">
        <v>1968</v>
      </c>
      <c r="Q107" s="2" t="s">
        <v>187</v>
      </c>
      <c r="R107" s="2" t="s">
        <v>2</v>
      </c>
      <c r="S107" s="2" t="s">
        <v>1382</v>
      </c>
      <c r="T107" t="s">
        <v>187</v>
      </c>
      <c r="U107" s="2" t="s">
        <v>1</v>
      </c>
      <c r="V107" s="2" t="s">
        <v>1383</v>
      </c>
      <c r="W107" s="2" t="s">
        <v>187</v>
      </c>
      <c r="X107" s="2" t="s">
        <v>2</v>
      </c>
      <c r="Y107">
        <f t="shared" si="1"/>
        <v>468</v>
      </c>
      <c r="Z107" s="20">
        <v>46103</v>
      </c>
    </row>
    <row r="108" spans="1:26" ht="210" x14ac:dyDescent="0.25">
      <c r="A108" t="s">
        <v>15</v>
      </c>
      <c r="B108" t="s">
        <v>124</v>
      </c>
      <c r="C108" s="2" t="s">
        <v>1030</v>
      </c>
      <c r="D108" s="2" t="s">
        <v>742</v>
      </c>
      <c r="E108" s="2" t="s">
        <v>127</v>
      </c>
      <c r="F108" s="2" t="s">
        <v>23</v>
      </c>
      <c r="G108" s="2" t="s">
        <v>381</v>
      </c>
      <c r="H108" s="2" t="s">
        <v>187</v>
      </c>
      <c r="I108" s="2" t="s">
        <v>1</v>
      </c>
      <c r="J108" s="2" t="s">
        <v>980</v>
      </c>
      <c r="K108" s="2" t="s">
        <v>187</v>
      </c>
      <c r="L108" s="2" t="s">
        <v>2</v>
      </c>
      <c r="M108" s="2" t="s">
        <v>381</v>
      </c>
      <c r="N108" s="2" t="s">
        <v>187</v>
      </c>
      <c r="O108" s="2" t="s">
        <v>1</v>
      </c>
      <c r="P108" s="2" t="s">
        <v>182</v>
      </c>
      <c r="Q108" s="2" t="s">
        <v>187</v>
      </c>
      <c r="R108" s="2" t="s">
        <v>1</v>
      </c>
      <c r="S108" s="2" t="s">
        <v>381</v>
      </c>
      <c r="T108" t="s">
        <v>187</v>
      </c>
      <c r="U108" s="2" t="s">
        <v>1</v>
      </c>
      <c r="V108" s="2" t="s">
        <v>1384</v>
      </c>
      <c r="W108" s="2" t="s">
        <v>187</v>
      </c>
      <c r="X108" s="2" t="s">
        <v>2</v>
      </c>
      <c r="Y108">
        <f t="shared" si="1"/>
        <v>484</v>
      </c>
      <c r="Z108" s="20">
        <v>46103</v>
      </c>
    </row>
    <row r="109" spans="1:26" ht="180" x14ac:dyDescent="0.25">
      <c r="A109" t="s">
        <v>15</v>
      </c>
      <c r="B109" t="s">
        <v>124</v>
      </c>
      <c r="C109" s="2" t="s">
        <v>1030</v>
      </c>
      <c r="D109" s="2" t="s">
        <v>742</v>
      </c>
      <c r="E109" s="2" t="s">
        <v>128</v>
      </c>
      <c r="F109" s="2" t="s">
        <v>23</v>
      </c>
      <c r="G109" s="2" t="s">
        <v>737</v>
      </c>
      <c r="H109" s="2" t="s">
        <v>187</v>
      </c>
      <c r="I109" s="2" t="s">
        <v>1</v>
      </c>
      <c r="J109" s="2" t="s">
        <v>981</v>
      </c>
      <c r="K109" s="2" t="s">
        <v>187</v>
      </c>
      <c r="L109" s="2" t="s">
        <v>2</v>
      </c>
      <c r="M109" s="2" t="s">
        <v>182</v>
      </c>
      <c r="N109" s="2" t="s">
        <v>187</v>
      </c>
      <c r="O109" s="2" t="s">
        <v>1</v>
      </c>
      <c r="P109" s="2" t="s">
        <v>1969</v>
      </c>
      <c r="Q109" s="2" t="s">
        <v>187</v>
      </c>
      <c r="R109" s="2" t="s">
        <v>2</v>
      </c>
      <c r="S109" s="2" t="s">
        <v>737</v>
      </c>
      <c r="T109" t="s">
        <v>187</v>
      </c>
      <c r="U109" s="2" t="s">
        <v>1</v>
      </c>
      <c r="V109" s="2" t="s">
        <v>1385</v>
      </c>
      <c r="W109" s="2" t="s">
        <v>187</v>
      </c>
      <c r="X109" s="2" t="s">
        <v>2</v>
      </c>
      <c r="Y109">
        <f t="shared" si="1"/>
        <v>473</v>
      </c>
      <c r="Z109" s="20">
        <v>46103</v>
      </c>
    </row>
    <row r="110" spans="1:26" ht="150" x14ac:dyDescent="0.25">
      <c r="A110" t="s">
        <v>15</v>
      </c>
      <c r="B110" t="s">
        <v>124</v>
      </c>
      <c r="C110" s="2" t="s">
        <v>1030</v>
      </c>
      <c r="D110" s="2" t="s">
        <v>742</v>
      </c>
      <c r="E110" s="2" t="s">
        <v>129</v>
      </c>
      <c r="F110" s="2" t="s">
        <v>18</v>
      </c>
      <c r="G110" s="2" t="s">
        <v>846</v>
      </c>
      <c r="H110" s="2" t="s">
        <v>187</v>
      </c>
      <c r="I110" s="2" t="s">
        <v>1</v>
      </c>
      <c r="J110" s="2" t="s">
        <v>982</v>
      </c>
      <c r="K110" s="2" t="s">
        <v>187</v>
      </c>
      <c r="L110" s="2" t="s">
        <v>2</v>
      </c>
      <c r="M110" s="2" t="s">
        <v>2031</v>
      </c>
      <c r="N110" s="2" t="s">
        <v>194</v>
      </c>
      <c r="O110" s="2" t="s">
        <v>1</v>
      </c>
      <c r="P110" s="2" t="s">
        <v>1970</v>
      </c>
      <c r="Q110" s="2" t="s">
        <v>187</v>
      </c>
      <c r="R110" s="2" t="s">
        <v>2</v>
      </c>
      <c r="S110" s="2" t="s">
        <v>1386</v>
      </c>
      <c r="T110" t="s">
        <v>187</v>
      </c>
      <c r="U110" s="2" t="s">
        <v>1</v>
      </c>
      <c r="V110" s="2" t="s">
        <v>1387</v>
      </c>
      <c r="W110" s="2" t="s">
        <v>194</v>
      </c>
      <c r="X110" s="2" t="s">
        <v>1</v>
      </c>
      <c r="Y110">
        <f t="shared" si="1"/>
        <v>459</v>
      </c>
      <c r="Z110" s="20">
        <v>46103</v>
      </c>
    </row>
    <row r="111" spans="1:26" ht="150" x14ac:dyDescent="0.25">
      <c r="A111" t="s">
        <v>15</v>
      </c>
      <c r="B111" t="s">
        <v>124</v>
      </c>
      <c r="C111" s="2" t="s">
        <v>1030</v>
      </c>
      <c r="D111" s="2" t="s">
        <v>742</v>
      </c>
      <c r="E111" s="2" t="s">
        <v>130</v>
      </c>
      <c r="F111" s="2" t="s">
        <v>23</v>
      </c>
      <c r="G111" s="2" t="s">
        <v>847</v>
      </c>
      <c r="H111" s="2" t="s">
        <v>187</v>
      </c>
      <c r="I111" s="2" t="s">
        <v>1</v>
      </c>
      <c r="J111" s="2" t="s">
        <v>983</v>
      </c>
      <c r="K111" s="2" t="s">
        <v>187</v>
      </c>
      <c r="L111" s="2" t="s">
        <v>1</v>
      </c>
      <c r="M111" s="2" t="s">
        <v>1388</v>
      </c>
      <c r="N111" s="2" t="s">
        <v>187</v>
      </c>
      <c r="O111" s="2" t="s">
        <v>1</v>
      </c>
      <c r="P111" s="2" t="s">
        <v>182</v>
      </c>
      <c r="Q111" s="2" t="s">
        <v>187</v>
      </c>
      <c r="R111" s="2" t="s">
        <v>1</v>
      </c>
      <c r="S111" s="2" t="s">
        <v>1388</v>
      </c>
      <c r="T111" t="s">
        <v>187</v>
      </c>
      <c r="U111" s="2" t="s">
        <v>1</v>
      </c>
      <c r="V111" s="2" t="s">
        <v>1389</v>
      </c>
      <c r="W111" s="2" t="s">
        <v>187</v>
      </c>
      <c r="X111" s="2" t="s">
        <v>2</v>
      </c>
      <c r="Y111">
        <f t="shared" si="1"/>
        <v>463</v>
      </c>
      <c r="Z111" s="20">
        <v>46103</v>
      </c>
    </row>
    <row r="112" spans="1:26" ht="195" x14ac:dyDescent="0.25">
      <c r="A112" t="s">
        <v>15</v>
      </c>
      <c r="B112" t="s">
        <v>124</v>
      </c>
      <c r="C112" s="2" t="s">
        <v>1030</v>
      </c>
      <c r="D112" s="2" t="s">
        <v>742</v>
      </c>
      <c r="E112" s="2" t="s">
        <v>131</v>
      </c>
      <c r="F112" s="2" t="s">
        <v>23</v>
      </c>
      <c r="G112" s="2" t="s">
        <v>848</v>
      </c>
      <c r="H112" s="2" t="s">
        <v>187</v>
      </c>
      <c r="I112" s="2" t="s">
        <v>1</v>
      </c>
      <c r="J112" s="2" t="s">
        <v>984</v>
      </c>
      <c r="K112" s="2" t="s">
        <v>187</v>
      </c>
      <c r="L112" s="2" t="s">
        <v>2</v>
      </c>
      <c r="M112" s="2" t="s">
        <v>2032</v>
      </c>
      <c r="N112" s="2" t="s">
        <v>187</v>
      </c>
      <c r="O112" s="2" t="s">
        <v>1</v>
      </c>
      <c r="P112" s="2" t="s">
        <v>182</v>
      </c>
      <c r="Q112" s="2" t="s">
        <v>187</v>
      </c>
      <c r="R112" s="2" t="s">
        <v>1</v>
      </c>
      <c r="S112" s="2" t="s">
        <v>182</v>
      </c>
      <c r="T112" t="s">
        <v>187</v>
      </c>
      <c r="U112" s="2" t="s">
        <v>1</v>
      </c>
      <c r="V112" s="2" t="s">
        <v>1390</v>
      </c>
      <c r="W112" s="2" t="s">
        <v>187</v>
      </c>
      <c r="X112" s="2" t="s">
        <v>2</v>
      </c>
      <c r="Y112">
        <f t="shared" si="1"/>
        <v>461</v>
      </c>
      <c r="Z112" s="20">
        <v>46103</v>
      </c>
    </row>
    <row r="113" spans="1:26" ht="165" x14ac:dyDescent="0.25">
      <c r="A113" t="s">
        <v>15</v>
      </c>
      <c r="B113" t="s">
        <v>124</v>
      </c>
      <c r="C113" s="2" t="s">
        <v>1030</v>
      </c>
      <c r="D113" s="2" t="s">
        <v>742</v>
      </c>
      <c r="E113" s="2" t="s">
        <v>132</v>
      </c>
      <c r="F113" s="2" t="s">
        <v>23</v>
      </c>
      <c r="G113" s="2" t="s">
        <v>182</v>
      </c>
      <c r="H113" s="2" t="s">
        <v>187</v>
      </c>
      <c r="I113" s="2" t="s">
        <v>1</v>
      </c>
      <c r="J113" s="2" t="s">
        <v>985</v>
      </c>
      <c r="K113" s="2" t="s">
        <v>187</v>
      </c>
      <c r="L113" s="2" t="s">
        <v>2</v>
      </c>
      <c r="M113" s="2" t="s">
        <v>1391</v>
      </c>
      <c r="N113" s="2" t="s">
        <v>187</v>
      </c>
      <c r="O113" s="2" t="s">
        <v>1</v>
      </c>
      <c r="P113" s="2" t="s">
        <v>182</v>
      </c>
      <c r="Q113" s="2" t="s">
        <v>187</v>
      </c>
      <c r="R113" s="2" t="s">
        <v>1</v>
      </c>
      <c r="S113" s="2" t="s">
        <v>1391</v>
      </c>
      <c r="T113" t="s">
        <v>187</v>
      </c>
      <c r="U113" s="2" t="s">
        <v>1</v>
      </c>
      <c r="V113" s="2" t="s">
        <v>1392</v>
      </c>
      <c r="W113" s="2" t="s">
        <v>187</v>
      </c>
      <c r="X113" s="2" t="s">
        <v>2</v>
      </c>
      <c r="Y113">
        <f t="shared" si="1"/>
        <v>462</v>
      </c>
      <c r="Z113" s="20">
        <v>46103</v>
      </c>
    </row>
    <row r="114" spans="1:26" ht="225" x14ac:dyDescent="0.25">
      <c r="A114" t="s">
        <v>15</v>
      </c>
      <c r="B114" t="s">
        <v>124</v>
      </c>
      <c r="C114" s="2" t="s">
        <v>1030</v>
      </c>
      <c r="D114" s="2" t="s">
        <v>742</v>
      </c>
      <c r="E114" s="2" t="s">
        <v>133</v>
      </c>
      <c r="F114" s="2" t="s">
        <v>23</v>
      </c>
      <c r="G114" s="2" t="s">
        <v>182</v>
      </c>
      <c r="H114" s="2" t="s">
        <v>187</v>
      </c>
      <c r="I114" s="2" t="s">
        <v>1</v>
      </c>
      <c r="J114" s="2" t="s">
        <v>986</v>
      </c>
      <c r="K114" s="2" t="s">
        <v>187</v>
      </c>
      <c r="L114" s="2" t="s">
        <v>2</v>
      </c>
      <c r="M114" s="2" t="s">
        <v>1393</v>
      </c>
      <c r="N114" s="2" t="s">
        <v>187</v>
      </c>
      <c r="O114" s="2" t="s">
        <v>1</v>
      </c>
      <c r="P114" s="2" t="s">
        <v>182</v>
      </c>
      <c r="Q114" s="2" t="s">
        <v>187</v>
      </c>
      <c r="R114" s="2" t="s">
        <v>1</v>
      </c>
      <c r="S114" s="2" t="s">
        <v>1393</v>
      </c>
      <c r="T114" t="s">
        <v>187</v>
      </c>
      <c r="U114" s="2" t="s">
        <v>1</v>
      </c>
      <c r="V114" s="2" t="s">
        <v>1394</v>
      </c>
      <c r="W114" s="2" t="s">
        <v>187</v>
      </c>
      <c r="X114" s="2" t="s">
        <v>2</v>
      </c>
      <c r="Y114">
        <f t="shared" si="1"/>
        <v>468</v>
      </c>
      <c r="Z114" s="20">
        <v>46103</v>
      </c>
    </row>
    <row r="115" spans="1:26" ht="195" x14ac:dyDescent="0.25">
      <c r="A115" t="s">
        <v>15</v>
      </c>
      <c r="B115" t="s">
        <v>124</v>
      </c>
      <c r="C115" s="2" t="s">
        <v>1030</v>
      </c>
      <c r="D115" s="2" t="s">
        <v>742</v>
      </c>
      <c r="E115" s="2" t="s">
        <v>134</v>
      </c>
      <c r="F115" s="2" t="s">
        <v>23</v>
      </c>
      <c r="G115" s="2" t="s">
        <v>382</v>
      </c>
      <c r="H115" s="2" t="s">
        <v>187</v>
      </c>
      <c r="I115" s="2" t="s">
        <v>1</v>
      </c>
      <c r="J115" s="2" t="s">
        <v>987</v>
      </c>
      <c r="K115" s="2" t="s">
        <v>187</v>
      </c>
      <c r="L115" s="2" t="s">
        <v>2</v>
      </c>
      <c r="M115" s="2" t="s">
        <v>382</v>
      </c>
      <c r="N115" s="2" t="s">
        <v>187</v>
      </c>
      <c r="O115" s="2" t="s">
        <v>1</v>
      </c>
      <c r="P115" s="2" t="s">
        <v>182</v>
      </c>
      <c r="Q115" s="2" t="s">
        <v>187</v>
      </c>
      <c r="R115" s="2" t="s">
        <v>1</v>
      </c>
      <c r="S115" s="2" t="s">
        <v>182</v>
      </c>
      <c r="T115" t="s">
        <v>187</v>
      </c>
      <c r="U115" s="2" t="s">
        <v>1</v>
      </c>
      <c r="V115" s="2" t="s">
        <v>1395</v>
      </c>
      <c r="W115" s="2" t="s">
        <v>187</v>
      </c>
      <c r="X115" s="2" t="s">
        <v>2</v>
      </c>
      <c r="Y115">
        <f t="shared" si="1"/>
        <v>465</v>
      </c>
      <c r="Z115" s="20">
        <v>46103</v>
      </c>
    </row>
    <row r="116" spans="1:26" ht="180" x14ac:dyDescent="0.25">
      <c r="A116" t="s">
        <v>15</v>
      </c>
      <c r="B116" t="s">
        <v>124</v>
      </c>
      <c r="C116" s="2" t="s">
        <v>1030</v>
      </c>
      <c r="D116" s="2" t="s">
        <v>742</v>
      </c>
      <c r="E116" s="2" t="s">
        <v>135</v>
      </c>
      <c r="F116" s="2" t="s">
        <v>23</v>
      </c>
      <c r="G116" s="2" t="s">
        <v>738</v>
      </c>
      <c r="H116" s="2" t="s">
        <v>187</v>
      </c>
      <c r="I116" s="2" t="s">
        <v>1</v>
      </c>
      <c r="J116" s="2" t="s">
        <v>988</v>
      </c>
      <c r="K116" s="2" t="s">
        <v>187</v>
      </c>
      <c r="L116" s="2" t="s">
        <v>2</v>
      </c>
      <c r="M116" s="2" t="s">
        <v>182</v>
      </c>
      <c r="N116" s="2" t="s">
        <v>187</v>
      </c>
      <c r="O116" s="2" t="s">
        <v>1</v>
      </c>
      <c r="P116" s="2" t="s">
        <v>182</v>
      </c>
      <c r="Q116" s="2" t="s">
        <v>187</v>
      </c>
      <c r="R116" s="2" t="s">
        <v>1</v>
      </c>
      <c r="S116" s="2" t="s">
        <v>182</v>
      </c>
      <c r="T116" t="s">
        <v>187</v>
      </c>
      <c r="U116" s="2" t="s">
        <v>1</v>
      </c>
      <c r="V116" s="2" t="s">
        <v>1396</v>
      </c>
      <c r="W116" s="2" t="s">
        <v>187</v>
      </c>
      <c r="X116" s="2" t="s">
        <v>2</v>
      </c>
      <c r="Y116">
        <f t="shared" si="1"/>
        <v>460</v>
      </c>
      <c r="Z116" s="20">
        <v>46103</v>
      </c>
    </row>
    <row r="117" spans="1:26" ht="210" x14ac:dyDescent="0.25">
      <c r="A117" t="s">
        <v>15</v>
      </c>
      <c r="B117" t="s">
        <v>124</v>
      </c>
      <c r="C117" s="2" t="s">
        <v>1030</v>
      </c>
      <c r="D117" s="2" t="s">
        <v>742</v>
      </c>
      <c r="E117" s="2" t="s">
        <v>136</v>
      </c>
      <c r="F117" s="2" t="s">
        <v>23</v>
      </c>
      <c r="G117" s="2" t="s">
        <v>182</v>
      </c>
      <c r="H117" s="2" t="s">
        <v>187</v>
      </c>
      <c r="I117" s="2" t="s">
        <v>1</v>
      </c>
      <c r="J117" s="2" t="s">
        <v>989</v>
      </c>
      <c r="K117" s="2" t="s">
        <v>187</v>
      </c>
      <c r="L117" s="2" t="s">
        <v>2</v>
      </c>
      <c r="M117" s="2" t="s">
        <v>2033</v>
      </c>
      <c r="N117" s="2" t="s">
        <v>187</v>
      </c>
      <c r="O117" s="2" t="s">
        <v>1</v>
      </c>
      <c r="P117" s="2" t="s">
        <v>182</v>
      </c>
      <c r="Q117" s="2" t="s">
        <v>187</v>
      </c>
      <c r="R117" s="2" t="s">
        <v>1</v>
      </c>
      <c r="S117" s="2" t="s">
        <v>182</v>
      </c>
      <c r="T117" t="s">
        <v>187</v>
      </c>
      <c r="U117" s="2" t="s">
        <v>1</v>
      </c>
      <c r="V117" s="2" t="s">
        <v>1397</v>
      </c>
      <c r="W117" s="2" t="s">
        <v>187</v>
      </c>
      <c r="X117" s="2" t="s">
        <v>2</v>
      </c>
      <c r="Y117">
        <f t="shared" si="1"/>
        <v>471</v>
      </c>
      <c r="Z117" s="20">
        <v>46103</v>
      </c>
    </row>
    <row r="118" spans="1:26" ht="210" x14ac:dyDescent="0.25">
      <c r="A118" t="s">
        <v>15</v>
      </c>
      <c r="B118" t="s">
        <v>124</v>
      </c>
      <c r="C118" s="2" t="s">
        <v>1030</v>
      </c>
      <c r="D118" s="2" t="s">
        <v>742</v>
      </c>
      <c r="E118" s="2" t="s">
        <v>137</v>
      </c>
      <c r="F118" s="2" t="s">
        <v>23</v>
      </c>
      <c r="G118" s="2" t="s">
        <v>736</v>
      </c>
      <c r="H118" s="2" t="s">
        <v>187</v>
      </c>
      <c r="I118" s="2" t="s">
        <v>1</v>
      </c>
      <c r="J118" s="2" t="s">
        <v>990</v>
      </c>
      <c r="K118" s="2" t="s">
        <v>187</v>
      </c>
      <c r="L118" s="2" t="s">
        <v>2</v>
      </c>
      <c r="M118" s="2" t="s">
        <v>182</v>
      </c>
      <c r="N118" s="2" t="s">
        <v>187</v>
      </c>
      <c r="O118" s="2" t="s">
        <v>1</v>
      </c>
      <c r="P118" s="2" t="s">
        <v>182</v>
      </c>
      <c r="Q118" s="2" t="s">
        <v>187</v>
      </c>
      <c r="R118" s="2" t="s">
        <v>1</v>
      </c>
      <c r="S118" s="2" t="s">
        <v>182</v>
      </c>
      <c r="T118" t="s">
        <v>187</v>
      </c>
      <c r="U118" s="2" t="s">
        <v>1</v>
      </c>
      <c r="V118" s="2" t="s">
        <v>1398</v>
      </c>
      <c r="W118" s="2" t="s">
        <v>187</v>
      </c>
      <c r="X118" s="2" t="s">
        <v>2</v>
      </c>
      <c r="Y118">
        <f t="shared" si="1"/>
        <v>468</v>
      </c>
      <c r="Z118" s="20">
        <v>46103</v>
      </c>
    </row>
    <row r="119" spans="1:26" ht="195" x14ac:dyDescent="0.25">
      <c r="A119" t="s">
        <v>15</v>
      </c>
      <c r="B119" t="s">
        <v>124</v>
      </c>
      <c r="C119" s="2" t="s">
        <v>1030</v>
      </c>
      <c r="D119" s="2" t="s">
        <v>742</v>
      </c>
      <c r="E119" s="2" t="s">
        <v>138</v>
      </c>
      <c r="F119" s="2" t="s">
        <v>23</v>
      </c>
      <c r="G119" s="2" t="s">
        <v>849</v>
      </c>
      <c r="H119" s="2" t="s">
        <v>187</v>
      </c>
      <c r="I119" s="2" t="s">
        <v>1</v>
      </c>
      <c r="J119" s="2" t="s">
        <v>991</v>
      </c>
      <c r="K119" s="2" t="s">
        <v>187</v>
      </c>
      <c r="L119" s="2" t="s">
        <v>2</v>
      </c>
      <c r="M119" s="2" t="s">
        <v>1399</v>
      </c>
      <c r="N119" s="2" t="s">
        <v>187</v>
      </c>
      <c r="O119" s="2" t="s">
        <v>1</v>
      </c>
      <c r="P119" s="2" t="s">
        <v>182</v>
      </c>
      <c r="Q119" s="2" t="s">
        <v>187</v>
      </c>
      <c r="R119" s="2" t="s">
        <v>1</v>
      </c>
      <c r="S119" s="2" t="s">
        <v>1399</v>
      </c>
      <c r="T119" t="s">
        <v>187</v>
      </c>
      <c r="U119" s="2" t="s">
        <v>1</v>
      </c>
      <c r="V119" s="2" t="s">
        <v>1400</v>
      </c>
      <c r="W119" s="2" t="s">
        <v>187</v>
      </c>
      <c r="X119" s="2" t="s">
        <v>2</v>
      </c>
      <c r="Y119">
        <f t="shared" si="1"/>
        <v>466</v>
      </c>
      <c r="Z119" s="20">
        <v>46103</v>
      </c>
    </row>
    <row r="120" spans="1:26" ht="135" x14ac:dyDescent="0.25">
      <c r="A120" t="s">
        <v>15</v>
      </c>
      <c r="B120" t="s">
        <v>124</v>
      </c>
      <c r="C120" s="2" t="s">
        <v>1030</v>
      </c>
      <c r="D120" s="2" t="s">
        <v>742</v>
      </c>
      <c r="E120" s="2" t="s">
        <v>139</v>
      </c>
      <c r="F120" s="2" t="s">
        <v>23</v>
      </c>
      <c r="G120" s="2" t="s">
        <v>850</v>
      </c>
      <c r="H120" s="2" t="s">
        <v>187</v>
      </c>
      <c r="I120" s="2" t="s">
        <v>1</v>
      </c>
      <c r="J120" s="2" t="s">
        <v>992</v>
      </c>
      <c r="K120" s="2" t="s">
        <v>187</v>
      </c>
      <c r="L120" s="2" t="s">
        <v>2</v>
      </c>
      <c r="M120" s="2" t="s">
        <v>182</v>
      </c>
      <c r="N120" s="2" t="s">
        <v>187</v>
      </c>
      <c r="O120" s="2" t="s">
        <v>1</v>
      </c>
      <c r="P120" s="2" t="s">
        <v>182</v>
      </c>
      <c r="Q120" s="2" t="s">
        <v>187</v>
      </c>
      <c r="R120" s="2" t="s">
        <v>1</v>
      </c>
      <c r="S120" s="2" t="s">
        <v>182</v>
      </c>
      <c r="T120" t="s">
        <v>187</v>
      </c>
      <c r="U120" s="2" t="s">
        <v>1</v>
      </c>
      <c r="V120" s="2" t="s">
        <v>1401</v>
      </c>
      <c r="W120" s="2" t="s">
        <v>187</v>
      </c>
      <c r="X120" s="2" t="s">
        <v>2</v>
      </c>
      <c r="Y120">
        <f t="shared" si="1"/>
        <v>452</v>
      </c>
      <c r="Z120" s="20">
        <v>46103</v>
      </c>
    </row>
    <row r="121" spans="1:26" ht="180" x14ac:dyDescent="0.25">
      <c r="A121" t="s">
        <v>15</v>
      </c>
      <c r="B121" t="s">
        <v>124</v>
      </c>
      <c r="C121" s="2" t="s">
        <v>1030</v>
      </c>
      <c r="D121" s="2" t="s">
        <v>742</v>
      </c>
      <c r="E121" s="2" t="s">
        <v>140</v>
      </c>
      <c r="F121" s="2" t="s">
        <v>18</v>
      </c>
      <c r="G121" s="2" t="s">
        <v>851</v>
      </c>
      <c r="H121" s="2" t="s">
        <v>194</v>
      </c>
      <c r="I121" s="2" t="s">
        <v>2</v>
      </c>
      <c r="J121" s="2" t="s">
        <v>993</v>
      </c>
      <c r="K121" s="2" t="s">
        <v>194</v>
      </c>
      <c r="L121" s="2" t="s">
        <v>2</v>
      </c>
      <c r="M121" s="2" t="s">
        <v>182</v>
      </c>
      <c r="N121" s="2" t="s">
        <v>194</v>
      </c>
      <c r="O121" s="2" t="s">
        <v>1</v>
      </c>
      <c r="P121" s="2" t="s">
        <v>1971</v>
      </c>
      <c r="Q121" s="2" t="s">
        <v>3</v>
      </c>
      <c r="R121" s="2" t="s">
        <v>2</v>
      </c>
      <c r="S121" s="2" t="s">
        <v>1402</v>
      </c>
      <c r="T121" t="s">
        <v>194</v>
      </c>
      <c r="U121" s="2" t="s">
        <v>1</v>
      </c>
      <c r="V121" s="2" t="s">
        <v>1403</v>
      </c>
      <c r="W121" s="2" t="s">
        <v>194</v>
      </c>
      <c r="X121" s="2" t="s">
        <v>1</v>
      </c>
      <c r="Y121">
        <f t="shared" si="1"/>
        <v>455</v>
      </c>
      <c r="Z121" s="20">
        <v>46103</v>
      </c>
    </row>
    <row r="122" spans="1:26" ht="135" x14ac:dyDescent="0.25">
      <c r="A122" t="s">
        <v>15</v>
      </c>
      <c r="B122" t="s">
        <v>124</v>
      </c>
      <c r="C122" s="2" t="s">
        <v>1030</v>
      </c>
      <c r="D122" s="2" t="s">
        <v>742</v>
      </c>
      <c r="E122" s="2" t="s">
        <v>141</v>
      </c>
      <c r="F122" s="2" t="s">
        <v>21</v>
      </c>
      <c r="G122" s="2" t="s">
        <v>358</v>
      </c>
      <c r="H122" s="2" t="s">
        <v>187</v>
      </c>
      <c r="I122" s="2" t="s">
        <v>1</v>
      </c>
      <c r="J122" s="2" t="s">
        <v>994</v>
      </c>
      <c r="K122" s="2" t="s">
        <v>187</v>
      </c>
      <c r="L122" s="2" t="s">
        <v>1</v>
      </c>
      <c r="M122" s="2" t="s">
        <v>2034</v>
      </c>
      <c r="N122" s="2" t="s">
        <v>187</v>
      </c>
      <c r="O122" s="2" t="s">
        <v>1</v>
      </c>
      <c r="P122" s="2" t="s">
        <v>1972</v>
      </c>
      <c r="Q122" s="2" t="s">
        <v>187</v>
      </c>
      <c r="R122" s="2" t="s">
        <v>1</v>
      </c>
      <c r="S122" s="2" t="s">
        <v>358</v>
      </c>
      <c r="T122" t="s">
        <v>187</v>
      </c>
      <c r="U122" s="2" t="s">
        <v>1</v>
      </c>
      <c r="V122" s="2" t="s">
        <v>1404</v>
      </c>
      <c r="W122" s="2" t="s">
        <v>187</v>
      </c>
      <c r="X122" s="2" t="s">
        <v>1</v>
      </c>
      <c r="Y122">
        <f t="shared" si="1"/>
        <v>465</v>
      </c>
      <c r="Z122" s="20">
        <v>46103</v>
      </c>
    </row>
    <row r="123" spans="1:26" ht="150" x14ac:dyDescent="0.25">
      <c r="A123" t="s">
        <v>15</v>
      </c>
      <c r="B123" t="s">
        <v>124</v>
      </c>
      <c r="C123" s="2" t="s">
        <v>1030</v>
      </c>
      <c r="D123" s="2" t="s">
        <v>742</v>
      </c>
      <c r="E123" s="2" t="s">
        <v>142</v>
      </c>
      <c r="F123" s="2" t="s">
        <v>21</v>
      </c>
      <c r="G123" s="2" t="s">
        <v>383</v>
      </c>
      <c r="H123" s="2" t="s">
        <v>187</v>
      </c>
      <c r="I123" s="2" t="s">
        <v>1</v>
      </c>
      <c r="J123" s="2" t="s">
        <v>995</v>
      </c>
      <c r="K123" s="2" t="s">
        <v>187</v>
      </c>
      <c r="L123" s="2" t="s">
        <v>1</v>
      </c>
      <c r="M123" s="2" t="s">
        <v>383</v>
      </c>
      <c r="N123" s="2" t="s">
        <v>187</v>
      </c>
      <c r="O123" s="2" t="s">
        <v>1</v>
      </c>
      <c r="P123" s="2" t="s">
        <v>358</v>
      </c>
      <c r="Q123" s="2" t="s">
        <v>187</v>
      </c>
      <c r="R123" s="2" t="s">
        <v>1</v>
      </c>
      <c r="S123" s="2" t="s">
        <v>358</v>
      </c>
      <c r="T123" t="s">
        <v>187</v>
      </c>
      <c r="U123" s="2" t="s">
        <v>1</v>
      </c>
      <c r="V123" s="2" t="s">
        <v>1405</v>
      </c>
      <c r="W123" s="2" t="s">
        <v>187</v>
      </c>
      <c r="X123" s="2" t="s">
        <v>1</v>
      </c>
      <c r="Y123">
        <f t="shared" si="1"/>
        <v>469</v>
      </c>
      <c r="Z123" s="20">
        <v>46103</v>
      </c>
    </row>
    <row r="124" spans="1:26" ht="285" x14ac:dyDescent="0.25">
      <c r="A124" t="s">
        <v>15</v>
      </c>
      <c r="B124" t="s">
        <v>124</v>
      </c>
      <c r="C124" s="2" t="s">
        <v>1030</v>
      </c>
      <c r="D124" s="2" t="s">
        <v>742</v>
      </c>
      <c r="E124" s="2" t="s">
        <v>143</v>
      </c>
      <c r="F124" s="2" t="s">
        <v>21</v>
      </c>
      <c r="G124" s="2" t="s">
        <v>358</v>
      </c>
      <c r="H124" s="2" t="s">
        <v>187</v>
      </c>
      <c r="I124" s="2" t="s">
        <v>1</v>
      </c>
      <c r="J124" s="2" t="s">
        <v>996</v>
      </c>
      <c r="K124" s="2" t="s">
        <v>187</v>
      </c>
      <c r="L124" s="2" t="s">
        <v>2</v>
      </c>
      <c r="M124" s="2" t="s">
        <v>1406</v>
      </c>
      <c r="N124" s="2" t="s">
        <v>187</v>
      </c>
      <c r="O124" s="2" t="s">
        <v>1</v>
      </c>
      <c r="P124" s="2" t="s">
        <v>358</v>
      </c>
      <c r="Q124" s="2" t="s">
        <v>187</v>
      </c>
      <c r="R124" s="2" t="s">
        <v>1</v>
      </c>
      <c r="S124" s="2" t="s">
        <v>1406</v>
      </c>
      <c r="T124" t="s">
        <v>187</v>
      </c>
      <c r="U124" s="2" t="s">
        <v>1</v>
      </c>
      <c r="V124" s="2" t="s">
        <v>1407</v>
      </c>
      <c r="W124" s="2" t="s">
        <v>187</v>
      </c>
      <c r="X124" s="2" t="s">
        <v>1</v>
      </c>
      <c r="Y124">
        <f t="shared" si="1"/>
        <v>454</v>
      </c>
      <c r="Z124" s="20">
        <v>46103</v>
      </c>
    </row>
    <row r="125" spans="1:26" ht="135" x14ac:dyDescent="0.25">
      <c r="A125" t="s">
        <v>15</v>
      </c>
      <c r="B125" t="s">
        <v>124</v>
      </c>
      <c r="C125" s="2" t="s">
        <v>1030</v>
      </c>
      <c r="D125" s="2" t="s">
        <v>742</v>
      </c>
      <c r="E125" s="2" t="s">
        <v>144</v>
      </c>
      <c r="F125" s="2" t="s">
        <v>21</v>
      </c>
      <c r="G125" s="2" t="s">
        <v>384</v>
      </c>
      <c r="H125" s="2" t="s">
        <v>187</v>
      </c>
      <c r="I125" s="2" t="s">
        <v>1</v>
      </c>
      <c r="J125" s="2" t="s">
        <v>997</v>
      </c>
      <c r="K125" s="2" t="s">
        <v>187</v>
      </c>
      <c r="L125" s="2" t="s">
        <v>2</v>
      </c>
      <c r="M125" s="2" t="s">
        <v>384</v>
      </c>
      <c r="N125" s="2" t="s">
        <v>187</v>
      </c>
      <c r="O125" s="2" t="s">
        <v>1</v>
      </c>
      <c r="P125" s="2" t="s">
        <v>358</v>
      </c>
      <c r="Q125" s="2" t="s">
        <v>187</v>
      </c>
      <c r="R125" s="2" t="s">
        <v>1</v>
      </c>
      <c r="S125" s="2" t="s">
        <v>358</v>
      </c>
      <c r="T125" t="s">
        <v>187</v>
      </c>
      <c r="U125" s="2" t="s">
        <v>1</v>
      </c>
      <c r="V125" s="2" t="s">
        <v>1408</v>
      </c>
      <c r="W125" s="2" t="s">
        <v>187</v>
      </c>
      <c r="X125" s="2" t="s">
        <v>1</v>
      </c>
      <c r="Y125">
        <f t="shared" si="1"/>
        <v>466</v>
      </c>
      <c r="Z125" s="20">
        <v>46103</v>
      </c>
    </row>
    <row r="126" spans="1:26" ht="150" x14ac:dyDescent="0.25">
      <c r="A126" t="s">
        <v>15</v>
      </c>
      <c r="B126" t="s">
        <v>124</v>
      </c>
      <c r="C126" s="2" t="s">
        <v>1030</v>
      </c>
      <c r="D126" s="2" t="s">
        <v>742</v>
      </c>
      <c r="E126" s="2" t="s">
        <v>145</v>
      </c>
      <c r="F126" s="2" t="s">
        <v>21</v>
      </c>
      <c r="G126" s="2" t="s">
        <v>852</v>
      </c>
      <c r="H126" s="2" t="s">
        <v>187</v>
      </c>
      <c r="I126" s="2" t="s">
        <v>1</v>
      </c>
      <c r="J126" s="2" t="s">
        <v>998</v>
      </c>
      <c r="K126" s="2" t="s">
        <v>187</v>
      </c>
      <c r="L126" s="2" t="s">
        <v>1</v>
      </c>
      <c r="M126" s="2" t="s">
        <v>358</v>
      </c>
      <c r="N126" s="2" t="s">
        <v>187</v>
      </c>
      <c r="O126" s="2" t="s">
        <v>1</v>
      </c>
      <c r="P126" s="2" t="s">
        <v>358</v>
      </c>
      <c r="Q126" s="2" t="s">
        <v>187</v>
      </c>
      <c r="R126" s="2" t="s">
        <v>1</v>
      </c>
      <c r="S126" s="2" t="s">
        <v>1409</v>
      </c>
      <c r="T126" t="s">
        <v>187</v>
      </c>
      <c r="U126" s="2" t="s">
        <v>1</v>
      </c>
      <c r="V126" s="2" t="s">
        <v>1410</v>
      </c>
      <c r="W126" s="2" t="s">
        <v>187</v>
      </c>
      <c r="X126" s="2" t="s">
        <v>2</v>
      </c>
      <c r="Y126">
        <f t="shared" si="1"/>
        <v>466</v>
      </c>
      <c r="Z126" s="20">
        <v>46103</v>
      </c>
    </row>
    <row r="127" spans="1:26" ht="135" x14ac:dyDescent="0.25">
      <c r="A127" t="s">
        <v>15</v>
      </c>
      <c r="B127" t="s">
        <v>124</v>
      </c>
      <c r="C127" s="2" t="s">
        <v>1030</v>
      </c>
      <c r="D127" s="2" t="s">
        <v>742</v>
      </c>
      <c r="E127" s="2" t="s">
        <v>146</v>
      </c>
      <c r="F127" s="2" t="s">
        <v>21</v>
      </c>
      <c r="G127" s="2" t="s">
        <v>853</v>
      </c>
      <c r="H127" s="2" t="s">
        <v>187</v>
      </c>
      <c r="I127" s="2" t="s">
        <v>1</v>
      </c>
      <c r="J127" s="2" t="s">
        <v>999</v>
      </c>
      <c r="K127" s="2" t="s">
        <v>187</v>
      </c>
      <c r="L127" s="2" t="s">
        <v>2</v>
      </c>
      <c r="M127" s="2" t="s">
        <v>1411</v>
      </c>
      <c r="N127" s="2" t="s">
        <v>187</v>
      </c>
      <c r="O127" s="2" t="s">
        <v>1</v>
      </c>
      <c r="P127" s="2" t="s">
        <v>358</v>
      </c>
      <c r="Q127" s="2" t="s">
        <v>187</v>
      </c>
      <c r="R127" s="2" t="s">
        <v>1</v>
      </c>
      <c r="S127" s="2" t="s">
        <v>1411</v>
      </c>
      <c r="T127" t="s">
        <v>187</v>
      </c>
      <c r="U127" s="2" t="s">
        <v>1</v>
      </c>
      <c r="V127" s="2" t="s">
        <v>1412</v>
      </c>
      <c r="W127" s="2" t="s">
        <v>187</v>
      </c>
      <c r="X127" s="2" t="s">
        <v>1</v>
      </c>
      <c r="Y127">
        <f t="shared" si="1"/>
        <v>469</v>
      </c>
      <c r="Z127" s="20">
        <v>46103</v>
      </c>
    </row>
    <row r="128" spans="1:26" ht="150" x14ac:dyDescent="0.25">
      <c r="A128" t="s">
        <v>15</v>
      </c>
      <c r="B128" t="s">
        <v>124</v>
      </c>
      <c r="C128" s="2" t="s">
        <v>1030</v>
      </c>
      <c r="D128" s="2" t="s">
        <v>742</v>
      </c>
      <c r="E128" s="2" t="s">
        <v>147</v>
      </c>
      <c r="F128" s="2" t="s">
        <v>21</v>
      </c>
      <c r="G128" s="2" t="s">
        <v>854</v>
      </c>
      <c r="H128" s="2" t="s">
        <v>187</v>
      </c>
      <c r="I128" s="2" t="s">
        <v>1</v>
      </c>
      <c r="J128" s="2" t="s">
        <v>1000</v>
      </c>
      <c r="K128" s="2" t="s">
        <v>187</v>
      </c>
      <c r="L128" s="2" t="s">
        <v>2</v>
      </c>
      <c r="M128" s="2" t="s">
        <v>1413</v>
      </c>
      <c r="N128" s="2" t="s">
        <v>187</v>
      </c>
      <c r="O128" s="2" t="s">
        <v>1</v>
      </c>
      <c r="P128" s="2" t="s">
        <v>358</v>
      </c>
      <c r="Q128" s="2" t="s">
        <v>187</v>
      </c>
      <c r="R128" s="2" t="s">
        <v>1</v>
      </c>
      <c r="S128" s="2" t="s">
        <v>1413</v>
      </c>
      <c r="T128" t="s">
        <v>187</v>
      </c>
      <c r="U128" s="2" t="s">
        <v>1</v>
      </c>
      <c r="V128" s="2" t="s">
        <v>1414</v>
      </c>
      <c r="W128" s="2" t="s">
        <v>187</v>
      </c>
      <c r="X128" s="2" t="s">
        <v>1</v>
      </c>
      <c r="Y128">
        <f t="shared" si="1"/>
        <v>456</v>
      </c>
      <c r="Z128" s="20">
        <v>46103</v>
      </c>
    </row>
    <row r="129" spans="1:26" ht="210" x14ac:dyDescent="0.25">
      <c r="A129" t="s">
        <v>15</v>
      </c>
      <c r="B129" t="s">
        <v>124</v>
      </c>
      <c r="C129" s="2" t="s">
        <v>1030</v>
      </c>
      <c r="D129" s="2" t="s">
        <v>742</v>
      </c>
      <c r="E129" s="2" t="s">
        <v>148</v>
      </c>
      <c r="F129" s="2" t="s">
        <v>21</v>
      </c>
      <c r="G129" s="2" t="s">
        <v>855</v>
      </c>
      <c r="H129" s="2" t="s">
        <v>187</v>
      </c>
      <c r="I129" s="2" t="s">
        <v>1</v>
      </c>
      <c r="J129" s="2" t="s">
        <v>1001</v>
      </c>
      <c r="K129" s="2" t="s">
        <v>187</v>
      </c>
      <c r="L129" s="2" t="s">
        <v>2</v>
      </c>
      <c r="M129" s="2" t="s">
        <v>855</v>
      </c>
      <c r="N129" s="2" t="s">
        <v>187</v>
      </c>
      <c r="O129" s="2" t="s">
        <v>1</v>
      </c>
      <c r="P129" s="2" t="s">
        <v>358</v>
      </c>
      <c r="Q129" s="2" t="s">
        <v>187</v>
      </c>
      <c r="R129" s="2" t="s">
        <v>1</v>
      </c>
      <c r="S129" s="2" t="s">
        <v>358</v>
      </c>
      <c r="T129" t="s">
        <v>187</v>
      </c>
      <c r="U129" s="2" t="s">
        <v>1</v>
      </c>
      <c r="V129" s="2" t="s">
        <v>1415</v>
      </c>
      <c r="W129" s="2" t="s">
        <v>187</v>
      </c>
      <c r="X129" s="2" t="s">
        <v>1</v>
      </c>
      <c r="Y129">
        <f t="shared" si="1"/>
        <v>465</v>
      </c>
      <c r="Z129" s="20">
        <v>46103</v>
      </c>
    </row>
    <row r="130" spans="1:26" ht="210" x14ac:dyDescent="0.25">
      <c r="A130" t="s">
        <v>15</v>
      </c>
      <c r="B130" t="s">
        <v>124</v>
      </c>
      <c r="C130" s="2" t="s">
        <v>1030</v>
      </c>
      <c r="D130" s="2" t="s">
        <v>742</v>
      </c>
      <c r="E130" s="2" t="s">
        <v>149</v>
      </c>
      <c r="F130" s="2" t="s">
        <v>21</v>
      </c>
      <c r="G130" s="2" t="s">
        <v>856</v>
      </c>
      <c r="H130" s="2" t="s">
        <v>187</v>
      </c>
      <c r="I130" s="2" t="s">
        <v>1</v>
      </c>
      <c r="J130" s="2" t="s">
        <v>1002</v>
      </c>
      <c r="K130" s="2" t="s">
        <v>187</v>
      </c>
      <c r="L130" s="2" t="s">
        <v>2</v>
      </c>
      <c r="M130" s="2" t="s">
        <v>856</v>
      </c>
      <c r="N130" s="2" t="s">
        <v>187</v>
      </c>
      <c r="O130" s="2" t="s">
        <v>1</v>
      </c>
      <c r="P130" s="2" t="s">
        <v>358</v>
      </c>
      <c r="Q130" s="2" t="s">
        <v>187</v>
      </c>
      <c r="R130" s="2" t="s">
        <v>1</v>
      </c>
      <c r="S130" s="2" t="s">
        <v>856</v>
      </c>
      <c r="T130" t="s">
        <v>187</v>
      </c>
      <c r="U130" s="2" t="s">
        <v>1</v>
      </c>
      <c r="V130" s="2" t="s">
        <v>1416</v>
      </c>
      <c r="W130" s="2" t="s">
        <v>187</v>
      </c>
      <c r="X130" s="2" t="s">
        <v>1</v>
      </c>
      <c r="Y130">
        <f t="shared" si="1"/>
        <v>463</v>
      </c>
      <c r="Z130" s="20">
        <v>46103</v>
      </c>
    </row>
    <row r="131" spans="1:26" ht="195" x14ac:dyDescent="0.25">
      <c r="A131" t="s">
        <v>15</v>
      </c>
      <c r="B131" t="s">
        <v>124</v>
      </c>
      <c r="C131" s="2" t="s">
        <v>1030</v>
      </c>
      <c r="D131" s="2" t="s">
        <v>742</v>
      </c>
      <c r="E131" s="2" t="s">
        <v>150</v>
      </c>
      <c r="F131" s="2" t="s">
        <v>21</v>
      </c>
      <c r="G131" s="2" t="s">
        <v>358</v>
      </c>
      <c r="H131" s="2" t="s">
        <v>187</v>
      </c>
      <c r="I131" s="2" t="s">
        <v>1</v>
      </c>
      <c r="J131" s="2" t="s">
        <v>1003</v>
      </c>
      <c r="K131" s="2" t="s">
        <v>187</v>
      </c>
      <c r="L131" s="2" t="s">
        <v>2</v>
      </c>
      <c r="M131" s="2" t="s">
        <v>2035</v>
      </c>
      <c r="N131" s="2" t="s">
        <v>187</v>
      </c>
      <c r="O131" s="2" t="s">
        <v>1</v>
      </c>
      <c r="P131" s="2" t="s">
        <v>1972</v>
      </c>
      <c r="Q131" s="2" t="s">
        <v>187</v>
      </c>
      <c r="R131" s="2" t="s">
        <v>1</v>
      </c>
      <c r="S131" s="2" t="s">
        <v>358</v>
      </c>
      <c r="T131" t="s">
        <v>187</v>
      </c>
      <c r="U131" s="2" t="s">
        <v>1</v>
      </c>
      <c r="V131" s="2" t="s">
        <v>1417</v>
      </c>
      <c r="W131" s="2" t="s">
        <v>187</v>
      </c>
      <c r="X131" s="2" t="s">
        <v>1</v>
      </c>
      <c r="Y131">
        <f t="shared" si="1"/>
        <v>468</v>
      </c>
      <c r="Z131" s="20">
        <v>46103</v>
      </c>
    </row>
    <row r="132" spans="1:26" ht="195" x14ac:dyDescent="0.25">
      <c r="A132" t="s">
        <v>15</v>
      </c>
      <c r="B132" t="s">
        <v>124</v>
      </c>
      <c r="C132" s="2" t="s">
        <v>1030</v>
      </c>
      <c r="D132" s="2" t="s">
        <v>742</v>
      </c>
      <c r="E132" s="2" t="s">
        <v>151</v>
      </c>
      <c r="F132" s="2" t="s">
        <v>21</v>
      </c>
      <c r="G132" s="2" t="s">
        <v>358</v>
      </c>
      <c r="H132" s="2" t="s">
        <v>187</v>
      </c>
      <c r="I132" s="2" t="s">
        <v>1</v>
      </c>
      <c r="J132" s="2" t="s">
        <v>1004</v>
      </c>
      <c r="K132" s="2" t="s">
        <v>187</v>
      </c>
      <c r="L132" s="2" t="s">
        <v>2</v>
      </c>
      <c r="M132" s="2" t="s">
        <v>358</v>
      </c>
      <c r="N132" s="2" t="s">
        <v>187</v>
      </c>
      <c r="O132" s="2" t="s">
        <v>1</v>
      </c>
      <c r="P132" s="2" t="s">
        <v>1973</v>
      </c>
      <c r="Q132" s="2" t="s">
        <v>187</v>
      </c>
      <c r="R132" s="2" t="s">
        <v>2</v>
      </c>
      <c r="S132" s="2" t="s">
        <v>1418</v>
      </c>
      <c r="T132" t="s">
        <v>187</v>
      </c>
      <c r="U132" s="2" t="s">
        <v>1</v>
      </c>
      <c r="V132" s="2" t="s">
        <v>1419</v>
      </c>
      <c r="W132" s="2" t="s">
        <v>187</v>
      </c>
      <c r="X132" s="2" t="s">
        <v>1</v>
      </c>
      <c r="Y132">
        <f t="shared" si="1"/>
        <v>463</v>
      </c>
      <c r="Z132" s="20">
        <v>46103</v>
      </c>
    </row>
    <row r="133" spans="1:26" ht="195" x14ac:dyDescent="0.25">
      <c r="A133" t="s">
        <v>15</v>
      </c>
      <c r="B133" t="s">
        <v>124</v>
      </c>
      <c r="C133" s="2" t="s">
        <v>1030</v>
      </c>
      <c r="D133" s="2" t="s">
        <v>742</v>
      </c>
      <c r="E133" s="2" t="s">
        <v>152</v>
      </c>
      <c r="F133" s="2" t="s">
        <v>21</v>
      </c>
      <c r="G133" s="2" t="s">
        <v>739</v>
      </c>
      <c r="H133" s="2" t="s">
        <v>187</v>
      </c>
      <c r="I133" s="2" t="s">
        <v>1</v>
      </c>
      <c r="J133" s="2" t="s">
        <v>1005</v>
      </c>
      <c r="K133" s="2" t="s">
        <v>187</v>
      </c>
      <c r="L133" s="2" t="s">
        <v>2</v>
      </c>
      <c r="M133" s="2" t="s">
        <v>358</v>
      </c>
      <c r="N133" s="2" t="s">
        <v>187</v>
      </c>
      <c r="O133" s="2" t="s">
        <v>1</v>
      </c>
      <c r="P133" s="2" t="s">
        <v>358</v>
      </c>
      <c r="Q133" s="2" t="s">
        <v>187</v>
      </c>
      <c r="R133" s="2" t="s">
        <v>1</v>
      </c>
      <c r="S133" s="2" t="s">
        <v>21</v>
      </c>
      <c r="T133" t="s">
        <v>187</v>
      </c>
      <c r="U133" s="2" t="s">
        <v>1</v>
      </c>
      <c r="V133" s="2" t="s">
        <v>1420</v>
      </c>
      <c r="W133" s="2" t="s">
        <v>187</v>
      </c>
      <c r="X133" s="2" t="s">
        <v>1</v>
      </c>
      <c r="Y133">
        <f t="shared" si="1"/>
        <v>460</v>
      </c>
      <c r="Z133" s="20">
        <v>46103</v>
      </c>
    </row>
    <row r="134" spans="1:26" ht="150" x14ac:dyDescent="0.25">
      <c r="A134" t="s">
        <v>15</v>
      </c>
      <c r="B134" t="s">
        <v>124</v>
      </c>
      <c r="C134" s="2" t="s">
        <v>1030</v>
      </c>
      <c r="D134" s="2" t="s">
        <v>742</v>
      </c>
      <c r="E134" s="2" t="s">
        <v>153</v>
      </c>
      <c r="F134" s="2" t="s">
        <v>21</v>
      </c>
      <c r="G134" s="2" t="s">
        <v>358</v>
      </c>
      <c r="H134" s="2" t="s">
        <v>187</v>
      </c>
      <c r="I134" s="2" t="s">
        <v>1</v>
      </c>
      <c r="J134" s="2" t="s">
        <v>1006</v>
      </c>
      <c r="K134" s="2" t="s">
        <v>187</v>
      </c>
      <c r="L134" s="2" t="s">
        <v>2</v>
      </c>
      <c r="M134" s="2" t="s">
        <v>358</v>
      </c>
      <c r="N134" s="2" t="s">
        <v>187</v>
      </c>
      <c r="O134" s="2" t="s">
        <v>1</v>
      </c>
      <c r="P134" s="2" t="s">
        <v>358</v>
      </c>
      <c r="Q134" s="2" t="s">
        <v>187</v>
      </c>
      <c r="R134" s="2" t="s">
        <v>1</v>
      </c>
      <c r="S134" s="2" t="s">
        <v>21</v>
      </c>
      <c r="T134" t="s">
        <v>187</v>
      </c>
      <c r="U134" s="2" t="s">
        <v>1</v>
      </c>
      <c r="V134" s="2" t="s">
        <v>1421</v>
      </c>
      <c r="W134" s="2" t="s">
        <v>187</v>
      </c>
      <c r="X134" s="2" t="s">
        <v>1</v>
      </c>
      <c r="Y134">
        <f t="shared" ref="Y134:Y156" si="2">LEN(D134)+LEN(E134)</f>
        <v>458</v>
      </c>
      <c r="Z134" s="20">
        <v>46103</v>
      </c>
    </row>
    <row r="135" spans="1:26" ht="330" x14ac:dyDescent="0.25">
      <c r="A135" t="s">
        <v>15</v>
      </c>
      <c r="B135" t="s">
        <v>124</v>
      </c>
      <c r="C135" s="2" t="s">
        <v>1030</v>
      </c>
      <c r="D135" s="2" t="s">
        <v>742</v>
      </c>
      <c r="E135" s="2" t="s">
        <v>154</v>
      </c>
      <c r="F135" s="2" t="s">
        <v>21</v>
      </c>
      <c r="G135" s="2" t="s">
        <v>385</v>
      </c>
      <c r="H135" s="2" t="s">
        <v>187</v>
      </c>
      <c r="I135" s="2" t="s">
        <v>1</v>
      </c>
      <c r="J135" s="2" t="s">
        <v>1007</v>
      </c>
      <c r="K135" s="2" t="s">
        <v>187</v>
      </c>
      <c r="L135" s="2" t="s">
        <v>2</v>
      </c>
      <c r="M135" s="2" t="s">
        <v>385</v>
      </c>
      <c r="N135" s="2" t="s">
        <v>187</v>
      </c>
      <c r="O135" s="2" t="s">
        <v>1</v>
      </c>
      <c r="P135" s="2" t="s">
        <v>358</v>
      </c>
      <c r="Q135" s="2" t="s">
        <v>187</v>
      </c>
      <c r="R135" s="2" t="s">
        <v>1</v>
      </c>
      <c r="S135" s="2" t="s">
        <v>385</v>
      </c>
      <c r="T135" t="s">
        <v>187</v>
      </c>
      <c r="U135" s="2" t="s">
        <v>1</v>
      </c>
      <c r="V135" s="2" t="s">
        <v>1422</v>
      </c>
      <c r="W135" s="2" t="s">
        <v>187</v>
      </c>
      <c r="X135" s="2" t="s">
        <v>1</v>
      </c>
      <c r="Y135">
        <f t="shared" si="2"/>
        <v>471</v>
      </c>
      <c r="Z135" s="20">
        <v>46103</v>
      </c>
    </row>
    <row r="136" spans="1:26" ht="150" x14ac:dyDescent="0.25">
      <c r="A136" t="s">
        <v>15</v>
      </c>
      <c r="B136" t="s">
        <v>124</v>
      </c>
      <c r="C136" s="2" t="s">
        <v>1030</v>
      </c>
      <c r="D136" s="2" t="s">
        <v>742</v>
      </c>
      <c r="E136" s="2" t="s">
        <v>155</v>
      </c>
      <c r="F136" s="2" t="s">
        <v>21</v>
      </c>
      <c r="G136" s="2" t="s">
        <v>358</v>
      </c>
      <c r="H136" s="2" t="s">
        <v>187</v>
      </c>
      <c r="I136" s="2" t="s">
        <v>1</v>
      </c>
      <c r="J136" s="2" t="s">
        <v>1008</v>
      </c>
      <c r="K136" s="2" t="s">
        <v>187</v>
      </c>
      <c r="L136" s="2" t="s">
        <v>2</v>
      </c>
      <c r="M136" s="2" t="s">
        <v>1423</v>
      </c>
      <c r="N136" s="2" t="s">
        <v>187</v>
      </c>
      <c r="O136" s="2" t="s">
        <v>1</v>
      </c>
      <c r="P136" s="2" t="s">
        <v>358</v>
      </c>
      <c r="Q136" s="2" t="s">
        <v>187</v>
      </c>
      <c r="R136" s="2" t="s">
        <v>1</v>
      </c>
      <c r="S136" s="2" t="s">
        <v>1423</v>
      </c>
      <c r="T136" t="s">
        <v>187</v>
      </c>
      <c r="U136" s="2" t="s">
        <v>1</v>
      </c>
      <c r="V136" s="2" t="s">
        <v>1424</v>
      </c>
      <c r="W136" s="2" t="s">
        <v>187</v>
      </c>
      <c r="X136" s="2" t="s">
        <v>1</v>
      </c>
      <c r="Y136">
        <f t="shared" si="2"/>
        <v>462</v>
      </c>
      <c r="Z136" s="20">
        <v>46103</v>
      </c>
    </row>
    <row r="137" spans="1:26" ht="255" x14ac:dyDescent="0.25">
      <c r="A137" t="s">
        <v>15</v>
      </c>
      <c r="B137" t="s">
        <v>124</v>
      </c>
      <c r="C137" s="2" t="s">
        <v>1030</v>
      </c>
      <c r="D137" s="2" t="s">
        <v>742</v>
      </c>
      <c r="E137" s="2" t="s">
        <v>156</v>
      </c>
      <c r="F137" s="2" t="s">
        <v>18</v>
      </c>
      <c r="G137" s="2" t="s">
        <v>386</v>
      </c>
      <c r="H137" s="2" t="s">
        <v>187</v>
      </c>
      <c r="I137" s="2" t="s">
        <v>1</v>
      </c>
      <c r="J137" s="2" t="s">
        <v>1009</v>
      </c>
      <c r="K137" s="2" t="s">
        <v>187</v>
      </c>
      <c r="L137" s="2" t="s">
        <v>2</v>
      </c>
      <c r="M137" s="2" t="s">
        <v>386</v>
      </c>
      <c r="N137" s="2" t="s">
        <v>187</v>
      </c>
      <c r="O137" s="2" t="s">
        <v>1</v>
      </c>
      <c r="P137" s="2" t="s">
        <v>1974</v>
      </c>
      <c r="Q137" s="2" t="s">
        <v>187</v>
      </c>
      <c r="R137" s="2" t="s">
        <v>2</v>
      </c>
      <c r="S137" s="2" t="s">
        <v>386</v>
      </c>
      <c r="T137" t="s">
        <v>187</v>
      </c>
      <c r="U137" s="2" t="s">
        <v>1</v>
      </c>
      <c r="V137" s="2" t="s">
        <v>1425</v>
      </c>
      <c r="W137" s="2" t="s">
        <v>187</v>
      </c>
      <c r="X137" s="2" t="s">
        <v>2</v>
      </c>
      <c r="Y137">
        <f t="shared" si="2"/>
        <v>466</v>
      </c>
      <c r="Z137" s="20">
        <v>46103</v>
      </c>
    </row>
    <row r="138" spans="1:26" ht="195" x14ac:dyDescent="0.25">
      <c r="A138" t="s">
        <v>15</v>
      </c>
      <c r="B138" t="s">
        <v>124</v>
      </c>
      <c r="C138" s="2" t="s">
        <v>1030</v>
      </c>
      <c r="D138" s="2" t="s">
        <v>742</v>
      </c>
      <c r="E138" s="2" t="s">
        <v>157</v>
      </c>
      <c r="F138" s="2" t="s">
        <v>18</v>
      </c>
      <c r="G138" s="2" t="s">
        <v>387</v>
      </c>
      <c r="H138" s="2" t="s">
        <v>187</v>
      </c>
      <c r="I138" s="2" t="s">
        <v>1</v>
      </c>
      <c r="J138" s="2" t="s">
        <v>1010</v>
      </c>
      <c r="K138" s="2" t="s">
        <v>187</v>
      </c>
      <c r="L138" s="2" t="s">
        <v>2</v>
      </c>
      <c r="M138" s="2" t="s">
        <v>387</v>
      </c>
      <c r="N138" s="2" t="s">
        <v>187</v>
      </c>
      <c r="O138" s="2" t="s">
        <v>1</v>
      </c>
      <c r="P138" s="2" t="s">
        <v>1975</v>
      </c>
      <c r="Q138" s="2" t="s">
        <v>187</v>
      </c>
      <c r="R138" s="2" t="s">
        <v>2</v>
      </c>
      <c r="S138" s="2" t="s">
        <v>387</v>
      </c>
      <c r="T138" t="s">
        <v>187</v>
      </c>
      <c r="U138" s="2" t="s">
        <v>1</v>
      </c>
      <c r="V138" s="2" t="s">
        <v>1426</v>
      </c>
      <c r="W138" s="2" t="s">
        <v>187</v>
      </c>
      <c r="X138" s="2" t="s">
        <v>2</v>
      </c>
      <c r="Y138">
        <f t="shared" si="2"/>
        <v>462</v>
      </c>
      <c r="Z138" s="20">
        <v>46103</v>
      </c>
    </row>
    <row r="139" spans="1:26" ht="255" x14ac:dyDescent="0.25">
      <c r="A139" t="s">
        <v>15</v>
      </c>
      <c r="B139" t="s">
        <v>124</v>
      </c>
      <c r="C139" s="2" t="s">
        <v>1030</v>
      </c>
      <c r="D139" s="2" t="s">
        <v>742</v>
      </c>
      <c r="E139" s="2" t="s">
        <v>158</v>
      </c>
      <c r="F139" s="2" t="s">
        <v>18</v>
      </c>
      <c r="G139" s="2" t="s">
        <v>857</v>
      </c>
      <c r="H139" s="2" t="s">
        <v>187</v>
      </c>
      <c r="I139" s="2" t="s">
        <v>1</v>
      </c>
      <c r="J139" s="2" t="s">
        <v>1011</v>
      </c>
      <c r="K139" s="2" t="s">
        <v>187</v>
      </c>
      <c r="L139" s="2" t="s">
        <v>2</v>
      </c>
      <c r="M139" s="2" t="s">
        <v>1448</v>
      </c>
      <c r="N139" s="2" t="s">
        <v>187</v>
      </c>
      <c r="O139" s="2" t="s">
        <v>1</v>
      </c>
      <c r="P139" s="2" t="s">
        <v>1976</v>
      </c>
      <c r="Q139" s="2" t="s">
        <v>187</v>
      </c>
      <c r="R139" s="2" t="s">
        <v>2</v>
      </c>
      <c r="S139" s="2" t="s">
        <v>1427</v>
      </c>
      <c r="T139" t="s">
        <v>3</v>
      </c>
      <c r="U139" s="2" t="s">
        <v>1</v>
      </c>
      <c r="V139" s="2" t="s">
        <v>1428</v>
      </c>
      <c r="W139" s="2" t="s">
        <v>187</v>
      </c>
      <c r="X139" s="2" t="s">
        <v>2</v>
      </c>
      <c r="Y139">
        <f t="shared" si="2"/>
        <v>461</v>
      </c>
      <c r="Z139" s="20">
        <v>46103</v>
      </c>
    </row>
    <row r="140" spans="1:26" ht="210" x14ac:dyDescent="0.25">
      <c r="A140" t="s">
        <v>15</v>
      </c>
      <c r="B140" t="s">
        <v>124</v>
      </c>
      <c r="C140" s="2" t="s">
        <v>1030</v>
      </c>
      <c r="D140" s="2" t="s">
        <v>742</v>
      </c>
      <c r="E140" s="2" t="s">
        <v>159</v>
      </c>
      <c r="F140" s="2" t="s">
        <v>18</v>
      </c>
      <c r="G140" s="2" t="s">
        <v>388</v>
      </c>
      <c r="H140" s="2" t="s">
        <v>187</v>
      </c>
      <c r="I140" s="2" t="s">
        <v>1</v>
      </c>
      <c r="J140" s="2" t="s">
        <v>1012</v>
      </c>
      <c r="K140" s="2" t="s">
        <v>187</v>
      </c>
      <c r="L140" s="2" t="s">
        <v>2</v>
      </c>
      <c r="M140" s="2" t="s">
        <v>388</v>
      </c>
      <c r="N140" s="2" t="s">
        <v>187</v>
      </c>
      <c r="O140" s="2" t="s">
        <v>1</v>
      </c>
      <c r="P140" s="2" t="s">
        <v>1977</v>
      </c>
      <c r="Q140" s="2" t="s">
        <v>187</v>
      </c>
      <c r="R140" s="2" t="s">
        <v>2</v>
      </c>
      <c r="S140" s="2" t="s">
        <v>388</v>
      </c>
      <c r="T140" t="s">
        <v>187</v>
      </c>
      <c r="U140" s="2" t="s">
        <v>1</v>
      </c>
      <c r="V140" s="2" t="s">
        <v>1429</v>
      </c>
      <c r="W140" s="2" t="s">
        <v>187</v>
      </c>
      <c r="X140" s="2" t="s">
        <v>2</v>
      </c>
      <c r="Y140">
        <f t="shared" si="2"/>
        <v>469</v>
      </c>
      <c r="Z140" s="20">
        <v>46103</v>
      </c>
    </row>
    <row r="141" spans="1:26" ht="210" x14ac:dyDescent="0.25">
      <c r="A141" t="s">
        <v>15</v>
      </c>
      <c r="B141" t="s">
        <v>124</v>
      </c>
      <c r="C141" s="2" t="s">
        <v>1030</v>
      </c>
      <c r="D141" s="2" t="s">
        <v>742</v>
      </c>
      <c r="E141" s="2" t="s">
        <v>160</v>
      </c>
      <c r="F141" s="2" t="s">
        <v>18</v>
      </c>
      <c r="G141" s="2" t="s">
        <v>858</v>
      </c>
      <c r="H141" s="2" t="s">
        <v>187</v>
      </c>
      <c r="I141" s="2" t="s">
        <v>2</v>
      </c>
      <c r="J141" s="2" t="s">
        <v>1013</v>
      </c>
      <c r="K141" s="2" t="s">
        <v>187</v>
      </c>
      <c r="L141" s="2" t="s">
        <v>2</v>
      </c>
      <c r="M141" s="2" t="s">
        <v>1430</v>
      </c>
      <c r="N141" s="2" t="s">
        <v>187</v>
      </c>
      <c r="O141" s="2" t="s">
        <v>1</v>
      </c>
      <c r="P141" s="2" t="s">
        <v>1978</v>
      </c>
      <c r="Q141" s="2" t="s">
        <v>187</v>
      </c>
      <c r="R141" s="2" t="s">
        <v>2</v>
      </c>
      <c r="S141" s="2" t="s">
        <v>1430</v>
      </c>
      <c r="T141" t="s">
        <v>187</v>
      </c>
      <c r="U141" s="2" t="s">
        <v>1</v>
      </c>
      <c r="V141" s="2" t="s">
        <v>1431</v>
      </c>
      <c r="W141" s="2" t="s">
        <v>187</v>
      </c>
      <c r="X141" s="2" t="s">
        <v>2</v>
      </c>
      <c r="Y141">
        <f t="shared" si="2"/>
        <v>465</v>
      </c>
      <c r="Z141" s="20">
        <v>46103</v>
      </c>
    </row>
    <row r="142" spans="1:26" ht="210" x14ac:dyDescent="0.25">
      <c r="A142" t="s">
        <v>15</v>
      </c>
      <c r="B142" t="s">
        <v>124</v>
      </c>
      <c r="C142" s="2" t="s">
        <v>1030</v>
      </c>
      <c r="D142" s="2" t="s">
        <v>742</v>
      </c>
      <c r="E142" s="2" t="s">
        <v>161</v>
      </c>
      <c r="F142" s="2" t="s">
        <v>18</v>
      </c>
      <c r="G142" s="2" t="s">
        <v>859</v>
      </c>
      <c r="H142" s="2" t="s">
        <v>187</v>
      </c>
      <c r="I142" s="2" t="s">
        <v>1</v>
      </c>
      <c r="J142" s="2" t="s">
        <v>1014</v>
      </c>
      <c r="K142" s="2" t="s">
        <v>187</v>
      </c>
      <c r="L142" s="2" t="s">
        <v>2</v>
      </c>
      <c r="M142" s="2" t="s">
        <v>182</v>
      </c>
      <c r="N142" s="2" t="s">
        <v>194</v>
      </c>
      <c r="O142" s="2" t="s">
        <v>1</v>
      </c>
      <c r="P142" s="2" t="s">
        <v>1979</v>
      </c>
      <c r="Q142" s="2" t="s">
        <v>187</v>
      </c>
      <c r="R142" s="2" t="s">
        <v>2</v>
      </c>
      <c r="S142" s="2" t="s">
        <v>1432</v>
      </c>
      <c r="T142" t="s">
        <v>187</v>
      </c>
      <c r="U142" s="2" t="s">
        <v>1</v>
      </c>
      <c r="V142" s="2" t="s">
        <v>1433</v>
      </c>
      <c r="W142" s="2" t="s">
        <v>194</v>
      </c>
      <c r="X142" s="2" t="s">
        <v>2</v>
      </c>
      <c r="Y142">
        <f t="shared" si="2"/>
        <v>461</v>
      </c>
      <c r="Z142" s="20">
        <v>46103</v>
      </c>
    </row>
    <row r="143" spans="1:26" ht="180" x14ac:dyDescent="0.25">
      <c r="A143" t="s">
        <v>15</v>
      </c>
      <c r="B143" t="s">
        <v>124</v>
      </c>
      <c r="C143" s="2" t="s">
        <v>1030</v>
      </c>
      <c r="D143" s="2" t="s">
        <v>742</v>
      </c>
      <c r="E143" s="2" t="s">
        <v>162</v>
      </c>
      <c r="F143" s="2" t="s">
        <v>18</v>
      </c>
      <c r="G143" s="2" t="s">
        <v>860</v>
      </c>
      <c r="H143" s="2" t="s">
        <v>187</v>
      </c>
      <c r="I143" s="2" t="s">
        <v>2</v>
      </c>
      <c r="J143" s="2" t="s">
        <v>1015</v>
      </c>
      <c r="K143" s="2" t="s">
        <v>187</v>
      </c>
      <c r="L143" s="2" t="s">
        <v>2</v>
      </c>
      <c r="M143" s="2" t="s">
        <v>1434</v>
      </c>
      <c r="N143" s="2" t="s">
        <v>187</v>
      </c>
      <c r="O143" s="2" t="s">
        <v>1</v>
      </c>
      <c r="P143" s="2" t="s">
        <v>1980</v>
      </c>
      <c r="Q143" s="2" t="s">
        <v>187</v>
      </c>
      <c r="R143" s="2" t="s">
        <v>2</v>
      </c>
      <c r="S143" s="2" t="s">
        <v>1434</v>
      </c>
      <c r="T143" t="s">
        <v>187</v>
      </c>
      <c r="U143" s="2" t="s">
        <v>1</v>
      </c>
      <c r="V143" s="2" t="s">
        <v>1435</v>
      </c>
      <c r="W143" s="2" t="s">
        <v>187</v>
      </c>
      <c r="X143" s="2" t="s">
        <v>2</v>
      </c>
      <c r="Y143">
        <f t="shared" si="2"/>
        <v>469</v>
      </c>
      <c r="Z143" s="20">
        <v>46103</v>
      </c>
    </row>
    <row r="144" spans="1:26" ht="210" x14ac:dyDescent="0.25">
      <c r="A144" t="s">
        <v>15</v>
      </c>
      <c r="B144" t="s">
        <v>124</v>
      </c>
      <c r="C144" s="2" t="s">
        <v>1030</v>
      </c>
      <c r="D144" s="2" t="s">
        <v>742</v>
      </c>
      <c r="E144" s="2" t="s">
        <v>163</v>
      </c>
      <c r="F144" s="2" t="s">
        <v>18</v>
      </c>
      <c r="G144" s="2" t="s">
        <v>861</v>
      </c>
      <c r="H144" s="2" t="s">
        <v>187</v>
      </c>
      <c r="I144" s="2" t="s">
        <v>2</v>
      </c>
      <c r="J144" s="2" t="s">
        <v>1016</v>
      </c>
      <c r="K144" s="2" t="s">
        <v>187</v>
      </c>
      <c r="L144" s="2" t="s">
        <v>2</v>
      </c>
      <c r="M144" s="2" t="s">
        <v>1436</v>
      </c>
      <c r="N144" s="2" t="s">
        <v>187</v>
      </c>
      <c r="O144" s="2" t="s">
        <v>1</v>
      </c>
      <c r="P144" s="2" t="s">
        <v>1981</v>
      </c>
      <c r="Q144" s="2" t="s">
        <v>187</v>
      </c>
      <c r="R144" s="2" t="s">
        <v>2</v>
      </c>
      <c r="S144" s="2" t="s">
        <v>1436</v>
      </c>
      <c r="T144" t="s">
        <v>187</v>
      </c>
      <c r="U144" s="2" t="s">
        <v>1</v>
      </c>
      <c r="V144" s="2" t="s">
        <v>1437</v>
      </c>
      <c r="W144" s="2" t="s">
        <v>194</v>
      </c>
      <c r="X144" s="2" t="s">
        <v>1</v>
      </c>
      <c r="Y144">
        <f t="shared" si="2"/>
        <v>461</v>
      </c>
      <c r="Z144" s="20">
        <v>46103</v>
      </c>
    </row>
    <row r="145" spans="1:26" ht="225" x14ac:dyDescent="0.25">
      <c r="A145" t="s">
        <v>15</v>
      </c>
      <c r="B145" t="s">
        <v>124</v>
      </c>
      <c r="C145" s="2" t="s">
        <v>1030</v>
      </c>
      <c r="D145" s="2" t="s">
        <v>742</v>
      </c>
      <c r="E145" s="2" t="s">
        <v>164</v>
      </c>
      <c r="F145" s="2" t="s">
        <v>18</v>
      </c>
      <c r="G145" s="2" t="s">
        <v>862</v>
      </c>
      <c r="H145" s="2" t="s">
        <v>187</v>
      </c>
      <c r="I145" s="2" t="s">
        <v>2</v>
      </c>
      <c r="J145" s="2" t="s">
        <v>1017</v>
      </c>
      <c r="K145" s="2" t="s">
        <v>187</v>
      </c>
      <c r="L145" s="2" t="s">
        <v>2</v>
      </c>
      <c r="M145" s="2" t="s">
        <v>1438</v>
      </c>
      <c r="N145" s="2" t="s">
        <v>187</v>
      </c>
      <c r="O145" s="2" t="s">
        <v>1</v>
      </c>
      <c r="P145" s="2" t="s">
        <v>1982</v>
      </c>
      <c r="Q145" s="2" t="s">
        <v>187</v>
      </c>
      <c r="R145" s="2" t="s">
        <v>2</v>
      </c>
      <c r="S145" s="2" t="s">
        <v>1438</v>
      </c>
      <c r="T145" t="s">
        <v>187</v>
      </c>
      <c r="U145" s="2" t="s">
        <v>1</v>
      </c>
      <c r="V145" s="2" t="s">
        <v>1439</v>
      </c>
      <c r="W145" s="2" t="s">
        <v>187</v>
      </c>
      <c r="X145" s="2" t="s">
        <v>2</v>
      </c>
      <c r="Y145">
        <f t="shared" si="2"/>
        <v>462</v>
      </c>
      <c r="Z145" s="20">
        <v>46103</v>
      </c>
    </row>
    <row r="146" spans="1:26" ht="180" x14ac:dyDescent="0.25">
      <c r="A146" t="s">
        <v>15</v>
      </c>
      <c r="B146" t="s">
        <v>124</v>
      </c>
      <c r="C146" s="2" t="s">
        <v>1030</v>
      </c>
      <c r="D146" s="2" t="s">
        <v>742</v>
      </c>
      <c r="E146" s="2" t="s">
        <v>165</v>
      </c>
      <c r="F146" s="2" t="s">
        <v>18</v>
      </c>
      <c r="G146" s="2" t="s">
        <v>863</v>
      </c>
      <c r="H146" s="2" t="s">
        <v>187</v>
      </c>
      <c r="I146" s="2" t="s">
        <v>2</v>
      </c>
      <c r="J146" s="2" t="s">
        <v>1018</v>
      </c>
      <c r="K146" s="2" t="s">
        <v>187</v>
      </c>
      <c r="L146" s="2" t="s">
        <v>2</v>
      </c>
      <c r="M146" s="2" t="s">
        <v>1440</v>
      </c>
      <c r="N146" s="2" t="s">
        <v>187</v>
      </c>
      <c r="O146" s="2" t="s">
        <v>1</v>
      </c>
      <c r="P146" s="2" t="s">
        <v>1448</v>
      </c>
      <c r="Q146" s="2" t="s">
        <v>187</v>
      </c>
      <c r="R146" s="2" t="s">
        <v>1</v>
      </c>
      <c r="S146" s="2" t="s">
        <v>1440</v>
      </c>
      <c r="T146" t="s">
        <v>187</v>
      </c>
      <c r="U146" s="2" t="s">
        <v>1</v>
      </c>
      <c r="V146" s="2" t="s">
        <v>1441</v>
      </c>
      <c r="W146" s="2" t="s">
        <v>187</v>
      </c>
      <c r="X146" s="2" t="s">
        <v>2</v>
      </c>
      <c r="Y146">
        <f t="shared" si="2"/>
        <v>461</v>
      </c>
      <c r="Z146" s="20">
        <v>46103</v>
      </c>
    </row>
    <row r="147" spans="1:26" ht="225" x14ac:dyDescent="0.25">
      <c r="A147" t="s">
        <v>15</v>
      </c>
      <c r="B147" t="s">
        <v>124</v>
      </c>
      <c r="C147" s="2" t="s">
        <v>1030</v>
      </c>
      <c r="D147" s="2" t="s">
        <v>742</v>
      </c>
      <c r="E147" s="2" t="s">
        <v>166</v>
      </c>
      <c r="F147" s="2" t="s">
        <v>18</v>
      </c>
      <c r="G147" s="2" t="s">
        <v>864</v>
      </c>
      <c r="H147" s="2" t="s">
        <v>187</v>
      </c>
      <c r="I147" s="2" t="s">
        <v>1</v>
      </c>
      <c r="J147" s="2" t="s">
        <v>1019</v>
      </c>
      <c r="K147" s="2" t="s">
        <v>187</v>
      </c>
      <c r="L147" s="2" t="s">
        <v>2</v>
      </c>
      <c r="M147" s="2" t="s">
        <v>182</v>
      </c>
      <c r="N147" s="2" t="s">
        <v>194</v>
      </c>
      <c r="O147" s="2" t="s">
        <v>1</v>
      </c>
      <c r="P147" s="2" t="s">
        <v>1983</v>
      </c>
      <c r="Q147" s="2" t="s">
        <v>187</v>
      </c>
      <c r="R147" s="2" t="s">
        <v>2</v>
      </c>
      <c r="S147" s="2" t="s">
        <v>1442</v>
      </c>
      <c r="T147" t="s">
        <v>187</v>
      </c>
      <c r="U147" s="2" t="s">
        <v>1</v>
      </c>
      <c r="V147" s="2" t="s">
        <v>1443</v>
      </c>
      <c r="W147" s="2" t="s">
        <v>187</v>
      </c>
      <c r="X147" s="2" t="s">
        <v>1</v>
      </c>
      <c r="Y147">
        <f t="shared" si="2"/>
        <v>470</v>
      </c>
      <c r="Z147" s="20">
        <v>46103</v>
      </c>
    </row>
    <row r="148" spans="1:26" ht="180" x14ac:dyDescent="0.25">
      <c r="A148" t="s">
        <v>15</v>
      </c>
      <c r="B148" t="s">
        <v>124</v>
      </c>
      <c r="C148" s="2" t="s">
        <v>1030</v>
      </c>
      <c r="D148" s="2" t="s">
        <v>742</v>
      </c>
      <c r="E148" s="2" t="s">
        <v>167</v>
      </c>
      <c r="F148" s="2" t="s">
        <v>18</v>
      </c>
      <c r="G148" s="2" t="s">
        <v>865</v>
      </c>
      <c r="H148" s="2" t="s">
        <v>187</v>
      </c>
      <c r="I148" s="2" t="s">
        <v>2</v>
      </c>
      <c r="J148" s="2" t="s">
        <v>1020</v>
      </c>
      <c r="K148" s="2" t="s">
        <v>187</v>
      </c>
      <c r="L148" s="2" t="s">
        <v>2</v>
      </c>
      <c r="M148" s="2" t="s">
        <v>1444</v>
      </c>
      <c r="N148" s="2" t="s">
        <v>187</v>
      </c>
      <c r="O148" s="2" t="s">
        <v>1</v>
      </c>
      <c r="P148" s="2" t="s">
        <v>1984</v>
      </c>
      <c r="Q148" s="2" t="s">
        <v>187</v>
      </c>
      <c r="R148" s="2" t="s">
        <v>2</v>
      </c>
      <c r="S148" s="2" t="s">
        <v>1444</v>
      </c>
      <c r="T148" t="s">
        <v>187</v>
      </c>
      <c r="U148" s="2" t="s">
        <v>1</v>
      </c>
      <c r="V148" s="2" t="s">
        <v>1445</v>
      </c>
      <c r="W148" s="2" t="s">
        <v>194</v>
      </c>
      <c r="X148" s="2" t="s">
        <v>1</v>
      </c>
      <c r="Y148">
        <f t="shared" si="2"/>
        <v>467</v>
      </c>
      <c r="Z148" s="20">
        <v>46103</v>
      </c>
    </row>
    <row r="149" spans="1:26" ht="270" x14ac:dyDescent="0.25">
      <c r="A149" t="s">
        <v>15</v>
      </c>
      <c r="B149" t="s">
        <v>124</v>
      </c>
      <c r="C149" s="2" t="s">
        <v>1030</v>
      </c>
      <c r="D149" s="2" t="s">
        <v>742</v>
      </c>
      <c r="E149" s="2" t="s">
        <v>168</v>
      </c>
      <c r="F149" s="2" t="s">
        <v>18</v>
      </c>
      <c r="G149" s="2" t="s">
        <v>866</v>
      </c>
      <c r="H149" s="2" t="s">
        <v>194</v>
      </c>
      <c r="I149" s="2" t="s">
        <v>2</v>
      </c>
      <c r="J149" s="2" t="s">
        <v>1021</v>
      </c>
      <c r="K149" s="2" t="s">
        <v>187</v>
      </c>
      <c r="L149" s="2" t="s">
        <v>2</v>
      </c>
      <c r="M149" s="2" t="s">
        <v>1446</v>
      </c>
      <c r="N149" s="2" t="s">
        <v>187</v>
      </c>
      <c r="O149" s="2" t="s">
        <v>1</v>
      </c>
      <c r="P149" s="2" t="s">
        <v>1985</v>
      </c>
      <c r="Q149" s="2" t="s">
        <v>187</v>
      </c>
      <c r="R149" s="2" t="s">
        <v>2</v>
      </c>
      <c r="S149" s="2" t="s">
        <v>1446</v>
      </c>
      <c r="T149" t="s">
        <v>187</v>
      </c>
      <c r="U149" s="2" t="s">
        <v>1</v>
      </c>
      <c r="V149" s="2" t="s">
        <v>1447</v>
      </c>
      <c r="W149" s="2" t="s">
        <v>194</v>
      </c>
      <c r="X149" s="2" t="s">
        <v>1</v>
      </c>
      <c r="Y149">
        <f t="shared" si="2"/>
        <v>466</v>
      </c>
      <c r="Z149" s="20">
        <v>46103</v>
      </c>
    </row>
    <row r="150" spans="1:26" ht="315" x14ac:dyDescent="0.25">
      <c r="A150" t="s">
        <v>15</v>
      </c>
      <c r="B150" t="s">
        <v>124</v>
      </c>
      <c r="C150" s="2" t="s">
        <v>1030</v>
      </c>
      <c r="D150" s="2" t="s">
        <v>742</v>
      </c>
      <c r="E150" s="2" t="s">
        <v>169</v>
      </c>
      <c r="F150" s="2" t="s">
        <v>18</v>
      </c>
      <c r="G150" s="2" t="s">
        <v>867</v>
      </c>
      <c r="H150" s="2" t="s">
        <v>187</v>
      </c>
      <c r="I150" s="2" t="s">
        <v>2</v>
      </c>
      <c r="J150" s="2" t="s">
        <v>1022</v>
      </c>
      <c r="K150" s="2" t="s">
        <v>187</v>
      </c>
      <c r="L150" s="2" t="s">
        <v>2</v>
      </c>
      <c r="M150" s="2" t="s">
        <v>2036</v>
      </c>
      <c r="N150" s="2" t="s">
        <v>187</v>
      </c>
      <c r="O150" s="2" t="s">
        <v>1</v>
      </c>
      <c r="P150" s="2" t="s">
        <v>1986</v>
      </c>
      <c r="Q150" s="2" t="s">
        <v>187</v>
      </c>
      <c r="R150" s="2" t="s">
        <v>2</v>
      </c>
      <c r="S150" s="2" t="s">
        <v>1448</v>
      </c>
      <c r="T150" t="s">
        <v>187</v>
      </c>
      <c r="U150" s="2" t="s">
        <v>1</v>
      </c>
      <c r="V150" s="2" t="s">
        <v>1449</v>
      </c>
      <c r="W150" s="2" t="s">
        <v>187</v>
      </c>
      <c r="X150" s="2" t="s">
        <v>2</v>
      </c>
      <c r="Y150">
        <f t="shared" si="2"/>
        <v>463</v>
      </c>
      <c r="Z150" s="20">
        <v>46103</v>
      </c>
    </row>
    <row r="151" spans="1:26" ht="180" x14ac:dyDescent="0.25">
      <c r="A151" t="s">
        <v>15</v>
      </c>
      <c r="B151" t="s">
        <v>124</v>
      </c>
      <c r="C151" s="2" t="s">
        <v>1030</v>
      </c>
      <c r="D151" s="2" t="s">
        <v>742</v>
      </c>
      <c r="E151" s="2" t="s">
        <v>170</v>
      </c>
      <c r="F151" s="2" t="s">
        <v>18</v>
      </c>
      <c r="G151" s="2" t="s">
        <v>868</v>
      </c>
      <c r="H151" s="2" t="s">
        <v>187</v>
      </c>
      <c r="I151" s="2" t="s">
        <v>1</v>
      </c>
      <c r="J151" s="2" t="s">
        <v>1023</v>
      </c>
      <c r="K151" s="2" t="s">
        <v>194</v>
      </c>
      <c r="L151" s="2" t="s">
        <v>2</v>
      </c>
      <c r="M151" s="2" t="s">
        <v>2037</v>
      </c>
      <c r="N151" s="2" t="s">
        <v>194</v>
      </c>
      <c r="O151" s="2" t="s">
        <v>1</v>
      </c>
      <c r="P151" s="2" t="s">
        <v>1987</v>
      </c>
      <c r="Q151" s="2" t="s">
        <v>187</v>
      </c>
      <c r="R151" s="2" t="s">
        <v>2</v>
      </c>
      <c r="S151" s="2" t="s">
        <v>182</v>
      </c>
      <c r="T151" t="s">
        <v>187</v>
      </c>
      <c r="U151" s="2" t="s">
        <v>1</v>
      </c>
      <c r="V151" s="2" t="s">
        <v>1450</v>
      </c>
      <c r="W151" s="2" t="s">
        <v>194</v>
      </c>
      <c r="X151" s="2" t="s">
        <v>1</v>
      </c>
      <c r="Y151">
        <f t="shared" si="2"/>
        <v>465</v>
      </c>
      <c r="Z151" s="20">
        <v>46103</v>
      </c>
    </row>
    <row r="152" spans="1:26" ht="300" x14ac:dyDescent="0.25">
      <c r="A152" t="s">
        <v>15</v>
      </c>
      <c r="B152" t="s">
        <v>124</v>
      </c>
      <c r="C152" s="2" t="s">
        <v>1030</v>
      </c>
      <c r="D152" s="2" t="s">
        <v>742</v>
      </c>
      <c r="E152" s="2" t="s">
        <v>171</v>
      </c>
      <c r="F152" s="2" t="s">
        <v>18</v>
      </c>
      <c r="G152" s="2" t="s">
        <v>869</v>
      </c>
      <c r="H152" s="2" t="s">
        <v>187</v>
      </c>
      <c r="I152" s="2" t="s">
        <v>1</v>
      </c>
      <c r="J152" s="2" t="s">
        <v>1024</v>
      </c>
      <c r="K152" s="2" t="s">
        <v>187</v>
      </c>
      <c r="L152" s="2" t="s">
        <v>1</v>
      </c>
      <c r="M152" s="2" t="s">
        <v>358</v>
      </c>
      <c r="N152" s="2" t="s">
        <v>194</v>
      </c>
      <c r="O152" s="2" t="s">
        <v>1</v>
      </c>
      <c r="P152" s="2" t="s">
        <v>1988</v>
      </c>
      <c r="Q152" s="2" t="s">
        <v>187</v>
      </c>
      <c r="R152" s="2" t="s">
        <v>2</v>
      </c>
      <c r="S152" s="2" t="s">
        <v>1451</v>
      </c>
      <c r="T152" t="s">
        <v>187</v>
      </c>
      <c r="U152" s="2" t="s">
        <v>1</v>
      </c>
      <c r="V152" s="2" t="s">
        <v>1452</v>
      </c>
      <c r="W152" s="2" t="s">
        <v>3</v>
      </c>
      <c r="X152" s="2" t="s">
        <v>2</v>
      </c>
      <c r="Y152">
        <f t="shared" si="2"/>
        <v>494</v>
      </c>
      <c r="Z152" s="20">
        <v>46103</v>
      </c>
    </row>
    <row r="153" spans="1:26" ht="225" x14ac:dyDescent="0.25">
      <c r="A153" t="s">
        <v>15</v>
      </c>
      <c r="B153" t="s">
        <v>124</v>
      </c>
      <c r="C153" s="2" t="s">
        <v>1030</v>
      </c>
      <c r="D153" s="2" t="s">
        <v>742</v>
      </c>
      <c r="E153" s="2" t="s">
        <v>172</v>
      </c>
      <c r="F153" s="2" t="s">
        <v>18</v>
      </c>
      <c r="G153" s="2" t="s">
        <v>870</v>
      </c>
      <c r="H153" s="2" t="s">
        <v>187</v>
      </c>
      <c r="I153" s="2" t="s">
        <v>1</v>
      </c>
      <c r="J153" s="2" t="s">
        <v>1025</v>
      </c>
      <c r="K153" s="2" t="s">
        <v>187</v>
      </c>
      <c r="L153" s="2" t="s">
        <v>2</v>
      </c>
      <c r="M153" s="2" t="s">
        <v>1453</v>
      </c>
      <c r="N153" s="2" t="s">
        <v>187</v>
      </c>
      <c r="O153" s="2" t="s">
        <v>1</v>
      </c>
      <c r="P153" s="2" t="s">
        <v>1989</v>
      </c>
      <c r="Q153" s="2" t="s">
        <v>187</v>
      </c>
      <c r="R153" s="2" t="s">
        <v>2</v>
      </c>
      <c r="S153" s="2" t="s">
        <v>1453</v>
      </c>
      <c r="T153" t="s">
        <v>187</v>
      </c>
      <c r="U153" s="2" t="s">
        <v>1</v>
      </c>
      <c r="V153" s="2" t="s">
        <v>1454</v>
      </c>
      <c r="W153" s="2" t="s">
        <v>187</v>
      </c>
      <c r="X153" s="2" t="s">
        <v>2</v>
      </c>
      <c r="Y153">
        <f t="shared" si="2"/>
        <v>482</v>
      </c>
      <c r="Z153" s="20">
        <v>46103</v>
      </c>
    </row>
    <row r="154" spans="1:26" ht="409.5" x14ac:dyDescent="0.25">
      <c r="A154" t="s">
        <v>15</v>
      </c>
      <c r="B154" t="s">
        <v>124</v>
      </c>
      <c r="C154" s="2" t="s">
        <v>1030</v>
      </c>
      <c r="D154" s="2" t="s">
        <v>742</v>
      </c>
      <c r="E154" s="2" t="s">
        <v>173</v>
      </c>
      <c r="F154" s="2" t="s">
        <v>18</v>
      </c>
      <c r="G154" s="2" t="s">
        <v>871</v>
      </c>
      <c r="H154" s="2" t="s">
        <v>187</v>
      </c>
      <c r="I154" s="2" t="s">
        <v>1</v>
      </c>
      <c r="J154" s="2" t="s">
        <v>1026</v>
      </c>
      <c r="K154" s="2" t="s">
        <v>187</v>
      </c>
      <c r="L154" s="2" t="s">
        <v>2</v>
      </c>
      <c r="M154" s="2" t="s">
        <v>1455</v>
      </c>
      <c r="N154" s="2" t="s">
        <v>187</v>
      </c>
      <c r="O154" s="2" t="s">
        <v>1</v>
      </c>
      <c r="P154" s="2" t="s">
        <v>1990</v>
      </c>
      <c r="Q154" s="2" t="s">
        <v>187</v>
      </c>
      <c r="R154" s="2" t="s">
        <v>2</v>
      </c>
      <c r="S154" s="2" t="s">
        <v>1455</v>
      </c>
      <c r="T154" t="s">
        <v>187</v>
      </c>
      <c r="U154" s="2" t="s">
        <v>1</v>
      </c>
      <c r="V154" s="2" t="s">
        <v>1456</v>
      </c>
      <c r="W154" s="2" t="s">
        <v>3</v>
      </c>
      <c r="X154" s="2" t="s">
        <v>2</v>
      </c>
      <c r="Y154">
        <f t="shared" si="2"/>
        <v>493</v>
      </c>
      <c r="Z154" s="20">
        <v>46103</v>
      </c>
    </row>
    <row r="155" spans="1:26" ht="300" x14ac:dyDescent="0.25">
      <c r="A155" t="s">
        <v>15</v>
      </c>
      <c r="B155" t="s">
        <v>124</v>
      </c>
      <c r="C155" s="2" t="s">
        <v>1030</v>
      </c>
      <c r="D155" s="2" t="s">
        <v>742</v>
      </c>
      <c r="E155" s="2" t="s">
        <v>174</v>
      </c>
      <c r="F155" s="2" t="s">
        <v>21</v>
      </c>
      <c r="G155" s="2" t="s">
        <v>872</v>
      </c>
      <c r="H155" s="2" t="s">
        <v>194</v>
      </c>
      <c r="I155" s="2" t="s">
        <v>1</v>
      </c>
      <c r="J155" s="2" t="s">
        <v>1027</v>
      </c>
      <c r="K155" s="2" t="s">
        <v>187</v>
      </c>
      <c r="L155" s="2" t="s">
        <v>2</v>
      </c>
      <c r="M155" s="2" t="s">
        <v>1457</v>
      </c>
      <c r="N155" s="2" t="s">
        <v>194</v>
      </c>
      <c r="O155" s="2" t="s">
        <v>1</v>
      </c>
      <c r="P155" s="2" t="s">
        <v>1991</v>
      </c>
      <c r="Q155" s="2" t="s">
        <v>194</v>
      </c>
      <c r="R155" s="2" t="s">
        <v>2</v>
      </c>
      <c r="S155" s="2" t="s">
        <v>1457</v>
      </c>
      <c r="T155" t="s">
        <v>194</v>
      </c>
      <c r="U155" s="2" t="s">
        <v>1</v>
      </c>
      <c r="V155" s="2" t="s">
        <v>1458</v>
      </c>
      <c r="W155" s="2" t="s">
        <v>3</v>
      </c>
      <c r="X155" s="2" t="s">
        <v>2</v>
      </c>
      <c r="Y155">
        <f t="shared" si="2"/>
        <v>523</v>
      </c>
      <c r="Z155" s="20">
        <v>46103</v>
      </c>
    </row>
    <row r="156" spans="1:26" ht="409.5" x14ac:dyDescent="0.25">
      <c r="A156" t="s">
        <v>15</v>
      </c>
      <c r="B156" t="s">
        <v>124</v>
      </c>
      <c r="C156" s="2" t="s">
        <v>1030</v>
      </c>
      <c r="D156" s="2" t="s">
        <v>742</v>
      </c>
      <c r="E156" s="2" t="s">
        <v>175</v>
      </c>
      <c r="F156" s="2" t="s">
        <v>18</v>
      </c>
      <c r="G156" s="2" t="s">
        <v>873</v>
      </c>
      <c r="H156" s="2" t="s">
        <v>187</v>
      </c>
      <c r="I156" s="2" t="s">
        <v>1</v>
      </c>
      <c r="J156" s="2" t="s">
        <v>1028</v>
      </c>
      <c r="K156" s="2" t="s">
        <v>187</v>
      </c>
      <c r="L156" s="2" t="s">
        <v>2</v>
      </c>
      <c r="M156" s="2" t="s">
        <v>2038</v>
      </c>
      <c r="N156" s="2" t="s">
        <v>194</v>
      </c>
      <c r="O156" s="2" t="s">
        <v>1</v>
      </c>
      <c r="P156" s="2" t="s">
        <v>1992</v>
      </c>
      <c r="Q156" s="2" t="s">
        <v>187</v>
      </c>
      <c r="R156" s="2" t="s">
        <v>2</v>
      </c>
      <c r="S156" s="2" t="s">
        <v>1459</v>
      </c>
      <c r="T156" t="s">
        <v>187</v>
      </c>
      <c r="U156" s="2" t="s">
        <v>1</v>
      </c>
      <c r="V156" s="2" t="s">
        <v>1460</v>
      </c>
      <c r="W156" s="2" t="s">
        <v>187</v>
      </c>
      <c r="X156" s="2" t="s">
        <v>2</v>
      </c>
      <c r="Y156">
        <f t="shared" si="2"/>
        <v>498</v>
      </c>
      <c r="Z156" s="20">
        <v>46103</v>
      </c>
    </row>
  </sheetData>
  <autoFilter ref="A1:AA158"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C649E-8558-4B9B-96BE-8C7D0D92A86A}">
  <sheetPr filterMode="1"/>
  <dimension ref="A1:Y146"/>
  <sheetViews>
    <sheetView topLeftCell="O1" workbookViewId="0">
      <selection activeCell="T60" sqref="T60"/>
    </sheetView>
  </sheetViews>
  <sheetFormatPr defaultRowHeight="15" x14ac:dyDescent="0.25"/>
  <cols>
    <col min="1" max="1" width="10.7109375" bestFit="1" customWidth="1"/>
    <col min="2" max="2" width="9.28515625" bestFit="1" customWidth="1"/>
    <col min="3" max="3" width="25.85546875" customWidth="1"/>
    <col min="4" max="4" width="59.140625" customWidth="1"/>
    <col min="5" max="5" width="31.7109375" customWidth="1"/>
    <col min="6" max="6" width="20.85546875" customWidth="1"/>
    <col min="7" max="7" width="76.85546875" style="2" customWidth="1"/>
    <col min="8" max="8" width="22" customWidth="1"/>
    <col min="9" max="9" width="18.28515625" customWidth="1"/>
    <col min="10" max="10" width="77.28515625" style="2" customWidth="1"/>
    <col min="11" max="11" width="33.85546875" customWidth="1"/>
    <col min="12" max="12" width="23" customWidth="1"/>
    <col min="13" max="13" width="41.28515625" style="2" customWidth="1"/>
    <col min="14" max="15" width="23" customWidth="1"/>
    <col min="16" max="16" width="68.28515625" style="2" customWidth="1"/>
    <col min="17" max="18" width="23" customWidth="1"/>
    <col min="19" max="19" width="67.140625" style="2" customWidth="1"/>
    <col min="20" max="21" width="23" customWidth="1"/>
    <col min="22" max="22" width="71.140625" style="2" customWidth="1"/>
    <col min="23" max="24" width="23" customWidth="1"/>
    <col min="25" max="25" width="19.28515625" customWidth="1"/>
  </cols>
  <sheetData>
    <row r="1" spans="1:25" ht="30" x14ac:dyDescent="0.25">
      <c r="A1" s="5" t="s">
        <v>4</v>
      </c>
      <c r="B1" s="5" t="s">
        <v>0</v>
      </c>
      <c r="C1" s="5" t="s">
        <v>1718</v>
      </c>
      <c r="D1" s="3" t="s">
        <v>8</v>
      </c>
      <c r="E1" s="3" t="s">
        <v>9</v>
      </c>
      <c r="F1" s="1" t="s">
        <v>10</v>
      </c>
      <c r="G1" s="4" t="s">
        <v>379</v>
      </c>
      <c r="H1" s="4" t="s">
        <v>380</v>
      </c>
      <c r="I1" s="4" t="s">
        <v>11</v>
      </c>
      <c r="J1" s="4" t="s">
        <v>12</v>
      </c>
      <c r="K1" s="4" t="s">
        <v>13</v>
      </c>
      <c r="L1" s="4" t="s">
        <v>14</v>
      </c>
      <c r="M1" s="4" t="s">
        <v>1069</v>
      </c>
      <c r="N1" s="4" t="s">
        <v>1070</v>
      </c>
      <c r="O1" s="4" t="s">
        <v>1071</v>
      </c>
      <c r="P1" s="24" t="s">
        <v>1035</v>
      </c>
      <c r="Q1" s="4" t="s">
        <v>1066</v>
      </c>
      <c r="R1" s="4" t="s">
        <v>1049</v>
      </c>
      <c r="S1" s="4" t="s">
        <v>1052</v>
      </c>
      <c r="T1" s="4" t="s">
        <v>1053</v>
      </c>
      <c r="U1" s="4" t="s">
        <v>1054</v>
      </c>
      <c r="V1" s="4" t="s">
        <v>1048</v>
      </c>
      <c r="W1" s="4" t="s">
        <v>1050</v>
      </c>
      <c r="X1" s="4" t="s">
        <v>1051</v>
      </c>
      <c r="Y1" s="4" t="s">
        <v>1051</v>
      </c>
    </row>
    <row r="2" spans="1:25" ht="409.5" hidden="1" x14ac:dyDescent="0.25">
      <c r="A2" t="s">
        <v>183</v>
      </c>
      <c r="B2" t="s">
        <v>184</v>
      </c>
      <c r="C2" s="2" t="s">
        <v>445</v>
      </c>
      <c r="D2" s="2" t="s">
        <v>444</v>
      </c>
      <c r="E2" s="2" t="s">
        <v>185</v>
      </c>
      <c r="F2" s="2" t="s">
        <v>186</v>
      </c>
      <c r="G2" s="2" t="s">
        <v>446</v>
      </c>
      <c r="H2" s="2" t="s">
        <v>187</v>
      </c>
      <c r="I2" s="2" t="s">
        <v>2</v>
      </c>
      <c r="J2" s="2" t="s">
        <v>590</v>
      </c>
      <c r="K2" s="2" t="s">
        <v>187</v>
      </c>
      <c r="L2" s="2" t="s">
        <v>2</v>
      </c>
      <c r="M2" s="2" t="s">
        <v>2039</v>
      </c>
      <c r="N2" s="2" t="s">
        <v>187</v>
      </c>
      <c r="O2" s="2" t="s">
        <v>1</v>
      </c>
      <c r="P2" s="2" t="s">
        <v>1719</v>
      </c>
      <c r="Q2" s="2" t="s">
        <v>187</v>
      </c>
      <c r="R2" s="2" t="s">
        <v>1</v>
      </c>
      <c r="S2" s="2" t="s">
        <v>1461</v>
      </c>
      <c r="T2" t="s">
        <v>3</v>
      </c>
      <c r="U2" s="2" t="s">
        <v>1</v>
      </c>
      <c r="V2" s="2" t="s">
        <v>1462</v>
      </c>
      <c r="W2" s="2" t="s">
        <v>187</v>
      </c>
      <c r="X2" s="2" t="s">
        <v>2</v>
      </c>
      <c r="Y2">
        <f>LEN(D2)+LEN(E2)</f>
        <v>635</v>
      </c>
    </row>
    <row r="3" spans="1:25" ht="409.5" hidden="1" x14ac:dyDescent="0.25">
      <c r="A3" t="s">
        <v>183</v>
      </c>
      <c r="B3" t="s">
        <v>184</v>
      </c>
      <c r="C3" s="2" t="s">
        <v>445</v>
      </c>
      <c r="D3" s="2" t="s">
        <v>444</v>
      </c>
      <c r="E3" s="2" t="s">
        <v>188</v>
      </c>
      <c r="F3" s="2" t="s">
        <v>186</v>
      </c>
      <c r="G3" s="2" t="s">
        <v>447</v>
      </c>
      <c r="H3" s="2" t="s">
        <v>187</v>
      </c>
      <c r="I3" s="2" t="s">
        <v>2</v>
      </c>
      <c r="J3" s="2" t="s">
        <v>591</v>
      </c>
      <c r="K3" s="2" t="s">
        <v>187</v>
      </c>
      <c r="L3" s="2" t="s">
        <v>2</v>
      </c>
      <c r="M3" s="2" t="s">
        <v>2040</v>
      </c>
      <c r="N3" s="2" t="s">
        <v>194</v>
      </c>
      <c r="O3" s="2" t="s">
        <v>1</v>
      </c>
      <c r="P3" s="2" t="s">
        <v>1720</v>
      </c>
      <c r="Q3" s="2" t="s">
        <v>194</v>
      </c>
      <c r="R3" s="2" t="s">
        <v>2</v>
      </c>
      <c r="S3" s="2" t="s">
        <v>1463</v>
      </c>
      <c r="T3" t="s">
        <v>194</v>
      </c>
      <c r="U3" s="2" t="s">
        <v>2</v>
      </c>
      <c r="V3" s="2" t="s">
        <v>1464</v>
      </c>
      <c r="W3" s="2" t="s">
        <v>187</v>
      </c>
      <c r="X3" s="2" t="s">
        <v>2</v>
      </c>
      <c r="Y3">
        <f t="shared" ref="Y3:Y66" si="0">LEN(D3)+LEN(E3)</f>
        <v>634</v>
      </c>
    </row>
    <row r="4" spans="1:25" ht="409.5" hidden="1" x14ac:dyDescent="0.25">
      <c r="A4" t="s">
        <v>183</v>
      </c>
      <c r="B4" t="s">
        <v>184</v>
      </c>
      <c r="C4" s="2" t="s">
        <v>445</v>
      </c>
      <c r="D4" s="2" t="s">
        <v>444</v>
      </c>
      <c r="E4" s="2" t="s">
        <v>189</v>
      </c>
      <c r="F4" s="2" t="s">
        <v>186</v>
      </c>
      <c r="G4" s="2" t="s">
        <v>448</v>
      </c>
      <c r="H4" s="2" t="s">
        <v>187</v>
      </c>
      <c r="I4" s="2" t="s">
        <v>2</v>
      </c>
      <c r="J4" s="2" t="s">
        <v>592</v>
      </c>
      <c r="K4" s="2" t="s">
        <v>187</v>
      </c>
      <c r="L4" s="2" t="s">
        <v>2</v>
      </c>
      <c r="M4" s="2" t="s">
        <v>2041</v>
      </c>
      <c r="N4" s="2" t="s">
        <v>187</v>
      </c>
      <c r="O4" s="2" t="s">
        <v>1</v>
      </c>
      <c r="P4" s="2" t="s">
        <v>1721</v>
      </c>
      <c r="Q4" s="2" t="s">
        <v>187</v>
      </c>
      <c r="R4" s="2" t="s">
        <v>2</v>
      </c>
      <c r="S4" s="2" t="s">
        <v>1465</v>
      </c>
      <c r="T4" t="s">
        <v>187</v>
      </c>
      <c r="U4" s="2" t="s">
        <v>1</v>
      </c>
      <c r="V4" s="2" t="s">
        <v>1466</v>
      </c>
      <c r="W4" s="2" t="s">
        <v>187</v>
      </c>
      <c r="X4" s="2" t="s">
        <v>2</v>
      </c>
      <c r="Y4">
        <f t="shared" si="0"/>
        <v>628</v>
      </c>
    </row>
    <row r="5" spans="1:25" ht="409.5" hidden="1" x14ac:dyDescent="0.25">
      <c r="A5" t="s">
        <v>183</v>
      </c>
      <c r="B5" t="s">
        <v>184</v>
      </c>
      <c r="C5" s="2" t="s">
        <v>445</v>
      </c>
      <c r="D5" s="2" t="s">
        <v>444</v>
      </c>
      <c r="E5" s="2" t="s">
        <v>190</v>
      </c>
      <c r="F5" s="2" t="s">
        <v>186</v>
      </c>
      <c r="G5" s="2" t="s">
        <v>449</v>
      </c>
      <c r="H5" s="2" t="s">
        <v>187</v>
      </c>
      <c r="I5" s="2" t="s">
        <v>2</v>
      </c>
      <c r="J5" s="2" t="s">
        <v>593</v>
      </c>
      <c r="K5" s="2" t="s">
        <v>187</v>
      </c>
      <c r="L5" s="2" t="s">
        <v>2</v>
      </c>
      <c r="M5" s="2" t="s">
        <v>2042</v>
      </c>
      <c r="N5" s="2" t="s">
        <v>187</v>
      </c>
      <c r="O5" s="2" t="s">
        <v>1</v>
      </c>
      <c r="P5" s="2" t="s">
        <v>1722</v>
      </c>
      <c r="Q5" s="2" t="s">
        <v>187</v>
      </c>
      <c r="R5" s="2" t="s">
        <v>1</v>
      </c>
      <c r="S5" s="2" t="s">
        <v>1467</v>
      </c>
      <c r="T5" t="s">
        <v>3</v>
      </c>
      <c r="U5" s="2" t="s">
        <v>1</v>
      </c>
      <c r="V5" s="2" t="s">
        <v>1468</v>
      </c>
      <c r="W5" s="2" t="s">
        <v>187</v>
      </c>
      <c r="X5" s="2" t="s">
        <v>2</v>
      </c>
      <c r="Y5">
        <f t="shared" si="0"/>
        <v>614</v>
      </c>
    </row>
    <row r="6" spans="1:25" ht="409.5" hidden="1" x14ac:dyDescent="0.25">
      <c r="A6" t="s">
        <v>183</v>
      </c>
      <c r="B6" t="s">
        <v>184</v>
      </c>
      <c r="C6" s="2" t="s">
        <v>445</v>
      </c>
      <c r="D6" s="2" t="s">
        <v>444</v>
      </c>
      <c r="E6" s="2" t="s">
        <v>191</v>
      </c>
      <c r="F6" s="2" t="s">
        <v>186</v>
      </c>
      <c r="G6" s="2" t="s">
        <v>450</v>
      </c>
      <c r="H6" s="2" t="s">
        <v>187</v>
      </c>
      <c r="I6" s="2" t="s">
        <v>2</v>
      </c>
      <c r="J6" s="2" t="s">
        <v>594</v>
      </c>
      <c r="K6" s="2" t="s">
        <v>187</v>
      </c>
      <c r="L6" s="2" t="s">
        <v>2</v>
      </c>
      <c r="M6" s="2" t="s">
        <v>2043</v>
      </c>
      <c r="N6" s="2" t="s">
        <v>187</v>
      </c>
      <c r="O6" s="2" t="s">
        <v>1</v>
      </c>
      <c r="P6" s="2" t="s">
        <v>1723</v>
      </c>
      <c r="Q6" s="2" t="s">
        <v>187</v>
      </c>
      <c r="R6" s="2" t="s">
        <v>2</v>
      </c>
      <c r="S6" s="2" t="s">
        <v>2179</v>
      </c>
      <c r="T6" t="s">
        <v>187</v>
      </c>
      <c r="U6" s="2" t="s">
        <v>1</v>
      </c>
      <c r="V6" s="2" t="s">
        <v>1469</v>
      </c>
      <c r="W6" s="2" t="s">
        <v>187</v>
      </c>
      <c r="X6" s="2" t="s">
        <v>2</v>
      </c>
      <c r="Y6">
        <f t="shared" si="0"/>
        <v>633</v>
      </c>
    </row>
    <row r="7" spans="1:25" ht="409.5" hidden="1" x14ac:dyDescent="0.25">
      <c r="A7" t="s">
        <v>183</v>
      </c>
      <c r="B7" t="s">
        <v>184</v>
      </c>
      <c r="C7" s="2" t="s">
        <v>445</v>
      </c>
      <c r="D7" s="2" t="s">
        <v>444</v>
      </c>
      <c r="E7" s="2" t="s">
        <v>192</v>
      </c>
      <c r="F7" s="2" t="s">
        <v>193</v>
      </c>
      <c r="G7" s="2" t="s">
        <v>451</v>
      </c>
      <c r="H7" s="2" t="s">
        <v>187</v>
      </c>
      <c r="I7" s="2" t="s">
        <v>2</v>
      </c>
      <c r="J7" s="2" t="s">
        <v>595</v>
      </c>
      <c r="K7" s="2" t="s">
        <v>187</v>
      </c>
      <c r="L7" s="2" t="s">
        <v>2</v>
      </c>
      <c r="M7" s="2" t="s">
        <v>2044</v>
      </c>
      <c r="N7" s="2" t="s">
        <v>187</v>
      </c>
      <c r="O7" s="2" t="s">
        <v>1</v>
      </c>
      <c r="P7" s="2" t="s">
        <v>1724</v>
      </c>
      <c r="Q7" s="2" t="s">
        <v>187</v>
      </c>
      <c r="R7" s="2" t="s">
        <v>1</v>
      </c>
      <c r="S7" s="2" t="s">
        <v>1470</v>
      </c>
      <c r="T7" t="s">
        <v>187</v>
      </c>
      <c r="U7" s="2" t="s">
        <v>1</v>
      </c>
      <c r="V7" s="2" t="s">
        <v>1471</v>
      </c>
      <c r="W7" s="2" t="s">
        <v>194</v>
      </c>
      <c r="X7" s="2" t="s">
        <v>2</v>
      </c>
      <c r="Y7">
        <f t="shared" si="0"/>
        <v>628</v>
      </c>
    </row>
    <row r="8" spans="1:25" ht="409.5" hidden="1" x14ac:dyDescent="0.25">
      <c r="A8" t="s">
        <v>183</v>
      </c>
      <c r="B8" t="s">
        <v>184</v>
      </c>
      <c r="C8" s="2" t="s">
        <v>445</v>
      </c>
      <c r="D8" s="2" t="s">
        <v>444</v>
      </c>
      <c r="E8" s="2" t="s">
        <v>195</v>
      </c>
      <c r="F8" s="2" t="s">
        <v>193</v>
      </c>
      <c r="G8" s="2" t="s">
        <v>452</v>
      </c>
      <c r="H8" s="2" t="s">
        <v>194</v>
      </c>
      <c r="I8" s="2" t="s">
        <v>2</v>
      </c>
      <c r="J8" s="2" t="s">
        <v>596</v>
      </c>
      <c r="K8" s="2" t="s">
        <v>187</v>
      </c>
      <c r="L8" s="2" t="s">
        <v>2</v>
      </c>
      <c r="M8" s="2" t="s">
        <v>2045</v>
      </c>
      <c r="N8" s="2" t="s">
        <v>187</v>
      </c>
      <c r="O8" s="2" t="s">
        <v>1</v>
      </c>
      <c r="P8" s="2" t="s">
        <v>1725</v>
      </c>
      <c r="Q8" s="2" t="s">
        <v>187</v>
      </c>
      <c r="R8" s="2" t="s">
        <v>2</v>
      </c>
      <c r="S8" s="2" t="s">
        <v>1472</v>
      </c>
      <c r="T8" t="s">
        <v>194</v>
      </c>
      <c r="U8" s="2" t="s">
        <v>1</v>
      </c>
      <c r="V8" s="2" t="s">
        <v>1473</v>
      </c>
      <c r="W8" s="2" t="s">
        <v>194</v>
      </c>
      <c r="X8" s="2" t="s">
        <v>2</v>
      </c>
      <c r="Y8">
        <f t="shared" si="0"/>
        <v>621</v>
      </c>
    </row>
    <row r="9" spans="1:25" ht="409.5" hidden="1" x14ac:dyDescent="0.25">
      <c r="A9" t="s">
        <v>183</v>
      </c>
      <c r="B9" t="s">
        <v>184</v>
      </c>
      <c r="C9" s="2" t="s">
        <v>445</v>
      </c>
      <c r="D9" s="2" t="s">
        <v>444</v>
      </c>
      <c r="E9" s="2" t="s">
        <v>196</v>
      </c>
      <c r="F9" s="2" t="s">
        <v>193</v>
      </c>
      <c r="G9" s="2" t="s">
        <v>453</v>
      </c>
      <c r="H9" s="2" t="s">
        <v>194</v>
      </c>
      <c r="I9" s="2" t="s">
        <v>2</v>
      </c>
      <c r="J9" s="2" t="s">
        <v>597</v>
      </c>
      <c r="K9" s="2" t="s">
        <v>194</v>
      </c>
      <c r="L9" s="2" t="s">
        <v>2</v>
      </c>
      <c r="M9" s="2" t="s">
        <v>2046</v>
      </c>
      <c r="N9" s="2" t="s">
        <v>3</v>
      </c>
      <c r="O9" s="2" t="s">
        <v>1</v>
      </c>
      <c r="P9" s="2" t="s">
        <v>1726</v>
      </c>
      <c r="Q9" s="2" t="s">
        <v>187</v>
      </c>
      <c r="R9" s="2" t="s">
        <v>1</v>
      </c>
      <c r="S9" s="2" t="s">
        <v>1474</v>
      </c>
      <c r="T9" t="s">
        <v>187</v>
      </c>
      <c r="U9" s="2" t="s">
        <v>1</v>
      </c>
      <c r="V9" s="2" t="s">
        <v>1475</v>
      </c>
      <c r="W9" s="2" t="s">
        <v>194</v>
      </c>
      <c r="X9" s="2" t="s">
        <v>2</v>
      </c>
      <c r="Y9">
        <f t="shared" si="0"/>
        <v>620</v>
      </c>
    </row>
    <row r="10" spans="1:25" ht="409.5" hidden="1" x14ac:dyDescent="0.25">
      <c r="A10" t="s">
        <v>183</v>
      </c>
      <c r="B10" t="s">
        <v>184</v>
      </c>
      <c r="C10" s="2" t="s">
        <v>445</v>
      </c>
      <c r="D10" s="2" t="s">
        <v>444</v>
      </c>
      <c r="E10" s="2" t="s">
        <v>197</v>
      </c>
      <c r="F10" s="2" t="s">
        <v>193</v>
      </c>
      <c r="G10" s="2" t="s">
        <v>454</v>
      </c>
      <c r="H10" s="2" t="s">
        <v>187</v>
      </c>
      <c r="I10" s="2" t="s">
        <v>2</v>
      </c>
      <c r="J10" s="2" t="s">
        <v>598</v>
      </c>
      <c r="K10" s="2" t="s">
        <v>194</v>
      </c>
      <c r="L10" s="2" t="s">
        <v>2</v>
      </c>
      <c r="M10" s="2" t="s">
        <v>2044</v>
      </c>
      <c r="N10" s="2" t="s">
        <v>187</v>
      </c>
      <c r="O10" s="2" t="s">
        <v>1</v>
      </c>
      <c r="P10" s="2" t="s">
        <v>1727</v>
      </c>
      <c r="Q10" s="2" t="s">
        <v>187</v>
      </c>
      <c r="R10" s="2" t="s">
        <v>2</v>
      </c>
      <c r="S10" s="2" t="s">
        <v>2198</v>
      </c>
      <c r="T10" s="2" t="s">
        <v>187</v>
      </c>
      <c r="U10" s="2" t="s">
        <v>1</v>
      </c>
      <c r="V10" s="2" t="s">
        <v>1476</v>
      </c>
      <c r="W10" s="2" t="s">
        <v>194</v>
      </c>
      <c r="X10" s="2" t="s">
        <v>2</v>
      </c>
      <c r="Y10">
        <f t="shared" si="0"/>
        <v>630</v>
      </c>
    </row>
    <row r="11" spans="1:25" ht="409.5" hidden="1" x14ac:dyDescent="0.25">
      <c r="A11" t="s">
        <v>183</v>
      </c>
      <c r="B11" t="s">
        <v>184</v>
      </c>
      <c r="C11" s="2" t="s">
        <v>445</v>
      </c>
      <c r="D11" s="2" t="s">
        <v>444</v>
      </c>
      <c r="E11" s="2" t="s">
        <v>198</v>
      </c>
      <c r="F11" s="2" t="s">
        <v>193</v>
      </c>
      <c r="G11" s="2" t="s">
        <v>455</v>
      </c>
      <c r="H11" s="2" t="s">
        <v>194</v>
      </c>
      <c r="I11" s="2" t="s">
        <v>2</v>
      </c>
      <c r="J11" s="2" t="s">
        <v>599</v>
      </c>
      <c r="K11" s="2" t="s">
        <v>194</v>
      </c>
      <c r="L11" s="2" t="s">
        <v>2</v>
      </c>
      <c r="M11" s="2" t="s">
        <v>2047</v>
      </c>
      <c r="N11" s="2" t="s">
        <v>194</v>
      </c>
      <c r="O11" s="2" t="s">
        <v>1</v>
      </c>
      <c r="P11" s="2" t="s">
        <v>1728</v>
      </c>
      <c r="Q11" s="2" t="s">
        <v>187</v>
      </c>
      <c r="R11" s="2" t="s">
        <v>2</v>
      </c>
      <c r="S11" s="2" t="s">
        <v>1477</v>
      </c>
      <c r="T11" t="s">
        <v>3</v>
      </c>
      <c r="U11" s="2" t="s">
        <v>1</v>
      </c>
      <c r="V11" s="2" t="s">
        <v>1478</v>
      </c>
      <c r="W11" s="2" t="s">
        <v>187</v>
      </c>
      <c r="X11" s="2" t="s">
        <v>2</v>
      </c>
      <c r="Y11">
        <f t="shared" si="0"/>
        <v>630</v>
      </c>
    </row>
    <row r="12" spans="1:25" ht="409.5" hidden="1" x14ac:dyDescent="0.25">
      <c r="A12" t="s">
        <v>183</v>
      </c>
      <c r="B12" t="s">
        <v>184</v>
      </c>
      <c r="C12" s="2" t="s">
        <v>445</v>
      </c>
      <c r="D12" s="2" t="s">
        <v>444</v>
      </c>
      <c r="E12" s="2" t="s">
        <v>199</v>
      </c>
      <c r="F12" s="2" t="s">
        <v>200</v>
      </c>
      <c r="G12" s="2" t="s">
        <v>456</v>
      </c>
      <c r="H12" s="2" t="s">
        <v>187</v>
      </c>
      <c r="I12" s="2" t="s">
        <v>2</v>
      </c>
      <c r="J12" s="2" t="s">
        <v>600</v>
      </c>
      <c r="K12" s="2" t="s">
        <v>187</v>
      </c>
      <c r="L12" s="2" t="s">
        <v>2</v>
      </c>
      <c r="M12" s="2" t="s">
        <v>2048</v>
      </c>
      <c r="N12" s="2" t="s">
        <v>187</v>
      </c>
      <c r="O12" s="2" t="s">
        <v>1</v>
      </c>
      <c r="P12" s="2" t="s">
        <v>1729</v>
      </c>
      <c r="Q12" s="2" t="s">
        <v>187</v>
      </c>
      <c r="R12" s="2" t="s">
        <v>2</v>
      </c>
      <c r="S12" s="2" t="s">
        <v>2180</v>
      </c>
      <c r="T12" t="s">
        <v>187</v>
      </c>
      <c r="U12" s="2" t="s">
        <v>1</v>
      </c>
      <c r="V12" s="2" t="s">
        <v>1479</v>
      </c>
      <c r="W12" s="2" t="s">
        <v>187</v>
      </c>
      <c r="X12" s="2" t="s">
        <v>2</v>
      </c>
      <c r="Y12">
        <f t="shared" si="0"/>
        <v>626</v>
      </c>
    </row>
    <row r="13" spans="1:25" ht="409.5" hidden="1" x14ac:dyDescent="0.25">
      <c r="A13" t="s">
        <v>183</v>
      </c>
      <c r="B13" t="s">
        <v>184</v>
      </c>
      <c r="C13" s="2" t="s">
        <v>445</v>
      </c>
      <c r="D13" s="2" t="s">
        <v>444</v>
      </c>
      <c r="E13" s="2" t="s">
        <v>201</v>
      </c>
      <c r="F13" s="2" t="s">
        <v>200</v>
      </c>
      <c r="G13" s="2" t="s">
        <v>457</v>
      </c>
      <c r="H13" s="2" t="s">
        <v>187</v>
      </c>
      <c r="I13" s="2" t="s">
        <v>2</v>
      </c>
      <c r="J13" s="2" t="s">
        <v>601</v>
      </c>
      <c r="K13" s="2" t="s">
        <v>194</v>
      </c>
      <c r="L13" s="2" t="s">
        <v>2</v>
      </c>
      <c r="M13" s="2" t="s">
        <v>2049</v>
      </c>
      <c r="N13" s="2" t="s">
        <v>187</v>
      </c>
      <c r="O13" s="2" t="s">
        <v>1</v>
      </c>
      <c r="P13" s="2" t="s">
        <v>1730</v>
      </c>
      <c r="Q13" s="2" t="s">
        <v>187</v>
      </c>
      <c r="R13" s="2" t="s">
        <v>2</v>
      </c>
      <c r="S13" s="2" t="s">
        <v>1480</v>
      </c>
      <c r="T13" t="s">
        <v>187</v>
      </c>
      <c r="U13" s="2" t="s">
        <v>1</v>
      </c>
      <c r="V13" s="2" t="s">
        <v>1481</v>
      </c>
      <c r="W13" s="2" t="s">
        <v>187</v>
      </c>
      <c r="X13" s="2" t="s">
        <v>2</v>
      </c>
      <c r="Y13">
        <f t="shared" si="0"/>
        <v>626</v>
      </c>
    </row>
    <row r="14" spans="1:25" ht="409.5" hidden="1" x14ac:dyDescent="0.25">
      <c r="A14" t="s">
        <v>183</v>
      </c>
      <c r="B14" t="s">
        <v>184</v>
      </c>
      <c r="C14" s="2" t="s">
        <v>445</v>
      </c>
      <c r="D14" s="2" t="s">
        <v>444</v>
      </c>
      <c r="E14" s="2" t="s">
        <v>202</v>
      </c>
      <c r="F14" s="2" t="s">
        <v>200</v>
      </c>
      <c r="G14" s="2" t="s">
        <v>458</v>
      </c>
      <c r="H14" s="2" t="s">
        <v>187</v>
      </c>
      <c r="I14" s="2" t="s">
        <v>2</v>
      </c>
      <c r="J14" s="2" t="s">
        <v>602</v>
      </c>
      <c r="K14" s="2" t="s">
        <v>3</v>
      </c>
      <c r="L14" s="2" t="s">
        <v>2</v>
      </c>
      <c r="M14" s="2" t="s">
        <v>2050</v>
      </c>
      <c r="N14" s="2" t="s">
        <v>187</v>
      </c>
      <c r="O14" s="2" t="s">
        <v>1</v>
      </c>
      <c r="P14" s="2" t="s">
        <v>1731</v>
      </c>
      <c r="Q14" s="2" t="s">
        <v>187</v>
      </c>
      <c r="R14" s="2" t="s">
        <v>2</v>
      </c>
      <c r="S14" s="2" t="s">
        <v>1482</v>
      </c>
      <c r="T14" t="s">
        <v>3</v>
      </c>
      <c r="U14" s="2" t="s">
        <v>1</v>
      </c>
      <c r="V14" s="2" t="s">
        <v>1483</v>
      </c>
      <c r="W14" s="2" t="s">
        <v>187</v>
      </c>
      <c r="X14" s="2" t="s">
        <v>2</v>
      </c>
      <c r="Y14">
        <f t="shared" si="0"/>
        <v>631</v>
      </c>
    </row>
    <row r="15" spans="1:25" ht="409.5" hidden="1" x14ac:dyDescent="0.25">
      <c r="A15" t="s">
        <v>183</v>
      </c>
      <c r="B15" t="s">
        <v>184</v>
      </c>
      <c r="C15" s="2" t="s">
        <v>445</v>
      </c>
      <c r="D15" s="2" t="s">
        <v>444</v>
      </c>
      <c r="E15" s="2" t="s">
        <v>204</v>
      </c>
      <c r="F15" s="2" t="s">
        <v>200</v>
      </c>
      <c r="G15" s="2" t="s">
        <v>459</v>
      </c>
      <c r="H15" s="2" t="s">
        <v>187</v>
      </c>
      <c r="I15" s="2" t="s">
        <v>2</v>
      </c>
      <c r="J15" s="2" t="s">
        <v>603</v>
      </c>
      <c r="K15" s="2" t="s">
        <v>187</v>
      </c>
      <c r="L15" s="2" t="s">
        <v>2</v>
      </c>
      <c r="M15" s="2" t="s">
        <v>2051</v>
      </c>
      <c r="N15" s="2" t="s">
        <v>187</v>
      </c>
      <c r="O15" s="2" t="s">
        <v>1</v>
      </c>
      <c r="P15" s="2" t="s">
        <v>1732</v>
      </c>
      <c r="Q15" s="2" t="s">
        <v>187</v>
      </c>
      <c r="R15" s="2" t="s">
        <v>1</v>
      </c>
      <c r="S15" s="2" t="s">
        <v>1484</v>
      </c>
      <c r="T15" t="s">
        <v>187</v>
      </c>
      <c r="U15" s="2" t="s">
        <v>1</v>
      </c>
      <c r="V15" s="2" t="s">
        <v>1485</v>
      </c>
      <c r="W15" s="2" t="s">
        <v>194</v>
      </c>
      <c r="X15" s="2" t="s">
        <v>2</v>
      </c>
      <c r="Y15">
        <f t="shared" si="0"/>
        <v>626</v>
      </c>
    </row>
    <row r="16" spans="1:25" ht="409.5" hidden="1" x14ac:dyDescent="0.25">
      <c r="A16" t="s">
        <v>183</v>
      </c>
      <c r="B16" t="s">
        <v>184</v>
      </c>
      <c r="C16" s="2" t="s">
        <v>445</v>
      </c>
      <c r="D16" s="2" t="s">
        <v>444</v>
      </c>
      <c r="E16" s="2" t="s">
        <v>205</v>
      </c>
      <c r="F16" s="2" t="s">
        <v>200</v>
      </c>
      <c r="G16" s="2" t="s">
        <v>460</v>
      </c>
      <c r="H16" s="2" t="s">
        <v>194</v>
      </c>
      <c r="I16" s="2" t="s">
        <v>2</v>
      </c>
      <c r="J16" s="2" t="s">
        <v>604</v>
      </c>
      <c r="K16" s="2" t="s">
        <v>194</v>
      </c>
      <c r="L16" s="2" t="s">
        <v>2</v>
      </c>
      <c r="M16" s="2" t="s">
        <v>2052</v>
      </c>
      <c r="N16" s="2" t="s">
        <v>194</v>
      </c>
      <c r="O16" s="2" t="s">
        <v>1</v>
      </c>
      <c r="P16" s="2" t="s">
        <v>1733</v>
      </c>
      <c r="Q16" s="2" t="s">
        <v>194</v>
      </c>
      <c r="R16" s="2" t="s">
        <v>1</v>
      </c>
      <c r="S16" s="2" t="s">
        <v>1486</v>
      </c>
      <c r="T16" t="s">
        <v>3</v>
      </c>
      <c r="U16" s="2" t="s">
        <v>2</v>
      </c>
      <c r="V16" s="2" t="s">
        <v>1487</v>
      </c>
      <c r="W16" s="2" t="s">
        <v>194</v>
      </c>
      <c r="X16" s="2" t="s">
        <v>2</v>
      </c>
      <c r="Y16">
        <f t="shared" si="0"/>
        <v>620</v>
      </c>
    </row>
    <row r="17" spans="1:25" ht="409.5" hidden="1" x14ac:dyDescent="0.25">
      <c r="A17" t="s">
        <v>183</v>
      </c>
      <c r="B17" t="s">
        <v>184</v>
      </c>
      <c r="C17" s="2" t="s">
        <v>445</v>
      </c>
      <c r="D17" s="2" t="s">
        <v>444</v>
      </c>
      <c r="E17" s="2" t="s">
        <v>206</v>
      </c>
      <c r="F17" s="2" t="s">
        <v>207</v>
      </c>
      <c r="G17" s="2" t="s">
        <v>461</v>
      </c>
      <c r="H17" s="2" t="s">
        <v>194</v>
      </c>
      <c r="I17" s="2" t="s">
        <v>2</v>
      </c>
      <c r="J17" s="2" t="s">
        <v>605</v>
      </c>
      <c r="K17" s="2" t="s">
        <v>194</v>
      </c>
      <c r="L17" s="2" t="s">
        <v>2</v>
      </c>
      <c r="M17" s="2" t="s">
        <v>2053</v>
      </c>
      <c r="N17" s="2" t="s">
        <v>187</v>
      </c>
      <c r="O17" s="2" t="s">
        <v>1</v>
      </c>
      <c r="P17" s="2" t="s">
        <v>1734</v>
      </c>
      <c r="Q17" s="2" t="s">
        <v>187</v>
      </c>
      <c r="R17" s="2" t="s">
        <v>2</v>
      </c>
      <c r="S17" s="2" t="s">
        <v>1488</v>
      </c>
      <c r="T17" t="s">
        <v>3</v>
      </c>
      <c r="U17" s="2" t="s">
        <v>1</v>
      </c>
      <c r="V17" s="2" t="s">
        <v>1489</v>
      </c>
      <c r="W17" s="2" t="s">
        <v>187</v>
      </c>
      <c r="X17" s="2" t="s">
        <v>2</v>
      </c>
      <c r="Y17">
        <f t="shared" si="0"/>
        <v>628</v>
      </c>
    </row>
    <row r="18" spans="1:25" ht="409.5" hidden="1" x14ac:dyDescent="0.25">
      <c r="A18" t="s">
        <v>183</v>
      </c>
      <c r="B18" t="s">
        <v>184</v>
      </c>
      <c r="C18" s="2" t="s">
        <v>445</v>
      </c>
      <c r="D18" s="2" t="s">
        <v>444</v>
      </c>
      <c r="E18" s="2" t="s">
        <v>208</v>
      </c>
      <c r="F18" s="2" t="s">
        <v>207</v>
      </c>
      <c r="G18" s="2" t="s">
        <v>462</v>
      </c>
      <c r="H18" s="2" t="s">
        <v>187</v>
      </c>
      <c r="I18" s="2" t="s">
        <v>2</v>
      </c>
      <c r="J18" s="2" t="s">
        <v>606</v>
      </c>
      <c r="K18" s="2" t="s">
        <v>194</v>
      </c>
      <c r="L18" s="2" t="s">
        <v>2</v>
      </c>
      <c r="M18" s="2" t="s">
        <v>2054</v>
      </c>
      <c r="N18" s="2" t="s">
        <v>187</v>
      </c>
      <c r="O18" s="2" t="s">
        <v>1</v>
      </c>
      <c r="P18" s="2" t="s">
        <v>1735</v>
      </c>
      <c r="Q18" s="2" t="s">
        <v>187</v>
      </c>
      <c r="R18" s="2" t="s">
        <v>2</v>
      </c>
      <c r="S18" s="2" t="s">
        <v>2199</v>
      </c>
      <c r="T18" s="2" t="s">
        <v>187</v>
      </c>
      <c r="U18" s="2" t="s">
        <v>1</v>
      </c>
      <c r="V18" s="2" t="s">
        <v>1490</v>
      </c>
      <c r="W18" s="2" t="s">
        <v>187</v>
      </c>
      <c r="X18" s="2" t="s">
        <v>2</v>
      </c>
      <c r="Y18">
        <f t="shared" si="0"/>
        <v>630</v>
      </c>
    </row>
    <row r="19" spans="1:25" ht="409.5" hidden="1" x14ac:dyDescent="0.25">
      <c r="A19" t="s">
        <v>183</v>
      </c>
      <c r="B19" t="s">
        <v>184</v>
      </c>
      <c r="C19" s="2" t="s">
        <v>445</v>
      </c>
      <c r="D19" s="2" t="s">
        <v>444</v>
      </c>
      <c r="E19" s="2" t="s">
        <v>209</v>
      </c>
      <c r="F19" s="2" t="s">
        <v>207</v>
      </c>
      <c r="G19" s="2" t="s">
        <v>463</v>
      </c>
      <c r="H19" s="2" t="s">
        <v>187</v>
      </c>
      <c r="I19" s="2" t="s">
        <v>2</v>
      </c>
      <c r="J19" s="2" t="s">
        <v>607</v>
      </c>
      <c r="K19" s="2" t="s">
        <v>187</v>
      </c>
      <c r="L19" s="2" t="s">
        <v>2</v>
      </c>
      <c r="M19" s="2" t="s">
        <v>2055</v>
      </c>
      <c r="N19" s="2" t="s">
        <v>194</v>
      </c>
      <c r="O19" s="2" t="s">
        <v>1</v>
      </c>
      <c r="P19" s="2" t="s">
        <v>1736</v>
      </c>
      <c r="Q19" s="2" t="s">
        <v>3</v>
      </c>
      <c r="R19" s="2" t="s">
        <v>2</v>
      </c>
      <c r="S19" s="2" t="s">
        <v>2200</v>
      </c>
      <c r="T19" s="2" t="s">
        <v>187</v>
      </c>
      <c r="U19" s="2" t="s">
        <v>2</v>
      </c>
      <c r="V19" s="2" t="s">
        <v>1491</v>
      </c>
      <c r="W19" s="2" t="s">
        <v>187</v>
      </c>
      <c r="X19" s="2" t="s">
        <v>2</v>
      </c>
      <c r="Y19">
        <f t="shared" si="0"/>
        <v>630</v>
      </c>
    </row>
    <row r="20" spans="1:25" ht="409.5" hidden="1" x14ac:dyDescent="0.25">
      <c r="A20" t="s">
        <v>183</v>
      </c>
      <c r="B20" t="s">
        <v>184</v>
      </c>
      <c r="C20" s="2" t="s">
        <v>445</v>
      </c>
      <c r="D20" s="2" t="s">
        <v>444</v>
      </c>
      <c r="E20" s="2" t="s">
        <v>210</v>
      </c>
      <c r="F20" s="2" t="s">
        <v>207</v>
      </c>
      <c r="G20" s="2" t="s">
        <v>464</v>
      </c>
      <c r="H20" s="2" t="s">
        <v>194</v>
      </c>
      <c r="I20" s="2" t="s">
        <v>2</v>
      </c>
      <c r="J20" s="2" t="s">
        <v>608</v>
      </c>
      <c r="K20" s="2" t="s">
        <v>187</v>
      </c>
      <c r="L20" s="2" t="s">
        <v>2</v>
      </c>
      <c r="M20" s="2" t="s">
        <v>2056</v>
      </c>
      <c r="N20" s="2" t="s">
        <v>194</v>
      </c>
      <c r="O20" s="2" t="s">
        <v>1</v>
      </c>
      <c r="P20" s="2" t="s">
        <v>1737</v>
      </c>
      <c r="Q20" s="2" t="s">
        <v>194</v>
      </c>
      <c r="R20" s="2" t="s">
        <v>2</v>
      </c>
      <c r="S20" s="2" t="s">
        <v>1492</v>
      </c>
      <c r="T20" t="s">
        <v>187</v>
      </c>
      <c r="U20" s="2" t="s">
        <v>1</v>
      </c>
      <c r="V20" s="2" t="s">
        <v>1493</v>
      </c>
      <c r="W20" s="2" t="s">
        <v>187</v>
      </c>
      <c r="X20" s="2" t="s">
        <v>2</v>
      </c>
      <c r="Y20">
        <f t="shared" si="0"/>
        <v>621</v>
      </c>
    </row>
    <row r="21" spans="1:25" ht="409.5" hidden="1" x14ac:dyDescent="0.25">
      <c r="A21" t="s">
        <v>183</v>
      </c>
      <c r="B21" t="s">
        <v>184</v>
      </c>
      <c r="C21" s="2" t="s">
        <v>445</v>
      </c>
      <c r="D21" s="2" t="s">
        <v>444</v>
      </c>
      <c r="E21" s="2" t="s">
        <v>211</v>
      </c>
      <c r="F21" s="2" t="s">
        <v>207</v>
      </c>
      <c r="G21" s="2" t="s">
        <v>465</v>
      </c>
      <c r="H21" s="2" t="s">
        <v>194</v>
      </c>
      <c r="I21" s="2" t="s">
        <v>2</v>
      </c>
      <c r="J21" s="2" t="s">
        <v>609</v>
      </c>
      <c r="K21" s="2" t="s">
        <v>187</v>
      </c>
      <c r="L21" s="2" t="s">
        <v>2</v>
      </c>
      <c r="M21" s="2" t="s">
        <v>2057</v>
      </c>
      <c r="N21" s="2" t="s">
        <v>187</v>
      </c>
      <c r="O21" s="2" t="s">
        <v>1</v>
      </c>
      <c r="P21" s="2" t="s">
        <v>1738</v>
      </c>
      <c r="Q21" s="2" t="s">
        <v>187</v>
      </c>
      <c r="R21" s="2" t="s">
        <v>2</v>
      </c>
      <c r="S21" s="2" t="s">
        <v>1494</v>
      </c>
      <c r="T21" t="s">
        <v>3</v>
      </c>
      <c r="U21" s="2" t="s">
        <v>1</v>
      </c>
      <c r="V21" s="2" t="s">
        <v>1495</v>
      </c>
      <c r="W21" s="2" t="s">
        <v>187</v>
      </c>
      <c r="X21" s="2" t="s">
        <v>2</v>
      </c>
      <c r="Y21">
        <f t="shared" si="0"/>
        <v>637</v>
      </c>
    </row>
    <row r="22" spans="1:25" ht="409.5" hidden="1" x14ac:dyDescent="0.25">
      <c r="A22" t="s">
        <v>183</v>
      </c>
      <c r="B22" t="s">
        <v>184</v>
      </c>
      <c r="C22" s="2" t="s">
        <v>445</v>
      </c>
      <c r="D22" s="2" t="s">
        <v>444</v>
      </c>
      <c r="E22" s="2" t="s">
        <v>212</v>
      </c>
      <c r="F22" s="2" t="s">
        <v>213</v>
      </c>
      <c r="G22" s="2" t="s">
        <v>466</v>
      </c>
      <c r="H22" s="2" t="s">
        <v>187</v>
      </c>
      <c r="I22" s="2" t="s">
        <v>2</v>
      </c>
      <c r="J22" s="2" t="s">
        <v>610</v>
      </c>
      <c r="K22" s="2" t="s">
        <v>194</v>
      </c>
      <c r="L22" s="2" t="s">
        <v>2</v>
      </c>
      <c r="M22" s="2" t="s">
        <v>2058</v>
      </c>
      <c r="N22" s="2" t="s">
        <v>187</v>
      </c>
      <c r="O22" s="2" t="s">
        <v>1</v>
      </c>
      <c r="P22" s="2" t="s">
        <v>1739</v>
      </c>
      <c r="Q22" s="2" t="s">
        <v>187</v>
      </c>
      <c r="R22" s="2"/>
      <c r="S22" s="2" t="s">
        <v>1496</v>
      </c>
      <c r="T22" t="s">
        <v>187</v>
      </c>
      <c r="U22" s="2" t="s">
        <v>1</v>
      </c>
      <c r="V22" s="2" t="s">
        <v>1497</v>
      </c>
      <c r="W22" s="2" t="s">
        <v>187</v>
      </c>
      <c r="X22" s="2" t="s">
        <v>2</v>
      </c>
      <c r="Y22">
        <f t="shared" si="0"/>
        <v>635</v>
      </c>
    </row>
    <row r="23" spans="1:25" ht="409.5" hidden="1" x14ac:dyDescent="0.25">
      <c r="A23" t="s">
        <v>183</v>
      </c>
      <c r="B23" t="s">
        <v>184</v>
      </c>
      <c r="C23" s="2" t="s">
        <v>445</v>
      </c>
      <c r="D23" s="2" t="s">
        <v>444</v>
      </c>
      <c r="E23" s="2" t="s">
        <v>214</v>
      </c>
      <c r="F23" s="2" t="s">
        <v>213</v>
      </c>
      <c r="G23" s="2" t="s">
        <v>467</v>
      </c>
      <c r="H23" s="2" t="s">
        <v>187</v>
      </c>
      <c r="I23" s="2" t="s">
        <v>2</v>
      </c>
      <c r="J23" s="2" t="s">
        <v>611</v>
      </c>
      <c r="K23" s="2" t="s">
        <v>187</v>
      </c>
      <c r="L23" s="2" t="s">
        <v>2</v>
      </c>
      <c r="M23" s="2" t="s">
        <v>2059</v>
      </c>
      <c r="N23" s="2" t="s">
        <v>187</v>
      </c>
      <c r="O23" s="2" t="s">
        <v>1</v>
      </c>
      <c r="P23" s="2" t="s">
        <v>1740</v>
      </c>
      <c r="Q23" s="2" t="s">
        <v>187</v>
      </c>
      <c r="R23" s="2"/>
      <c r="S23" s="2" t="s">
        <v>2201</v>
      </c>
      <c r="T23" s="2" t="s">
        <v>187</v>
      </c>
      <c r="U23" s="2" t="s">
        <v>1</v>
      </c>
      <c r="V23" s="2" t="s">
        <v>1498</v>
      </c>
      <c r="W23" s="2" t="s">
        <v>187</v>
      </c>
      <c r="X23" s="2" t="s">
        <v>2</v>
      </c>
      <c r="Y23">
        <f t="shared" si="0"/>
        <v>616</v>
      </c>
    </row>
    <row r="24" spans="1:25" ht="409.5" hidden="1" x14ac:dyDescent="0.25">
      <c r="A24" t="s">
        <v>183</v>
      </c>
      <c r="B24" t="s">
        <v>184</v>
      </c>
      <c r="C24" s="2" t="s">
        <v>445</v>
      </c>
      <c r="D24" s="2" t="s">
        <v>444</v>
      </c>
      <c r="E24" s="2" t="s">
        <v>215</v>
      </c>
      <c r="F24" s="2" t="s">
        <v>213</v>
      </c>
      <c r="G24" s="2" t="s">
        <v>468</v>
      </c>
      <c r="H24" s="2" t="s">
        <v>187</v>
      </c>
      <c r="I24" s="2" t="s">
        <v>2</v>
      </c>
      <c r="J24" s="2" t="s">
        <v>612</v>
      </c>
      <c r="K24" s="2" t="s">
        <v>187</v>
      </c>
      <c r="L24" s="2" t="s">
        <v>2</v>
      </c>
      <c r="M24" s="2" t="s">
        <v>2060</v>
      </c>
      <c r="N24" s="2" t="s">
        <v>187</v>
      </c>
      <c r="O24" s="2" t="s">
        <v>1</v>
      </c>
      <c r="P24" s="2" t="s">
        <v>1741</v>
      </c>
      <c r="Q24" s="2" t="s">
        <v>187</v>
      </c>
      <c r="R24" s="2"/>
      <c r="S24" s="2" t="s">
        <v>2181</v>
      </c>
      <c r="T24" t="s">
        <v>187</v>
      </c>
      <c r="U24" s="2" t="s">
        <v>1</v>
      </c>
      <c r="V24" s="2" t="s">
        <v>1499</v>
      </c>
      <c r="W24" s="2" t="s">
        <v>187</v>
      </c>
      <c r="X24" s="2" t="s">
        <v>2</v>
      </c>
      <c r="Y24">
        <f t="shared" si="0"/>
        <v>613</v>
      </c>
    </row>
    <row r="25" spans="1:25" ht="409.5" hidden="1" x14ac:dyDescent="0.25">
      <c r="A25" t="s">
        <v>183</v>
      </c>
      <c r="B25" t="s">
        <v>184</v>
      </c>
      <c r="C25" s="2" t="s">
        <v>445</v>
      </c>
      <c r="D25" s="2" t="s">
        <v>444</v>
      </c>
      <c r="E25" s="2" t="s">
        <v>216</v>
      </c>
      <c r="F25" s="2" t="s">
        <v>213</v>
      </c>
      <c r="G25" s="2" t="s">
        <v>469</v>
      </c>
      <c r="H25" s="2" t="s">
        <v>187</v>
      </c>
      <c r="I25" s="2" t="s">
        <v>2</v>
      </c>
      <c r="J25" s="2" t="s">
        <v>613</v>
      </c>
      <c r="K25" s="2" t="s">
        <v>187</v>
      </c>
      <c r="L25" s="2" t="s">
        <v>2</v>
      </c>
      <c r="M25" s="2" t="s">
        <v>2061</v>
      </c>
      <c r="N25" s="2" t="s">
        <v>187</v>
      </c>
      <c r="O25" s="2" t="s">
        <v>1</v>
      </c>
      <c r="P25" s="2" t="s">
        <v>1742</v>
      </c>
      <c r="Q25" s="2" t="s">
        <v>187</v>
      </c>
      <c r="R25" s="2"/>
      <c r="S25" s="2" t="s">
        <v>1500</v>
      </c>
      <c r="T25" t="s">
        <v>3</v>
      </c>
      <c r="U25" s="2" t="s">
        <v>1</v>
      </c>
      <c r="V25" s="2" t="s">
        <v>1501</v>
      </c>
      <c r="W25" s="2" t="s">
        <v>187</v>
      </c>
      <c r="X25" s="2" t="s">
        <v>2</v>
      </c>
      <c r="Y25">
        <f t="shared" si="0"/>
        <v>618</v>
      </c>
    </row>
    <row r="26" spans="1:25" ht="409.5" hidden="1" x14ac:dyDescent="0.25">
      <c r="A26" t="s">
        <v>183</v>
      </c>
      <c r="B26" t="s">
        <v>184</v>
      </c>
      <c r="C26" s="2" t="s">
        <v>445</v>
      </c>
      <c r="D26" s="2" t="s">
        <v>444</v>
      </c>
      <c r="E26" s="2" t="s">
        <v>217</v>
      </c>
      <c r="F26" s="2" t="s">
        <v>213</v>
      </c>
      <c r="G26" s="2" t="s">
        <v>470</v>
      </c>
      <c r="H26" s="2" t="s">
        <v>187</v>
      </c>
      <c r="I26" s="2" t="s">
        <v>2</v>
      </c>
      <c r="J26" s="2" t="s">
        <v>614</v>
      </c>
      <c r="K26" s="2" t="s">
        <v>194</v>
      </c>
      <c r="L26" s="2" t="s">
        <v>2</v>
      </c>
      <c r="M26" s="2" t="s">
        <v>2062</v>
      </c>
      <c r="N26" s="2" t="s">
        <v>187</v>
      </c>
      <c r="O26" s="2" t="s">
        <v>1</v>
      </c>
      <c r="P26" s="2" t="s">
        <v>1743</v>
      </c>
      <c r="Q26" s="2" t="s">
        <v>187</v>
      </c>
      <c r="R26" s="2"/>
      <c r="S26" s="2" t="s">
        <v>1502</v>
      </c>
      <c r="T26" t="s">
        <v>187</v>
      </c>
      <c r="U26" s="2" t="s">
        <v>2</v>
      </c>
      <c r="V26" s="2" t="s">
        <v>1503</v>
      </c>
      <c r="W26" s="2" t="s">
        <v>187</v>
      </c>
      <c r="X26" s="2" t="s">
        <v>2</v>
      </c>
      <c r="Y26">
        <f t="shared" si="0"/>
        <v>611</v>
      </c>
    </row>
    <row r="27" spans="1:25" ht="409.5" hidden="1" x14ac:dyDescent="0.25">
      <c r="A27" t="s">
        <v>183</v>
      </c>
      <c r="B27" t="s">
        <v>184</v>
      </c>
      <c r="C27" s="2" t="s">
        <v>445</v>
      </c>
      <c r="D27" s="2" t="s">
        <v>444</v>
      </c>
      <c r="E27" s="2" t="s">
        <v>218</v>
      </c>
      <c r="F27" s="2" t="s">
        <v>219</v>
      </c>
      <c r="G27" s="2" t="s">
        <v>471</v>
      </c>
      <c r="H27" s="2" t="s">
        <v>194</v>
      </c>
      <c r="I27" s="2" t="s">
        <v>2</v>
      </c>
      <c r="J27" s="2" t="s">
        <v>615</v>
      </c>
      <c r="K27" s="2" t="s">
        <v>187</v>
      </c>
      <c r="L27" s="2" t="s">
        <v>2</v>
      </c>
      <c r="M27" s="2" t="s">
        <v>2063</v>
      </c>
      <c r="N27" s="2" t="s">
        <v>187</v>
      </c>
      <c r="O27" s="2" t="s">
        <v>1</v>
      </c>
      <c r="P27" s="2" t="s">
        <v>1744</v>
      </c>
      <c r="Q27" s="2" t="s">
        <v>187</v>
      </c>
      <c r="R27" s="2" t="s">
        <v>2</v>
      </c>
      <c r="S27" s="2" t="s">
        <v>2202</v>
      </c>
      <c r="T27" s="2" t="s">
        <v>187</v>
      </c>
      <c r="U27" s="2" t="s">
        <v>1</v>
      </c>
      <c r="V27" s="2" t="s">
        <v>1504</v>
      </c>
      <c r="W27" s="2" t="s">
        <v>187</v>
      </c>
      <c r="X27" s="2" t="s">
        <v>2</v>
      </c>
      <c r="Y27">
        <f t="shared" si="0"/>
        <v>611</v>
      </c>
    </row>
    <row r="28" spans="1:25" ht="409.5" hidden="1" x14ac:dyDescent="0.25">
      <c r="A28" t="s">
        <v>183</v>
      </c>
      <c r="B28" t="s">
        <v>184</v>
      </c>
      <c r="C28" s="2" t="s">
        <v>445</v>
      </c>
      <c r="D28" s="2" t="s">
        <v>444</v>
      </c>
      <c r="E28" s="2" t="s">
        <v>220</v>
      </c>
      <c r="F28" s="2" t="s">
        <v>219</v>
      </c>
      <c r="G28" s="2" t="s">
        <v>472</v>
      </c>
      <c r="H28" s="2" t="s">
        <v>187</v>
      </c>
      <c r="I28" s="2" t="s">
        <v>2</v>
      </c>
      <c r="J28" s="2" t="s">
        <v>616</v>
      </c>
      <c r="K28" s="2" t="s">
        <v>194</v>
      </c>
      <c r="L28" s="2" t="s">
        <v>2</v>
      </c>
      <c r="M28" s="2" t="s">
        <v>2064</v>
      </c>
      <c r="N28" s="2" t="s">
        <v>187</v>
      </c>
      <c r="O28" s="2" t="s">
        <v>1</v>
      </c>
      <c r="P28" s="2" t="s">
        <v>1745</v>
      </c>
      <c r="Q28" s="2" t="s">
        <v>187</v>
      </c>
      <c r="R28" s="2" t="s">
        <v>2</v>
      </c>
      <c r="S28" s="2" t="s">
        <v>1505</v>
      </c>
      <c r="T28" t="s">
        <v>3</v>
      </c>
      <c r="U28" s="2" t="s">
        <v>1</v>
      </c>
      <c r="V28" s="2" t="s">
        <v>1506</v>
      </c>
      <c r="W28" s="2" t="s">
        <v>187</v>
      </c>
      <c r="X28" s="2" t="s">
        <v>2</v>
      </c>
      <c r="Y28">
        <f t="shared" si="0"/>
        <v>611</v>
      </c>
    </row>
    <row r="29" spans="1:25" ht="409.5" hidden="1" x14ac:dyDescent="0.25">
      <c r="A29" t="s">
        <v>183</v>
      </c>
      <c r="B29" t="s">
        <v>184</v>
      </c>
      <c r="C29" s="2" t="s">
        <v>445</v>
      </c>
      <c r="D29" s="2" t="s">
        <v>444</v>
      </c>
      <c r="E29" s="2" t="s">
        <v>221</v>
      </c>
      <c r="F29" s="2" t="s">
        <v>219</v>
      </c>
      <c r="G29" s="2" t="s">
        <v>473</v>
      </c>
      <c r="H29" s="2" t="s">
        <v>187</v>
      </c>
      <c r="I29" s="2" t="s">
        <v>2</v>
      </c>
      <c r="J29" s="2" t="s">
        <v>617</v>
      </c>
      <c r="K29" s="2" t="s">
        <v>187</v>
      </c>
      <c r="L29" s="2" t="s">
        <v>2</v>
      </c>
      <c r="M29" s="2" t="s">
        <v>2065</v>
      </c>
      <c r="N29" s="2" t="s">
        <v>187</v>
      </c>
      <c r="O29" s="2" t="s">
        <v>1</v>
      </c>
      <c r="P29" s="2" t="s">
        <v>1746</v>
      </c>
      <c r="Q29" s="2" t="s">
        <v>187</v>
      </c>
      <c r="R29" s="2" t="s">
        <v>2</v>
      </c>
      <c r="S29" s="2" t="s">
        <v>1507</v>
      </c>
      <c r="T29" t="s">
        <v>187</v>
      </c>
      <c r="U29" s="2" t="s">
        <v>2</v>
      </c>
      <c r="V29" s="2" t="s">
        <v>1508</v>
      </c>
      <c r="W29" s="2" t="s">
        <v>187</v>
      </c>
      <c r="X29" s="2" t="s">
        <v>2</v>
      </c>
      <c r="Y29">
        <f t="shared" si="0"/>
        <v>616</v>
      </c>
    </row>
    <row r="30" spans="1:25" ht="409.5" hidden="1" x14ac:dyDescent="0.25">
      <c r="A30" t="s">
        <v>183</v>
      </c>
      <c r="B30" t="s">
        <v>184</v>
      </c>
      <c r="C30" s="2" t="s">
        <v>445</v>
      </c>
      <c r="D30" s="2" t="s">
        <v>444</v>
      </c>
      <c r="E30" s="2" t="s">
        <v>222</v>
      </c>
      <c r="F30" s="2" t="s">
        <v>219</v>
      </c>
      <c r="G30" s="2" t="s">
        <v>474</v>
      </c>
      <c r="H30" s="2" t="s">
        <v>187</v>
      </c>
      <c r="I30" s="2" t="s">
        <v>2</v>
      </c>
      <c r="J30" s="2" t="s">
        <v>618</v>
      </c>
      <c r="K30" s="2" t="s">
        <v>3</v>
      </c>
      <c r="L30" s="2" t="s">
        <v>2</v>
      </c>
      <c r="M30" s="2" t="s">
        <v>2066</v>
      </c>
      <c r="N30" s="2" t="s">
        <v>187</v>
      </c>
      <c r="O30" s="2" t="s">
        <v>1</v>
      </c>
      <c r="P30" s="2" t="s">
        <v>1747</v>
      </c>
      <c r="Q30" s="2" t="s">
        <v>187</v>
      </c>
      <c r="R30" s="2" t="s">
        <v>2</v>
      </c>
      <c r="S30" s="2" t="s">
        <v>1509</v>
      </c>
      <c r="T30" t="s">
        <v>187</v>
      </c>
      <c r="U30" s="2" t="s">
        <v>1</v>
      </c>
      <c r="V30" s="2" t="s">
        <v>1510</v>
      </c>
      <c r="W30" s="2" t="s">
        <v>194</v>
      </c>
      <c r="X30" s="2" t="s">
        <v>2</v>
      </c>
      <c r="Y30">
        <f t="shared" si="0"/>
        <v>618</v>
      </c>
    </row>
    <row r="31" spans="1:25" ht="409.5" hidden="1" x14ac:dyDescent="0.25">
      <c r="A31" t="s">
        <v>183</v>
      </c>
      <c r="B31" t="s">
        <v>184</v>
      </c>
      <c r="C31" s="2" t="s">
        <v>445</v>
      </c>
      <c r="D31" s="2" t="s">
        <v>444</v>
      </c>
      <c r="E31" s="2" t="s">
        <v>223</v>
      </c>
      <c r="F31" s="2" t="s">
        <v>219</v>
      </c>
      <c r="G31" s="2" t="s">
        <v>475</v>
      </c>
      <c r="H31" s="2" t="s">
        <v>187</v>
      </c>
      <c r="I31" s="2" t="s">
        <v>2</v>
      </c>
      <c r="J31" s="2" t="s">
        <v>619</v>
      </c>
      <c r="K31" s="2" t="s">
        <v>187</v>
      </c>
      <c r="L31" s="2" t="s">
        <v>2</v>
      </c>
      <c r="M31" s="2" t="s">
        <v>2067</v>
      </c>
      <c r="N31" s="2" t="s">
        <v>194</v>
      </c>
      <c r="O31" s="2" t="s">
        <v>1</v>
      </c>
      <c r="P31" s="2" t="s">
        <v>1748</v>
      </c>
      <c r="Q31" s="2" t="s">
        <v>194</v>
      </c>
      <c r="R31" s="2" t="s">
        <v>2</v>
      </c>
      <c r="S31" s="2" t="s">
        <v>1511</v>
      </c>
      <c r="T31" t="s">
        <v>187</v>
      </c>
      <c r="U31" s="2" t="s">
        <v>1</v>
      </c>
      <c r="V31" s="2" t="s">
        <v>1512</v>
      </c>
      <c r="W31" s="2" t="s">
        <v>187</v>
      </c>
      <c r="X31" s="2" t="s">
        <v>2</v>
      </c>
      <c r="Y31">
        <f t="shared" si="0"/>
        <v>611</v>
      </c>
    </row>
    <row r="32" spans="1:25" ht="409.5" hidden="1" x14ac:dyDescent="0.25">
      <c r="A32" t="s">
        <v>183</v>
      </c>
      <c r="B32" t="s">
        <v>184</v>
      </c>
      <c r="C32" s="2" t="s">
        <v>445</v>
      </c>
      <c r="D32" s="2" t="s">
        <v>444</v>
      </c>
      <c r="E32" s="2" t="s">
        <v>224</v>
      </c>
      <c r="F32" s="2" t="s">
        <v>225</v>
      </c>
      <c r="G32" s="2" t="s">
        <v>476</v>
      </c>
      <c r="H32" s="2" t="s">
        <v>194</v>
      </c>
      <c r="I32" s="2" t="s">
        <v>2</v>
      </c>
      <c r="J32" s="2" t="s">
        <v>620</v>
      </c>
      <c r="K32" s="2" t="s">
        <v>194</v>
      </c>
      <c r="L32" s="2" t="s">
        <v>2</v>
      </c>
      <c r="M32" s="2" t="s">
        <v>2068</v>
      </c>
      <c r="N32" s="2" t="s">
        <v>187</v>
      </c>
      <c r="O32" s="2" t="s">
        <v>1</v>
      </c>
      <c r="P32" s="2" t="s">
        <v>1749</v>
      </c>
      <c r="Q32" s="2" t="s">
        <v>187</v>
      </c>
      <c r="R32" s="2"/>
      <c r="S32" s="2" t="s">
        <v>1513</v>
      </c>
      <c r="T32" t="s">
        <v>187</v>
      </c>
      <c r="U32" s="2" t="s">
        <v>1</v>
      </c>
      <c r="V32" s="2" t="s">
        <v>1514</v>
      </c>
      <c r="W32" s="2" t="s">
        <v>187</v>
      </c>
      <c r="X32" s="2" t="s">
        <v>2</v>
      </c>
      <c r="Y32">
        <f t="shared" si="0"/>
        <v>637</v>
      </c>
    </row>
    <row r="33" spans="1:25" ht="409.5" hidden="1" x14ac:dyDescent="0.25">
      <c r="A33" t="s">
        <v>183</v>
      </c>
      <c r="B33" t="s">
        <v>184</v>
      </c>
      <c r="C33" s="2" t="s">
        <v>445</v>
      </c>
      <c r="D33" s="2" t="s">
        <v>444</v>
      </c>
      <c r="E33" s="2" t="s">
        <v>226</v>
      </c>
      <c r="F33" s="2" t="s">
        <v>225</v>
      </c>
      <c r="G33" s="2" t="s">
        <v>477</v>
      </c>
      <c r="H33" s="2" t="s">
        <v>194</v>
      </c>
      <c r="I33" s="2" t="s">
        <v>2</v>
      </c>
      <c r="J33" s="2" t="s">
        <v>621</v>
      </c>
      <c r="K33" s="2" t="s">
        <v>187</v>
      </c>
      <c r="L33" s="2" t="s">
        <v>2</v>
      </c>
      <c r="M33" s="2" t="s">
        <v>2069</v>
      </c>
      <c r="N33" s="2" t="s">
        <v>187</v>
      </c>
      <c r="O33" s="2" t="s">
        <v>1</v>
      </c>
      <c r="P33" s="2" t="s">
        <v>1750</v>
      </c>
      <c r="Q33" s="2" t="s">
        <v>187</v>
      </c>
      <c r="R33" s="2"/>
      <c r="S33" s="2" t="s">
        <v>1515</v>
      </c>
      <c r="T33" t="s">
        <v>3</v>
      </c>
      <c r="U33" s="2" t="s">
        <v>1</v>
      </c>
      <c r="V33" s="2" t="s">
        <v>1516</v>
      </c>
      <c r="W33" s="2" t="s">
        <v>187</v>
      </c>
      <c r="X33" s="2" t="s">
        <v>2</v>
      </c>
      <c r="Y33">
        <f t="shared" si="0"/>
        <v>630</v>
      </c>
    </row>
    <row r="34" spans="1:25" ht="409.5" hidden="1" x14ac:dyDescent="0.25">
      <c r="A34" t="s">
        <v>183</v>
      </c>
      <c r="B34" t="s">
        <v>184</v>
      </c>
      <c r="C34" s="2" t="s">
        <v>445</v>
      </c>
      <c r="D34" s="2" t="s">
        <v>444</v>
      </c>
      <c r="E34" s="2" t="s">
        <v>227</v>
      </c>
      <c r="F34" s="2" t="s">
        <v>225</v>
      </c>
      <c r="G34" s="2" t="s">
        <v>478</v>
      </c>
      <c r="H34" s="2" t="s">
        <v>194</v>
      </c>
      <c r="I34" s="2" t="s">
        <v>2</v>
      </c>
      <c r="J34" s="2" t="s">
        <v>622</v>
      </c>
      <c r="K34" s="2" t="s">
        <v>187</v>
      </c>
      <c r="L34" s="2" t="s">
        <v>2</v>
      </c>
      <c r="M34" s="2" t="s">
        <v>2070</v>
      </c>
      <c r="N34" s="2" t="s">
        <v>187</v>
      </c>
      <c r="O34" s="2" t="s">
        <v>1</v>
      </c>
      <c r="P34" s="2" t="s">
        <v>1751</v>
      </c>
      <c r="Q34" s="2" t="s">
        <v>187</v>
      </c>
      <c r="R34" s="2"/>
      <c r="S34" s="2" t="s">
        <v>1517</v>
      </c>
      <c r="T34" t="s">
        <v>3</v>
      </c>
      <c r="U34" s="2" t="s">
        <v>1</v>
      </c>
      <c r="V34" s="2" t="s">
        <v>1518</v>
      </c>
      <c r="W34" s="2" t="s">
        <v>187</v>
      </c>
      <c r="X34" s="2" t="s">
        <v>2</v>
      </c>
      <c r="Y34">
        <f t="shared" si="0"/>
        <v>618</v>
      </c>
    </row>
    <row r="35" spans="1:25" ht="409.5" hidden="1" x14ac:dyDescent="0.25">
      <c r="A35" t="s">
        <v>183</v>
      </c>
      <c r="B35" t="s">
        <v>184</v>
      </c>
      <c r="C35" s="2" t="s">
        <v>445</v>
      </c>
      <c r="D35" s="2" t="s">
        <v>444</v>
      </c>
      <c r="E35" s="2" t="s">
        <v>228</v>
      </c>
      <c r="F35" s="2" t="s">
        <v>225</v>
      </c>
      <c r="G35" s="2" t="s">
        <v>479</v>
      </c>
      <c r="H35" s="2" t="s">
        <v>187</v>
      </c>
      <c r="I35" s="2" t="s">
        <v>2</v>
      </c>
      <c r="J35" s="2" t="s">
        <v>623</v>
      </c>
      <c r="K35" s="2" t="s">
        <v>194</v>
      </c>
      <c r="L35" s="2" t="s">
        <v>2</v>
      </c>
      <c r="M35" s="2" t="s">
        <v>2071</v>
      </c>
      <c r="N35" s="2" t="s">
        <v>187</v>
      </c>
      <c r="O35" s="2" t="s">
        <v>1</v>
      </c>
      <c r="P35" s="2" t="s">
        <v>1752</v>
      </c>
      <c r="Q35" s="2" t="s">
        <v>187</v>
      </c>
      <c r="R35" s="2"/>
      <c r="S35" s="2" t="s">
        <v>1519</v>
      </c>
      <c r="T35" t="s">
        <v>3</v>
      </c>
      <c r="U35" s="2" t="s">
        <v>1</v>
      </c>
      <c r="V35" s="2" t="s">
        <v>1520</v>
      </c>
      <c r="W35" s="2" t="s">
        <v>194</v>
      </c>
      <c r="X35" s="2" t="s">
        <v>2</v>
      </c>
      <c r="Y35">
        <f t="shared" si="0"/>
        <v>619</v>
      </c>
    </row>
    <row r="36" spans="1:25" ht="409.5" hidden="1" x14ac:dyDescent="0.25">
      <c r="A36" t="s">
        <v>183</v>
      </c>
      <c r="B36" t="s">
        <v>184</v>
      </c>
      <c r="C36" s="2" t="s">
        <v>445</v>
      </c>
      <c r="D36" s="2" t="s">
        <v>444</v>
      </c>
      <c r="E36" s="2" t="s">
        <v>229</v>
      </c>
      <c r="F36" s="2" t="s">
        <v>225</v>
      </c>
      <c r="G36" s="2" t="s">
        <v>480</v>
      </c>
      <c r="H36" s="2" t="s">
        <v>194</v>
      </c>
      <c r="I36" s="2" t="s">
        <v>2</v>
      </c>
      <c r="J36" s="2" t="s">
        <v>624</v>
      </c>
      <c r="K36" s="2" t="s">
        <v>187</v>
      </c>
      <c r="L36" s="2" t="s">
        <v>2</v>
      </c>
      <c r="M36" s="2" t="s">
        <v>2072</v>
      </c>
      <c r="N36" s="2" t="s">
        <v>187</v>
      </c>
      <c r="O36" s="2" t="s">
        <v>1</v>
      </c>
      <c r="P36" s="2" t="s">
        <v>1753</v>
      </c>
      <c r="Q36" s="2" t="s">
        <v>187</v>
      </c>
      <c r="R36" s="2"/>
      <c r="S36" s="2" t="s">
        <v>1521</v>
      </c>
      <c r="T36" t="s">
        <v>194</v>
      </c>
      <c r="U36" s="2" t="s">
        <v>1</v>
      </c>
      <c r="V36" s="2" t="s">
        <v>1522</v>
      </c>
      <c r="W36" s="2" t="s">
        <v>187</v>
      </c>
      <c r="X36" s="2" t="s">
        <v>2</v>
      </c>
      <c r="Y36">
        <f t="shared" si="0"/>
        <v>621</v>
      </c>
    </row>
    <row r="37" spans="1:25" ht="409.5" hidden="1" x14ac:dyDescent="0.25">
      <c r="A37" t="s">
        <v>183</v>
      </c>
      <c r="B37" t="s">
        <v>184</v>
      </c>
      <c r="C37" s="2" t="s">
        <v>445</v>
      </c>
      <c r="D37" s="2" t="s">
        <v>444</v>
      </c>
      <c r="E37" s="2" t="s">
        <v>230</v>
      </c>
      <c r="F37" s="2" t="s">
        <v>231</v>
      </c>
      <c r="G37" s="2" t="s">
        <v>481</v>
      </c>
      <c r="H37" s="2" t="s">
        <v>187</v>
      </c>
      <c r="I37" s="2" t="s">
        <v>2</v>
      </c>
      <c r="J37" s="2" t="s">
        <v>625</v>
      </c>
      <c r="K37" s="2" t="s">
        <v>187</v>
      </c>
      <c r="L37" s="2" t="s">
        <v>2</v>
      </c>
      <c r="M37" s="2" t="s">
        <v>2073</v>
      </c>
      <c r="N37" s="2" t="s">
        <v>187</v>
      </c>
      <c r="O37" s="2" t="s">
        <v>1</v>
      </c>
      <c r="P37" s="2" t="s">
        <v>1754</v>
      </c>
      <c r="Q37" s="2" t="s">
        <v>187</v>
      </c>
      <c r="R37" s="2" t="s">
        <v>2</v>
      </c>
      <c r="S37" s="2" t="s">
        <v>2182</v>
      </c>
      <c r="T37" t="s">
        <v>187</v>
      </c>
      <c r="U37" s="2" t="s">
        <v>1</v>
      </c>
      <c r="V37" s="2" t="s">
        <v>1523</v>
      </c>
      <c r="W37" s="2" t="s">
        <v>3</v>
      </c>
      <c r="X37" s="2" t="s">
        <v>2</v>
      </c>
      <c r="Y37">
        <f t="shared" si="0"/>
        <v>618</v>
      </c>
    </row>
    <row r="38" spans="1:25" ht="409.5" hidden="1" x14ac:dyDescent="0.25">
      <c r="A38" t="s">
        <v>183</v>
      </c>
      <c r="B38" t="s">
        <v>184</v>
      </c>
      <c r="C38" s="2" t="s">
        <v>445</v>
      </c>
      <c r="D38" s="2" t="s">
        <v>444</v>
      </c>
      <c r="E38" s="2" t="s">
        <v>232</v>
      </c>
      <c r="F38" s="2" t="s">
        <v>231</v>
      </c>
      <c r="G38" s="2" t="s">
        <v>482</v>
      </c>
      <c r="H38" s="2" t="s">
        <v>187</v>
      </c>
      <c r="I38" s="2" t="s">
        <v>2</v>
      </c>
      <c r="J38" s="2" t="s">
        <v>626</v>
      </c>
      <c r="K38" s="2" t="s">
        <v>194</v>
      </c>
      <c r="L38" s="2" t="s">
        <v>2</v>
      </c>
      <c r="M38" s="2" t="s">
        <v>2074</v>
      </c>
      <c r="N38" s="2" t="s">
        <v>187</v>
      </c>
      <c r="O38" s="2" t="s">
        <v>1</v>
      </c>
      <c r="P38" s="2" t="s">
        <v>1755</v>
      </c>
      <c r="Q38" s="2" t="s">
        <v>187</v>
      </c>
      <c r="R38" s="2" t="s">
        <v>1</v>
      </c>
      <c r="S38" s="2" t="s">
        <v>1524</v>
      </c>
      <c r="T38" t="s">
        <v>187</v>
      </c>
      <c r="U38" s="2" t="s">
        <v>1</v>
      </c>
      <c r="V38" s="2" t="s">
        <v>1525</v>
      </c>
      <c r="W38" s="2" t="s">
        <v>187</v>
      </c>
      <c r="X38" s="2" t="s">
        <v>2</v>
      </c>
      <c r="Y38">
        <f t="shared" si="0"/>
        <v>619</v>
      </c>
    </row>
    <row r="39" spans="1:25" ht="409.5" hidden="1" x14ac:dyDescent="0.25">
      <c r="A39" t="s">
        <v>183</v>
      </c>
      <c r="B39" t="s">
        <v>184</v>
      </c>
      <c r="C39" s="2" t="s">
        <v>445</v>
      </c>
      <c r="D39" s="2" t="s">
        <v>444</v>
      </c>
      <c r="E39" s="2" t="s">
        <v>233</v>
      </c>
      <c r="F39" s="2" t="s">
        <v>231</v>
      </c>
      <c r="G39" s="2" t="s">
        <v>483</v>
      </c>
      <c r="H39" s="2" t="s">
        <v>187</v>
      </c>
      <c r="I39" s="2" t="s">
        <v>2</v>
      </c>
      <c r="J39" s="2" t="s">
        <v>627</v>
      </c>
      <c r="K39" s="2" t="s">
        <v>187</v>
      </c>
      <c r="L39" s="2" t="s">
        <v>2</v>
      </c>
      <c r="M39" s="2" t="s">
        <v>2075</v>
      </c>
      <c r="N39" s="2" t="s">
        <v>187</v>
      </c>
      <c r="O39" s="2" t="s">
        <v>1</v>
      </c>
      <c r="P39" s="2" t="s">
        <v>1756</v>
      </c>
      <c r="Q39" s="2" t="s">
        <v>187</v>
      </c>
      <c r="R39" s="2" t="s">
        <v>1</v>
      </c>
      <c r="S39" s="2" t="s">
        <v>1526</v>
      </c>
      <c r="T39" t="s">
        <v>187</v>
      </c>
      <c r="U39" s="2" t="s">
        <v>1</v>
      </c>
      <c r="V39" s="2" t="s">
        <v>1527</v>
      </c>
      <c r="W39" s="2" t="s">
        <v>187</v>
      </c>
      <c r="X39" s="2" t="s">
        <v>2</v>
      </c>
      <c r="Y39">
        <f t="shared" si="0"/>
        <v>614</v>
      </c>
    </row>
    <row r="40" spans="1:25" ht="409.5" hidden="1" x14ac:dyDescent="0.25">
      <c r="A40" t="s">
        <v>183</v>
      </c>
      <c r="B40" t="s">
        <v>184</v>
      </c>
      <c r="C40" s="2" t="s">
        <v>445</v>
      </c>
      <c r="D40" s="2" t="s">
        <v>444</v>
      </c>
      <c r="E40" s="2" t="s">
        <v>234</v>
      </c>
      <c r="F40" s="2" t="s">
        <v>231</v>
      </c>
      <c r="G40" s="2" t="s">
        <v>484</v>
      </c>
      <c r="H40" s="2" t="s">
        <v>187</v>
      </c>
      <c r="I40" s="2" t="s">
        <v>2</v>
      </c>
      <c r="J40" s="2" t="s">
        <v>628</v>
      </c>
      <c r="K40" s="2" t="s">
        <v>187</v>
      </c>
      <c r="L40" s="2" t="s">
        <v>2</v>
      </c>
      <c r="M40" s="2" t="s">
        <v>2076</v>
      </c>
      <c r="N40" s="2" t="s">
        <v>187</v>
      </c>
      <c r="O40" s="2" t="s">
        <v>1</v>
      </c>
      <c r="P40" s="2" t="s">
        <v>1757</v>
      </c>
      <c r="Q40" s="2" t="s">
        <v>187</v>
      </c>
      <c r="R40" s="2" t="s">
        <v>2</v>
      </c>
      <c r="S40" s="2" t="s">
        <v>1528</v>
      </c>
      <c r="T40" t="s">
        <v>187</v>
      </c>
      <c r="U40" s="2" t="s">
        <v>2</v>
      </c>
      <c r="V40" s="2" t="s">
        <v>1529</v>
      </c>
      <c r="W40" s="2" t="s">
        <v>187</v>
      </c>
      <c r="X40" s="2" t="s">
        <v>2</v>
      </c>
      <c r="Y40">
        <f t="shared" si="0"/>
        <v>618</v>
      </c>
    </row>
    <row r="41" spans="1:25" ht="409.5" hidden="1" x14ac:dyDescent="0.25">
      <c r="A41" t="s">
        <v>183</v>
      </c>
      <c r="B41" t="s">
        <v>184</v>
      </c>
      <c r="C41" s="2" t="s">
        <v>445</v>
      </c>
      <c r="D41" s="2" t="s">
        <v>444</v>
      </c>
      <c r="E41" s="2" t="s">
        <v>235</v>
      </c>
      <c r="F41" s="2" t="s">
        <v>231</v>
      </c>
      <c r="G41" s="2" t="s">
        <v>485</v>
      </c>
      <c r="H41" s="2" t="s">
        <v>187</v>
      </c>
      <c r="I41" s="2" t="s">
        <v>2</v>
      </c>
      <c r="J41" s="2" t="s">
        <v>629</v>
      </c>
      <c r="K41" s="2" t="s">
        <v>187</v>
      </c>
      <c r="L41" s="2" t="s">
        <v>2</v>
      </c>
      <c r="M41" s="2" t="s">
        <v>2077</v>
      </c>
      <c r="N41" s="2" t="s">
        <v>187</v>
      </c>
      <c r="O41" s="2" t="s">
        <v>1</v>
      </c>
      <c r="P41" s="2" t="s">
        <v>1758</v>
      </c>
      <c r="Q41" s="2" t="s">
        <v>187</v>
      </c>
      <c r="R41" s="2" t="s">
        <v>2</v>
      </c>
      <c r="S41" s="2" t="s">
        <v>1530</v>
      </c>
      <c r="T41" t="s">
        <v>187</v>
      </c>
      <c r="U41" s="2" t="s">
        <v>1</v>
      </c>
      <c r="V41" s="2" t="s">
        <v>1531</v>
      </c>
      <c r="W41" s="2" t="s">
        <v>3</v>
      </c>
      <c r="X41" s="2" t="s">
        <v>2</v>
      </c>
      <c r="Y41">
        <f t="shared" si="0"/>
        <v>621</v>
      </c>
    </row>
    <row r="42" spans="1:25" ht="409.5" hidden="1" x14ac:dyDescent="0.25">
      <c r="A42" t="s">
        <v>183</v>
      </c>
      <c r="B42" t="s">
        <v>184</v>
      </c>
      <c r="C42" s="2" t="s">
        <v>445</v>
      </c>
      <c r="D42" s="2" t="s">
        <v>444</v>
      </c>
      <c r="E42" s="2" t="s">
        <v>236</v>
      </c>
      <c r="F42" s="2" t="s">
        <v>237</v>
      </c>
      <c r="G42" s="2" t="s">
        <v>486</v>
      </c>
      <c r="H42" s="2" t="s">
        <v>194</v>
      </c>
      <c r="I42" s="2" t="s">
        <v>2</v>
      </c>
      <c r="J42" s="2" t="s">
        <v>630</v>
      </c>
      <c r="K42" s="2" t="s">
        <v>194</v>
      </c>
      <c r="L42" s="2" t="s">
        <v>2</v>
      </c>
      <c r="M42" s="2" t="s">
        <v>2078</v>
      </c>
      <c r="N42" s="2" t="s">
        <v>3</v>
      </c>
      <c r="O42" s="2" t="s">
        <v>1</v>
      </c>
      <c r="P42" s="2" t="s">
        <v>1759</v>
      </c>
      <c r="Q42" s="2" t="s">
        <v>194</v>
      </c>
      <c r="R42" s="2" t="s">
        <v>1</v>
      </c>
      <c r="S42" s="2" t="s">
        <v>1532</v>
      </c>
      <c r="T42" t="s">
        <v>194</v>
      </c>
      <c r="U42" s="2" t="s">
        <v>2</v>
      </c>
      <c r="V42" s="2" t="s">
        <v>1533</v>
      </c>
      <c r="W42" s="2" t="s">
        <v>194</v>
      </c>
      <c r="X42" s="2" t="s">
        <v>2</v>
      </c>
      <c r="Y42">
        <f t="shared" si="0"/>
        <v>616</v>
      </c>
    </row>
    <row r="43" spans="1:25" ht="409.5" hidden="1" x14ac:dyDescent="0.25">
      <c r="A43" t="s">
        <v>183</v>
      </c>
      <c r="B43" t="s">
        <v>184</v>
      </c>
      <c r="C43" s="2" t="s">
        <v>445</v>
      </c>
      <c r="D43" s="2" t="s">
        <v>444</v>
      </c>
      <c r="E43" s="2" t="s">
        <v>238</v>
      </c>
      <c r="F43" s="2" t="s">
        <v>237</v>
      </c>
      <c r="G43" s="2" t="s">
        <v>487</v>
      </c>
      <c r="H43" s="2" t="s">
        <v>187</v>
      </c>
      <c r="I43" s="2" t="s">
        <v>2</v>
      </c>
      <c r="J43" s="2" t="s">
        <v>631</v>
      </c>
      <c r="K43" s="2" t="s">
        <v>187</v>
      </c>
      <c r="L43" s="2" t="s">
        <v>2</v>
      </c>
      <c r="M43" s="2" t="s">
        <v>2079</v>
      </c>
      <c r="N43" s="2" t="s">
        <v>187</v>
      </c>
      <c r="O43" s="2" t="s">
        <v>1</v>
      </c>
      <c r="P43" s="2" t="s">
        <v>1760</v>
      </c>
      <c r="Q43" s="2" t="s">
        <v>194</v>
      </c>
      <c r="R43" s="2" t="s">
        <v>2</v>
      </c>
      <c r="S43" s="2" t="s">
        <v>1534</v>
      </c>
      <c r="T43" t="s">
        <v>187</v>
      </c>
      <c r="U43" s="2" t="s">
        <v>1</v>
      </c>
      <c r="V43" s="2" t="s">
        <v>1535</v>
      </c>
      <c r="W43" s="2" t="s">
        <v>187</v>
      </c>
      <c r="X43" s="2" t="s">
        <v>2</v>
      </c>
      <c r="Y43">
        <f t="shared" si="0"/>
        <v>610</v>
      </c>
    </row>
    <row r="44" spans="1:25" ht="409.5" hidden="1" x14ac:dyDescent="0.25">
      <c r="A44" t="s">
        <v>183</v>
      </c>
      <c r="B44" t="s">
        <v>184</v>
      </c>
      <c r="C44" s="2" t="s">
        <v>445</v>
      </c>
      <c r="D44" s="2" t="s">
        <v>444</v>
      </c>
      <c r="E44" s="2" t="s">
        <v>239</v>
      </c>
      <c r="F44" s="2" t="s">
        <v>237</v>
      </c>
      <c r="G44" s="2" t="s">
        <v>488</v>
      </c>
      <c r="H44" s="2" t="s">
        <v>187</v>
      </c>
      <c r="I44" s="2" t="s">
        <v>2</v>
      </c>
      <c r="J44" s="2" t="s">
        <v>632</v>
      </c>
      <c r="K44" s="2" t="s">
        <v>187</v>
      </c>
      <c r="L44" s="2" t="s">
        <v>2</v>
      </c>
      <c r="M44" s="2" t="s">
        <v>2080</v>
      </c>
      <c r="N44" s="2" t="s">
        <v>187</v>
      </c>
      <c r="O44" s="2" t="s">
        <v>1</v>
      </c>
      <c r="P44" s="2" t="s">
        <v>1761</v>
      </c>
      <c r="Q44" s="2" t="s">
        <v>194</v>
      </c>
      <c r="R44" s="2" t="s">
        <v>2</v>
      </c>
      <c r="S44" s="2" t="s">
        <v>1536</v>
      </c>
      <c r="T44" t="s">
        <v>187</v>
      </c>
      <c r="U44" s="2" t="s">
        <v>1</v>
      </c>
      <c r="V44" s="2" t="s">
        <v>1537</v>
      </c>
      <c r="W44" s="2" t="s">
        <v>187</v>
      </c>
      <c r="X44" s="2" t="s">
        <v>2</v>
      </c>
      <c r="Y44">
        <f t="shared" si="0"/>
        <v>613</v>
      </c>
    </row>
    <row r="45" spans="1:25" ht="409.5" hidden="1" x14ac:dyDescent="0.25">
      <c r="A45" t="s">
        <v>183</v>
      </c>
      <c r="B45" t="s">
        <v>184</v>
      </c>
      <c r="C45" s="2" t="s">
        <v>445</v>
      </c>
      <c r="D45" s="2" t="s">
        <v>444</v>
      </c>
      <c r="E45" s="2" t="s">
        <v>240</v>
      </c>
      <c r="F45" s="2" t="s">
        <v>237</v>
      </c>
      <c r="G45" s="2" t="s">
        <v>489</v>
      </c>
      <c r="H45" s="2" t="s">
        <v>187</v>
      </c>
      <c r="I45" s="2" t="s">
        <v>2</v>
      </c>
      <c r="J45" s="2" t="s">
        <v>633</v>
      </c>
      <c r="K45" s="2" t="s">
        <v>187</v>
      </c>
      <c r="L45" s="2" t="s">
        <v>2</v>
      </c>
      <c r="M45" s="2" t="s">
        <v>2081</v>
      </c>
      <c r="N45" s="2" t="s">
        <v>187</v>
      </c>
      <c r="O45" s="2" t="s">
        <v>1</v>
      </c>
      <c r="P45" s="2" t="s">
        <v>1762</v>
      </c>
      <c r="Q45" s="2" t="s">
        <v>194</v>
      </c>
      <c r="R45" s="2" t="s">
        <v>2</v>
      </c>
      <c r="S45" s="2" t="s">
        <v>1538</v>
      </c>
      <c r="T45" t="s">
        <v>3</v>
      </c>
      <c r="U45" s="2" t="s">
        <v>1</v>
      </c>
      <c r="V45" s="2" t="s">
        <v>1539</v>
      </c>
      <c r="W45" s="2" t="s">
        <v>187</v>
      </c>
      <c r="X45" s="2" t="s">
        <v>2</v>
      </c>
      <c r="Y45">
        <f t="shared" si="0"/>
        <v>598</v>
      </c>
    </row>
    <row r="46" spans="1:25" ht="409.5" hidden="1" x14ac:dyDescent="0.25">
      <c r="A46" t="s">
        <v>183</v>
      </c>
      <c r="B46" t="s">
        <v>184</v>
      </c>
      <c r="C46" s="2" t="s">
        <v>445</v>
      </c>
      <c r="D46" s="2" t="s">
        <v>444</v>
      </c>
      <c r="E46" s="2" t="s">
        <v>241</v>
      </c>
      <c r="F46" s="2" t="s">
        <v>290</v>
      </c>
      <c r="G46" s="2" t="s">
        <v>490</v>
      </c>
      <c r="H46" s="2" t="s">
        <v>194</v>
      </c>
      <c r="I46" s="2" t="s">
        <v>2</v>
      </c>
      <c r="J46" s="2" t="s">
        <v>634</v>
      </c>
      <c r="K46" s="2" t="s">
        <v>187</v>
      </c>
      <c r="L46" s="2" t="s">
        <v>2</v>
      </c>
      <c r="M46" s="2" t="s">
        <v>2082</v>
      </c>
      <c r="N46" s="2" t="s">
        <v>187</v>
      </c>
      <c r="O46" s="2" t="s">
        <v>1</v>
      </c>
      <c r="P46" s="2" t="s">
        <v>1763</v>
      </c>
      <c r="Q46" s="2" t="s">
        <v>187</v>
      </c>
      <c r="R46" s="2"/>
      <c r="S46" s="2" t="s">
        <v>1540</v>
      </c>
      <c r="T46" t="s">
        <v>194</v>
      </c>
      <c r="U46" s="2" t="s">
        <v>2</v>
      </c>
      <c r="V46" s="2" t="s">
        <v>1541</v>
      </c>
      <c r="W46" s="2" t="s">
        <v>194</v>
      </c>
      <c r="X46" s="2" t="s">
        <v>2</v>
      </c>
      <c r="Y46">
        <f t="shared" si="0"/>
        <v>625</v>
      </c>
    </row>
    <row r="47" spans="1:25" ht="409.5" hidden="1" x14ac:dyDescent="0.25">
      <c r="A47" t="s">
        <v>183</v>
      </c>
      <c r="B47" t="s">
        <v>184</v>
      </c>
      <c r="C47" s="2" t="s">
        <v>445</v>
      </c>
      <c r="D47" s="2" t="s">
        <v>444</v>
      </c>
      <c r="E47" s="2" t="s">
        <v>242</v>
      </c>
      <c r="F47" s="2" t="s">
        <v>243</v>
      </c>
      <c r="G47" s="2" t="s">
        <v>491</v>
      </c>
      <c r="H47" s="2" t="s">
        <v>194</v>
      </c>
      <c r="I47" s="2" t="s">
        <v>2</v>
      </c>
      <c r="J47" s="2" t="s">
        <v>635</v>
      </c>
      <c r="K47" s="2" t="s">
        <v>3</v>
      </c>
      <c r="L47" s="2" t="s">
        <v>2</v>
      </c>
      <c r="M47" s="2" t="s">
        <v>2083</v>
      </c>
      <c r="N47" s="2" t="s">
        <v>187</v>
      </c>
      <c r="O47" s="2" t="s">
        <v>1</v>
      </c>
      <c r="P47" s="2" t="s">
        <v>1764</v>
      </c>
      <c r="Q47" s="2" t="s">
        <v>187</v>
      </c>
      <c r="R47" s="2"/>
      <c r="S47" s="2" t="s">
        <v>2183</v>
      </c>
      <c r="T47" t="s">
        <v>187</v>
      </c>
      <c r="U47" s="2" t="s">
        <v>1</v>
      </c>
      <c r="V47" s="2" t="s">
        <v>1542</v>
      </c>
      <c r="W47" s="2" t="s">
        <v>187</v>
      </c>
      <c r="X47" s="2" t="s">
        <v>2</v>
      </c>
      <c r="Y47">
        <f t="shared" si="0"/>
        <v>633</v>
      </c>
    </row>
    <row r="48" spans="1:25" ht="409.5" hidden="1" x14ac:dyDescent="0.25">
      <c r="A48" t="s">
        <v>183</v>
      </c>
      <c r="B48" t="s">
        <v>184</v>
      </c>
      <c r="C48" s="2" t="s">
        <v>445</v>
      </c>
      <c r="D48" s="2" t="s">
        <v>444</v>
      </c>
      <c r="E48" s="2" t="s">
        <v>244</v>
      </c>
      <c r="F48" s="2" t="s">
        <v>243</v>
      </c>
      <c r="G48" s="2" t="s">
        <v>492</v>
      </c>
      <c r="H48" s="2" t="s">
        <v>187</v>
      </c>
      <c r="I48" s="2" t="s">
        <v>2</v>
      </c>
      <c r="J48" s="2" t="s">
        <v>636</v>
      </c>
      <c r="K48" s="2" t="s">
        <v>187</v>
      </c>
      <c r="L48" s="2" t="s">
        <v>2</v>
      </c>
      <c r="M48" s="2" t="s">
        <v>2084</v>
      </c>
      <c r="N48" s="2" t="s">
        <v>187</v>
      </c>
      <c r="O48" s="2" t="s">
        <v>1</v>
      </c>
      <c r="P48" s="2" t="s">
        <v>1765</v>
      </c>
      <c r="Q48" s="2" t="s">
        <v>194</v>
      </c>
      <c r="R48" s="2"/>
      <c r="S48" s="2" t="s">
        <v>1543</v>
      </c>
      <c r="T48" t="s">
        <v>3</v>
      </c>
      <c r="U48" s="2" t="s">
        <v>1</v>
      </c>
      <c r="V48" s="2" t="s">
        <v>1544</v>
      </c>
      <c r="W48" s="2" t="s">
        <v>187</v>
      </c>
      <c r="X48" s="2" t="s">
        <v>2</v>
      </c>
      <c r="Y48">
        <f t="shared" si="0"/>
        <v>631</v>
      </c>
    </row>
    <row r="49" spans="1:25" ht="409.5" hidden="1" x14ac:dyDescent="0.25">
      <c r="A49" t="s">
        <v>183</v>
      </c>
      <c r="B49" t="s">
        <v>184</v>
      </c>
      <c r="C49" s="2" t="s">
        <v>445</v>
      </c>
      <c r="D49" s="2" t="s">
        <v>444</v>
      </c>
      <c r="E49" s="2" t="s">
        <v>245</v>
      </c>
      <c r="F49" s="2" t="s">
        <v>243</v>
      </c>
      <c r="G49" s="2" t="s">
        <v>493</v>
      </c>
      <c r="H49" s="2" t="s">
        <v>187</v>
      </c>
      <c r="I49" s="2" t="s">
        <v>2</v>
      </c>
      <c r="J49" s="2" t="s">
        <v>637</v>
      </c>
      <c r="K49" s="2" t="s">
        <v>187</v>
      </c>
      <c r="L49" s="2" t="s">
        <v>2</v>
      </c>
      <c r="M49" s="2" t="s">
        <v>2085</v>
      </c>
      <c r="N49" s="2" t="s">
        <v>187</v>
      </c>
      <c r="O49" s="2" t="s">
        <v>1</v>
      </c>
      <c r="P49" s="2" t="s">
        <v>1766</v>
      </c>
      <c r="Q49" s="2" t="s">
        <v>187</v>
      </c>
      <c r="R49" s="2"/>
      <c r="S49" s="2" t="s">
        <v>2203</v>
      </c>
      <c r="T49" s="2" t="s">
        <v>187</v>
      </c>
      <c r="U49" s="2" t="s">
        <v>1</v>
      </c>
      <c r="V49" s="2" t="s">
        <v>1545</v>
      </c>
      <c r="W49" s="2" t="s">
        <v>187</v>
      </c>
      <c r="X49" s="2" t="s">
        <v>2</v>
      </c>
      <c r="Y49">
        <f t="shared" si="0"/>
        <v>627</v>
      </c>
    </row>
    <row r="50" spans="1:25" ht="409.5" hidden="1" x14ac:dyDescent="0.25">
      <c r="A50" t="s">
        <v>183</v>
      </c>
      <c r="B50" t="s">
        <v>184</v>
      </c>
      <c r="C50" s="2" t="s">
        <v>445</v>
      </c>
      <c r="D50" s="2" t="s">
        <v>444</v>
      </c>
      <c r="E50" s="2" t="s">
        <v>246</v>
      </c>
      <c r="F50" s="2" t="s">
        <v>243</v>
      </c>
      <c r="G50" s="2" t="s">
        <v>494</v>
      </c>
      <c r="H50" s="2" t="s">
        <v>194</v>
      </c>
      <c r="I50" s="2" t="s">
        <v>2</v>
      </c>
      <c r="J50" s="2" t="s">
        <v>638</v>
      </c>
      <c r="K50" s="2" t="s">
        <v>187</v>
      </c>
      <c r="L50" s="2" t="s">
        <v>2</v>
      </c>
      <c r="M50" s="2" t="s">
        <v>2086</v>
      </c>
      <c r="N50" s="2" t="s">
        <v>187</v>
      </c>
      <c r="O50" s="2" t="s">
        <v>1</v>
      </c>
      <c r="P50" s="2" t="s">
        <v>1767</v>
      </c>
      <c r="Q50" s="2" t="s">
        <v>187</v>
      </c>
      <c r="R50" s="2"/>
      <c r="S50" s="2" t="s">
        <v>2204</v>
      </c>
      <c r="T50" s="2" t="s">
        <v>187</v>
      </c>
      <c r="U50" s="2" t="s">
        <v>1</v>
      </c>
      <c r="V50" s="2" t="s">
        <v>1546</v>
      </c>
      <c r="W50" s="2" t="s">
        <v>187</v>
      </c>
      <c r="X50" s="2" t="s">
        <v>2</v>
      </c>
      <c r="Y50">
        <f t="shared" si="0"/>
        <v>627</v>
      </c>
    </row>
    <row r="51" spans="1:25" ht="409.5" hidden="1" x14ac:dyDescent="0.25">
      <c r="A51" t="s">
        <v>183</v>
      </c>
      <c r="B51" t="s">
        <v>184</v>
      </c>
      <c r="C51" s="2" t="s">
        <v>445</v>
      </c>
      <c r="D51" s="2" t="s">
        <v>444</v>
      </c>
      <c r="E51" s="2" t="s">
        <v>247</v>
      </c>
      <c r="F51" s="2" t="s">
        <v>243</v>
      </c>
      <c r="G51" s="2" t="s">
        <v>495</v>
      </c>
      <c r="H51" s="2" t="s">
        <v>187</v>
      </c>
      <c r="I51" s="2" t="s">
        <v>2</v>
      </c>
      <c r="J51" s="2" t="s">
        <v>639</v>
      </c>
      <c r="K51" s="2" t="s">
        <v>187</v>
      </c>
      <c r="L51" s="2" t="s">
        <v>2</v>
      </c>
      <c r="M51" s="2" t="s">
        <v>2087</v>
      </c>
      <c r="N51" s="2" t="s">
        <v>187</v>
      </c>
      <c r="O51" s="2" t="s">
        <v>1</v>
      </c>
      <c r="P51" s="2" t="s">
        <v>1768</v>
      </c>
      <c r="Q51" s="2" t="s">
        <v>187</v>
      </c>
      <c r="R51" s="2"/>
      <c r="S51" s="2" t="s">
        <v>2205</v>
      </c>
      <c r="T51" s="2" t="s">
        <v>187</v>
      </c>
      <c r="U51" s="2" t="s">
        <v>1</v>
      </c>
      <c r="V51" s="2" t="s">
        <v>1547</v>
      </c>
      <c r="W51" s="2" t="s">
        <v>187</v>
      </c>
      <c r="X51" s="2" t="s">
        <v>2</v>
      </c>
      <c r="Y51">
        <f t="shared" si="0"/>
        <v>632</v>
      </c>
    </row>
    <row r="52" spans="1:25" ht="409.5" hidden="1" x14ac:dyDescent="0.25">
      <c r="A52" t="s">
        <v>183</v>
      </c>
      <c r="B52" t="s">
        <v>184</v>
      </c>
      <c r="C52" s="2" t="s">
        <v>445</v>
      </c>
      <c r="D52" s="2" t="s">
        <v>444</v>
      </c>
      <c r="E52" s="2" t="s">
        <v>248</v>
      </c>
      <c r="F52" s="2" t="s">
        <v>249</v>
      </c>
      <c r="G52" s="2" t="s">
        <v>496</v>
      </c>
      <c r="H52" s="2" t="s">
        <v>187</v>
      </c>
      <c r="I52" s="2" t="s">
        <v>2</v>
      </c>
      <c r="J52" s="2" t="s">
        <v>640</v>
      </c>
      <c r="K52" s="2" t="s">
        <v>3</v>
      </c>
      <c r="L52" s="2" t="s">
        <v>2</v>
      </c>
      <c r="M52" s="2" t="s">
        <v>2088</v>
      </c>
      <c r="N52" s="2" t="s">
        <v>187</v>
      </c>
      <c r="O52" s="2" t="s">
        <v>1</v>
      </c>
      <c r="P52" s="2" t="s">
        <v>1769</v>
      </c>
      <c r="Q52" s="2" t="s">
        <v>187</v>
      </c>
      <c r="R52" s="2" t="s">
        <v>1</v>
      </c>
      <c r="S52" s="2" t="s">
        <v>1548</v>
      </c>
      <c r="T52" t="s">
        <v>187</v>
      </c>
      <c r="U52" s="2" t="s">
        <v>2</v>
      </c>
      <c r="V52" s="2" t="s">
        <v>1549</v>
      </c>
      <c r="W52" s="2" t="s">
        <v>187</v>
      </c>
      <c r="X52" s="2" t="s">
        <v>2</v>
      </c>
      <c r="Y52">
        <f t="shared" si="0"/>
        <v>626</v>
      </c>
    </row>
    <row r="53" spans="1:25" ht="409.5" hidden="1" x14ac:dyDescent="0.25">
      <c r="A53" t="s">
        <v>183</v>
      </c>
      <c r="B53" t="s">
        <v>184</v>
      </c>
      <c r="C53" s="2" t="s">
        <v>445</v>
      </c>
      <c r="D53" s="2" t="s">
        <v>444</v>
      </c>
      <c r="E53" s="2" t="s">
        <v>250</v>
      </c>
      <c r="F53" s="2" t="s">
        <v>249</v>
      </c>
      <c r="G53" s="2" t="s">
        <v>497</v>
      </c>
      <c r="H53" s="2" t="s">
        <v>187</v>
      </c>
      <c r="I53" s="2" t="s">
        <v>2</v>
      </c>
      <c r="J53" s="2" t="s">
        <v>641</v>
      </c>
      <c r="K53" s="2" t="s">
        <v>187</v>
      </c>
      <c r="L53" s="2" t="s">
        <v>2</v>
      </c>
      <c r="M53" s="2" t="s">
        <v>2089</v>
      </c>
      <c r="N53" s="2" t="s">
        <v>187</v>
      </c>
      <c r="O53" s="2" t="s">
        <v>1</v>
      </c>
      <c r="P53" s="2" t="s">
        <v>1770</v>
      </c>
      <c r="Q53" s="2" t="s">
        <v>194</v>
      </c>
      <c r="R53" s="2" t="s">
        <v>2</v>
      </c>
      <c r="S53" s="2" t="s">
        <v>1550</v>
      </c>
      <c r="T53" t="s">
        <v>194</v>
      </c>
      <c r="U53" s="2" t="s">
        <v>1</v>
      </c>
      <c r="V53" s="2" t="s">
        <v>1551</v>
      </c>
      <c r="W53" s="2" t="s">
        <v>194</v>
      </c>
      <c r="X53" s="2" t="s">
        <v>1</v>
      </c>
      <c r="Y53">
        <f t="shared" si="0"/>
        <v>615</v>
      </c>
    </row>
    <row r="54" spans="1:25" ht="409.5" hidden="1" x14ac:dyDescent="0.25">
      <c r="A54" t="s">
        <v>183</v>
      </c>
      <c r="B54" t="s">
        <v>184</v>
      </c>
      <c r="C54" s="2" t="s">
        <v>445</v>
      </c>
      <c r="D54" s="2" t="s">
        <v>444</v>
      </c>
      <c r="E54" s="2" t="s">
        <v>251</v>
      </c>
      <c r="F54" s="2" t="s">
        <v>249</v>
      </c>
      <c r="G54" s="2" t="s">
        <v>498</v>
      </c>
      <c r="H54" s="2" t="s">
        <v>194</v>
      </c>
      <c r="I54" s="2" t="s">
        <v>2</v>
      </c>
      <c r="J54" s="2" t="s">
        <v>642</v>
      </c>
      <c r="K54" s="2" t="s">
        <v>194</v>
      </c>
      <c r="L54" s="2" t="s">
        <v>2</v>
      </c>
      <c r="M54" s="2" t="s">
        <v>2090</v>
      </c>
      <c r="N54" s="2" t="s">
        <v>187</v>
      </c>
      <c r="O54" s="2" t="s">
        <v>1</v>
      </c>
      <c r="P54" s="2" t="s">
        <v>1771</v>
      </c>
      <c r="Q54" s="2" t="s">
        <v>194</v>
      </c>
      <c r="R54" s="2" t="s">
        <v>1</v>
      </c>
      <c r="S54" s="2" t="s">
        <v>1552</v>
      </c>
      <c r="T54" t="s">
        <v>3</v>
      </c>
      <c r="U54" s="2" t="s">
        <v>1</v>
      </c>
      <c r="V54" s="2" t="s">
        <v>1553</v>
      </c>
      <c r="W54" s="2" t="s">
        <v>187</v>
      </c>
      <c r="X54" s="2" t="s">
        <v>2</v>
      </c>
      <c r="Y54">
        <f t="shared" si="0"/>
        <v>619</v>
      </c>
    </row>
    <row r="55" spans="1:25" ht="409.5" hidden="1" x14ac:dyDescent="0.25">
      <c r="A55" t="s">
        <v>183</v>
      </c>
      <c r="B55" t="s">
        <v>184</v>
      </c>
      <c r="C55" s="2" t="s">
        <v>445</v>
      </c>
      <c r="D55" s="2" t="s">
        <v>444</v>
      </c>
      <c r="E55" s="2" t="s">
        <v>252</v>
      </c>
      <c r="F55" s="2" t="s">
        <v>249</v>
      </c>
      <c r="G55" s="2" t="s">
        <v>499</v>
      </c>
      <c r="H55" s="2" t="s">
        <v>187</v>
      </c>
      <c r="I55" s="2" t="s">
        <v>2</v>
      </c>
      <c r="J55" s="2" t="s">
        <v>643</v>
      </c>
      <c r="K55" s="2" t="s">
        <v>194</v>
      </c>
      <c r="L55" s="2" t="s">
        <v>2</v>
      </c>
      <c r="M55" s="2" t="s">
        <v>2091</v>
      </c>
      <c r="N55" s="2" t="s">
        <v>194</v>
      </c>
      <c r="O55" s="2" t="s">
        <v>1</v>
      </c>
      <c r="P55" s="2" t="s">
        <v>1772</v>
      </c>
      <c r="Q55" s="2" t="s">
        <v>194</v>
      </c>
      <c r="R55" s="2" t="s">
        <v>2</v>
      </c>
      <c r="S55" s="2" t="s">
        <v>1554</v>
      </c>
      <c r="T55" t="s">
        <v>194</v>
      </c>
      <c r="U55" s="2" t="s">
        <v>2</v>
      </c>
      <c r="V55" s="2" t="s">
        <v>1555</v>
      </c>
      <c r="W55" s="2" t="s">
        <v>194</v>
      </c>
      <c r="X55" s="2" t="s">
        <v>2</v>
      </c>
      <c r="Y55">
        <f t="shared" si="0"/>
        <v>621</v>
      </c>
    </row>
    <row r="56" spans="1:25" ht="409.5" hidden="1" x14ac:dyDescent="0.25">
      <c r="A56" t="s">
        <v>183</v>
      </c>
      <c r="B56" t="s">
        <v>184</v>
      </c>
      <c r="C56" s="2" t="s">
        <v>445</v>
      </c>
      <c r="D56" s="2" t="s">
        <v>444</v>
      </c>
      <c r="E56" s="2" t="s">
        <v>253</v>
      </c>
      <c r="F56" s="2" t="s">
        <v>249</v>
      </c>
      <c r="G56" s="2" t="s">
        <v>500</v>
      </c>
      <c r="H56" s="2" t="s">
        <v>194</v>
      </c>
      <c r="I56" s="2" t="s">
        <v>2</v>
      </c>
      <c r="J56" s="2" t="s">
        <v>644</v>
      </c>
      <c r="K56" s="2" t="s">
        <v>194</v>
      </c>
      <c r="L56" s="2" t="s">
        <v>2</v>
      </c>
      <c r="M56" s="2" t="s">
        <v>2092</v>
      </c>
      <c r="N56" s="2" t="s">
        <v>187</v>
      </c>
      <c r="O56" s="2" t="s">
        <v>1</v>
      </c>
      <c r="P56" s="2" t="s">
        <v>1773</v>
      </c>
      <c r="Q56" s="2" t="s">
        <v>194</v>
      </c>
      <c r="R56" s="2" t="s">
        <v>2</v>
      </c>
      <c r="S56" s="2" t="s">
        <v>2206</v>
      </c>
      <c r="T56" s="2" t="s">
        <v>187</v>
      </c>
      <c r="U56" s="2" t="s">
        <v>1</v>
      </c>
      <c r="V56" s="2" t="s">
        <v>1556</v>
      </c>
      <c r="W56" s="2" t="s">
        <v>194</v>
      </c>
      <c r="X56" s="2" t="s">
        <v>2</v>
      </c>
      <c r="Y56">
        <f t="shared" si="0"/>
        <v>622</v>
      </c>
    </row>
    <row r="57" spans="1:25" ht="409.5" hidden="1" x14ac:dyDescent="0.25">
      <c r="A57" t="s">
        <v>183</v>
      </c>
      <c r="B57" t="s">
        <v>184</v>
      </c>
      <c r="C57" s="2" t="s">
        <v>445</v>
      </c>
      <c r="D57" s="2" t="s">
        <v>444</v>
      </c>
      <c r="E57" s="2" t="s">
        <v>254</v>
      </c>
      <c r="F57" s="2" t="s">
        <v>72</v>
      </c>
      <c r="G57" s="2" t="s">
        <v>501</v>
      </c>
      <c r="H57" s="2" t="s">
        <v>194</v>
      </c>
      <c r="I57" s="2" t="s">
        <v>2</v>
      </c>
      <c r="J57" s="2" t="s">
        <v>645</v>
      </c>
      <c r="K57" s="2" t="s">
        <v>187</v>
      </c>
      <c r="L57" s="2" t="s">
        <v>2</v>
      </c>
      <c r="M57" s="2" t="s">
        <v>2093</v>
      </c>
      <c r="N57" s="2" t="s">
        <v>187</v>
      </c>
      <c r="O57" s="2" t="s">
        <v>1</v>
      </c>
      <c r="P57" s="2" t="s">
        <v>1774</v>
      </c>
      <c r="Q57" s="2" t="s">
        <v>187</v>
      </c>
      <c r="R57" s="2"/>
      <c r="S57" s="2" t="s">
        <v>1557</v>
      </c>
      <c r="T57" t="s">
        <v>187</v>
      </c>
      <c r="U57" s="2" t="s">
        <v>1</v>
      </c>
      <c r="V57" s="2" t="s">
        <v>1558</v>
      </c>
      <c r="W57" s="2" t="s">
        <v>187</v>
      </c>
      <c r="X57" s="2" t="s">
        <v>2</v>
      </c>
      <c r="Y57">
        <f t="shared" si="0"/>
        <v>609</v>
      </c>
    </row>
    <row r="58" spans="1:25" ht="409.5" hidden="1" x14ac:dyDescent="0.25">
      <c r="A58" t="s">
        <v>183</v>
      </c>
      <c r="B58" t="s">
        <v>184</v>
      </c>
      <c r="C58" s="2" t="s">
        <v>445</v>
      </c>
      <c r="D58" s="2" t="s">
        <v>444</v>
      </c>
      <c r="E58" s="2" t="s">
        <v>255</v>
      </c>
      <c r="F58" s="2" t="s">
        <v>72</v>
      </c>
      <c r="G58" s="2" t="s">
        <v>502</v>
      </c>
      <c r="H58" s="2" t="s">
        <v>187</v>
      </c>
      <c r="I58" s="2" t="s">
        <v>2</v>
      </c>
      <c r="J58" s="2" t="s">
        <v>646</v>
      </c>
      <c r="K58" s="2" t="s">
        <v>187</v>
      </c>
      <c r="L58" s="2" t="s">
        <v>2</v>
      </c>
      <c r="M58" s="2" t="s">
        <v>2094</v>
      </c>
      <c r="N58" s="2" t="s">
        <v>194</v>
      </c>
      <c r="O58" s="2" t="s">
        <v>1</v>
      </c>
      <c r="P58" s="2" t="s">
        <v>1775</v>
      </c>
      <c r="Q58" s="2" t="s">
        <v>194</v>
      </c>
      <c r="R58" s="2"/>
      <c r="S58" s="2" t="s">
        <v>2184</v>
      </c>
      <c r="T58" t="s">
        <v>187</v>
      </c>
      <c r="U58" s="2" t="s">
        <v>1</v>
      </c>
      <c r="V58" s="2" t="s">
        <v>1559</v>
      </c>
      <c r="W58" s="2" t="s">
        <v>194</v>
      </c>
      <c r="X58" s="2" t="s">
        <v>2</v>
      </c>
      <c r="Y58">
        <f t="shared" si="0"/>
        <v>607</v>
      </c>
    </row>
    <row r="59" spans="1:25" ht="409.5" hidden="1" x14ac:dyDescent="0.25">
      <c r="A59" t="s">
        <v>183</v>
      </c>
      <c r="B59" t="s">
        <v>184</v>
      </c>
      <c r="C59" s="2" t="s">
        <v>445</v>
      </c>
      <c r="D59" s="2" t="s">
        <v>444</v>
      </c>
      <c r="E59" s="2" t="s">
        <v>256</v>
      </c>
      <c r="F59" s="2" t="s">
        <v>72</v>
      </c>
      <c r="G59" s="2" t="s">
        <v>503</v>
      </c>
      <c r="H59" s="2" t="s">
        <v>187</v>
      </c>
      <c r="I59" s="2" t="s">
        <v>2</v>
      </c>
      <c r="J59" s="2" t="s">
        <v>647</v>
      </c>
      <c r="K59" s="2" t="s">
        <v>3</v>
      </c>
      <c r="L59" s="2" t="s">
        <v>2</v>
      </c>
      <c r="M59" s="2" t="s">
        <v>2095</v>
      </c>
      <c r="N59" s="2" t="s">
        <v>3</v>
      </c>
      <c r="O59" s="2" t="s">
        <v>2</v>
      </c>
      <c r="P59" s="2" t="s">
        <v>1776</v>
      </c>
      <c r="Q59" s="2" t="s">
        <v>187</v>
      </c>
      <c r="R59" s="2"/>
      <c r="S59" s="2" t="s">
        <v>1560</v>
      </c>
      <c r="T59" t="s">
        <v>187</v>
      </c>
      <c r="U59" s="2" t="s">
        <v>1</v>
      </c>
      <c r="V59" s="2" t="s">
        <v>1561</v>
      </c>
      <c r="W59" s="2" t="s">
        <v>187</v>
      </c>
      <c r="X59" s="2" t="s">
        <v>2</v>
      </c>
      <c r="Y59">
        <f t="shared" si="0"/>
        <v>592</v>
      </c>
    </row>
    <row r="60" spans="1:25" ht="409.5" x14ac:dyDescent="0.25">
      <c r="A60" t="s">
        <v>183</v>
      </c>
      <c r="B60" t="s">
        <v>184</v>
      </c>
      <c r="C60" s="2" t="s">
        <v>445</v>
      </c>
      <c r="D60" s="2" t="s">
        <v>444</v>
      </c>
      <c r="E60" s="2" t="s">
        <v>257</v>
      </c>
      <c r="F60" s="2" t="s">
        <v>72</v>
      </c>
      <c r="G60" s="2" t="s">
        <v>504</v>
      </c>
      <c r="H60" s="2" t="s">
        <v>187</v>
      </c>
      <c r="I60" s="2" t="s">
        <v>2</v>
      </c>
      <c r="J60" s="2" t="s">
        <v>648</v>
      </c>
      <c r="K60" s="2" t="s">
        <v>187</v>
      </c>
      <c r="L60" s="2" t="s">
        <v>2</v>
      </c>
      <c r="M60" s="2" t="s">
        <v>2096</v>
      </c>
      <c r="N60" s="2" t="s">
        <v>187</v>
      </c>
      <c r="O60" s="2" t="s">
        <v>1</v>
      </c>
      <c r="P60" s="2" t="s">
        <v>1777</v>
      </c>
      <c r="Q60" s="2" t="s">
        <v>187</v>
      </c>
      <c r="R60" s="2"/>
      <c r="S60" s="2" t="s">
        <v>1562</v>
      </c>
      <c r="T60" s="2" t="s">
        <v>187</v>
      </c>
      <c r="U60" s="2" t="s">
        <v>1</v>
      </c>
      <c r="V60" s="2" t="s">
        <v>1563</v>
      </c>
      <c r="W60" s="2" t="s">
        <v>3</v>
      </c>
      <c r="X60" s="2" t="s">
        <v>2</v>
      </c>
      <c r="Y60">
        <f t="shared" si="0"/>
        <v>621</v>
      </c>
    </row>
    <row r="61" spans="1:25" ht="409.5" hidden="1" x14ac:dyDescent="0.25">
      <c r="A61" t="s">
        <v>183</v>
      </c>
      <c r="B61" t="s">
        <v>184</v>
      </c>
      <c r="C61" s="2" t="s">
        <v>445</v>
      </c>
      <c r="D61" s="2" t="s">
        <v>444</v>
      </c>
      <c r="E61" s="2" t="s">
        <v>258</v>
      </c>
      <c r="F61" s="2" t="s">
        <v>72</v>
      </c>
      <c r="G61" s="2" t="s">
        <v>505</v>
      </c>
      <c r="H61" s="2" t="s">
        <v>187</v>
      </c>
      <c r="I61" s="2" t="s">
        <v>2</v>
      </c>
      <c r="J61" s="2" t="s">
        <v>649</v>
      </c>
      <c r="K61" s="2" t="s">
        <v>187</v>
      </c>
      <c r="L61" s="2" t="s">
        <v>2</v>
      </c>
      <c r="M61" s="2" t="s">
        <v>2097</v>
      </c>
      <c r="N61" s="2" t="s">
        <v>187</v>
      </c>
      <c r="O61" s="2" t="s">
        <v>1</v>
      </c>
      <c r="P61" s="2" t="s">
        <v>1778</v>
      </c>
      <c r="Q61" s="2" t="s">
        <v>187</v>
      </c>
      <c r="R61" s="2"/>
      <c r="S61" s="2" t="s">
        <v>1564</v>
      </c>
      <c r="T61" t="s">
        <v>3</v>
      </c>
      <c r="U61" s="2" t="s">
        <v>1</v>
      </c>
      <c r="V61" s="2" t="s">
        <v>1565</v>
      </c>
      <c r="W61" s="2" t="s">
        <v>194</v>
      </c>
      <c r="X61" s="2" t="s">
        <v>2</v>
      </c>
      <c r="Y61">
        <f t="shared" si="0"/>
        <v>618</v>
      </c>
    </row>
    <row r="62" spans="1:25" ht="409.5" hidden="1" x14ac:dyDescent="0.25">
      <c r="A62" t="s">
        <v>183</v>
      </c>
      <c r="B62" t="s">
        <v>184</v>
      </c>
      <c r="C62" s="2" t="s">
        <v>445</v>
      </c>
      <c r="D62" s="2" t="s">
        <v>444</v>
      </c>
      <c r="E62" s="2" t="s">
        <v>259</v>
      </c>
      <c r="F62" s="2" t="s">
        <v>260</v>
      </c>
      <c r="G62" s="2" t="s">
        <v>506</v>
      </c>
      <c r="H62" s="2" t="s">
        <v>187</v>
      </c>
      <c r="I62" s="2" t="s">
        <v>2</v>
      </c>
      <c r="J62" s="2" t="s">
        <v>650</v>
      </c>
      <c r="K62" s="2" t="s">
        <v>194</v>
      </c>
      <c r="L62" s="2" t="s">
        <v>2</v>
      </c>
      <c r="M62" s="2" t="s">
        <v>2098</v>
      </c>
      <c r="N62" s="2" t="s">
        <v>187</v>
      </c>
      <c r="O62" s="2" t="s">
        <v>1</v>
      </c>
      <c r="P62" s="2" t="s">
        <v>1779</v>
      </c>
      <c r="Q62" s="2" t="s">
        <v>194</v>
      </c>
      <c r="R62" s="2"/>
      <c r="S62" s="2" t="s">
        <v>1566</v>
      </c>
      <c r="T62" t="s">
        <v>194</v>
      </c>
      <c r="U62" s="2" t="s">
        <v>1</v>
      </c>
      <c r="V62" s="2" t="s">
        <v>1567</v>
      </c>
      <c r="W62" s="2" t="s">
        <v>187</v>
      </c>
      <c r="X62" s="2" t="s">
        <v>2</v>
      </c>
      <c r="Y62">
        <f t="shared" si="0"/>
        <v>623</v>
      </c>
    </row>
    <row r="63" spans="1:25" ht="409.5" hidden="1" x14ac:dyDescent="0.25">
      <c r="A63" t="s">
        <v>183</v>
      </c>
      <c r="B63" t="s">
        <v>184</v>
      </c>
      <c r="C63" s="2" t="s">
        <v>445</v>
      </c>
      <c r="D63" s="2" t="s">
        <v>444</v>
      </c>
      <c r="E63" s="2" t="s">
        <v>261</v>
      </c>
      <c r="F63" s="2" t="s">
        <v>260</v>
      </c>
      <c r="G63" s="2" t="s">
        <v>507</v>
      </c>
      <c r="H63" s="2" t="s">
        <v>187</v>
      </c>
      <c r="I63" s="2" t="s">
        <v>2</v>
      </c>
      <c r="J63" s="2" t="s">
        <v>651</v>
      </c>
      <c r="K63" s="2" t="s">
        <v>187</v>
      </c>
      <c r="L63" s="2" t="s">
        <v>2</v>
      </c>
      <c r="M63" s="2" t="s">
        <v>2099</v>
      </c>
      <c r="N63" s="2" t="s">
        <v>187</v>
      </c>
      <c r="O63" s="2" t="s">
        <v>1</v>
      </c>
      <c r="P63" s="2" t="s">
        <v>1780</v>
      </c>
      <c r="Q63" s="2" t="s">
        <v>187</v>
      </c>
      <c r="R63" s="2"/>
      <c r="S63" s="2" t="s">
        <v>1568</v>
      </c>
      <c r="T63" t="s">
        <v>187</v>
      </c>
      <c r="U63" s="2" t="s">
        <v>1</v>
      </c>
      <c r="V63" s="2" t="s">
        <v>1569</v>
      </c>
      <c r="W63" s="2" t="s">
        <v>187</v>
      </c>
      <c r="X63" s="2" t="s">
        <v>2</v>
      </c>
      <c r="Y63">
        <f t="shared" si="0"/>
        <v>625</v>
      </c>
    </row>
    <row r="64" spans="1:25" ht="409.5" hidden="1" x14ac:dyDescent="0.25">
      <c r="A64" t="s">
        <v>183</v>
      </c>
      <c r="B64" t="s">
        <v>184</v>
      </c>
      <c r="C64" s="2" t="s">
        <v>445</v>
      </c>
      <c r="D64" s="2" t="s">
        <v>444</v>
      </c>
      <c r="E64" s="2" t="s">
        <v>262</v>
      </c>
      <c r="F64" s="2" t="s">
        <v>260</v>
      </c>
      <c r="G64" s="2" t="s">
        <v>508</v>
      </c>
      <c r="H64" s="2" t="s">
        <v>194</v>
      </c>
      <c r="I64" s="2" t="s">
        <v>2</v>
      </c>
      <c r="J64" s="2" t="s">
        <v>652</v>
      </c>
      <c r="K64" s="2" t="s">
        <v>187</v>
      </c>
      <c r="L64" s="2" t="s">
        <v>2</v>
      </c>
      <c r="M64" s="2" t="s">
        <v>2100</v>
      </c>
      <c r="N64" s="2" t="s">
        <v>187</v>
      </c>
      <c r="O64" s="2" t="s">
        <v>1</v>
      </c>
      <c r="P64" s="2" t="s">
        <v>1781</v>
      </c>
      <c r="Q64" s="2" t="s">
        <v>187</v>
      </c>
      <c r="R64" s="2"/>
      <c r="S64" s="2" t="s">
        <v>1570</v>
      </c>
      <c r="T64" t="s">
        <v>187</v>
      </c>
      <c r="U64" s="2" t="s">
        <v>1</v>
      </c>
      <c r="V64" s="2" t="s">
        <v>1571</v>
      </c>
      <c r="W64" s="2" t="s">
        <v>187</v>
      </c>
      <c r="X64" s="2" t="s">
        <v>2</v>
      </c>
      <c r="Y64">
        <f t="shared" si="0"/>
        <v>618</v>
      </c>
    </row>
    <row r="65" spans="1:25" ht="409.5" hidden="1" x14ac:dyDescent="0.25">
      <c r="A65" t="s">
        <v>183</v>
      </c>
      <c r="B65" t="s">
        <v>184</v>
      </c>
      <c r="C65" s="2" t="s">
        <v>445</v>
      </c>
      <c r="D65" s="2" t="s">
        <v>444</v>
      </c>
      <c r="E65" s="2" t="s">
        <v>263</v>
      </c>
      <c r="F65" s="2" t="s">
        <v>260</v>
      </c>
      <c r="G65" s="2" t="s">
        <v>509</v>
      </c>
      <c r="H65" s="2" t="s">
        <v>194</v>
      </c>
      <c r="I65" s="2" t="s">
        <v>2</v>
      </c>
      <c r="J65" s="2" t="s">
        <v>653</v>
      </c>
      <c r="K65" s="2" t="s">
        <v>194</v>
      </c>
      <c r="L65" s="2" t="s">
        <v>2</v>
      </c>
      <c r="M65" s="2" t="s">
        <v>2101</v>
      </c>
      <c r="N65" s="2" t="s">
        <v>187</v>
      </c>
      <c r="O65" s="2" t="s">
        <v>1</v>
      </c>
      <c r="P65" s="2" t="s">
        <v>1782</v>
      </c>
      <c r="Q65" s="2" t="s">
        <v>194</v>
      </c>
      <c r="R65" s="2"/>
      <c r="S65" s="2" t="s">
        <v>1572</v>
      </c>
      <c r="T65" t="s">
        <v>194</v>
      </c>
      <c r="U65" s="2" t="s">
        <v>1</v>
      </c>
      <c r="V65" s="2" t="s">
        <v>1573</v>
      </c>
      <c r="W65" s="2" t="s">
        <v>187</v>
      </c>
      <c r="X65" s="2" t="s">
        <v>2</v>
      </c>
      <c r="Y65">
        <f t="shared" si="0"/>
        <v>620</v>
      </c>
    </row>
    <row r="66" spans="1:25" ht="409.5" hidden="1" x14ac:dyDescent="0.25">
      <c r="A66" t="s">
        <v>183</v>
      </c>
      <c r="B66" t="s">
        <v>184</v>
      </c>
      <c r="C66" s="2" t="s">
        <v>445</v>
      </c>
      <c r="D66" s="2" t="s">
        <v>444</v>
      </c>
      <c r="E66" s="2" t="s">
        <v>264</v>
      </c>
      <c r="F66" s="2" t="s">
        <v>260</v>
      </c>
      <c r="G66" s="2" t="s">
        <v>510</v>
      </c>
      <c r="H66" s="2" t="s">
        <v>194</v>
      </c>
      <c r="I66" s="2" t="s">
        <v>2</v>
      </c>
      <c r="J66" s="2" t="s">
        <v>654</v>
      </c>
      <c r="K66" s="2" t="s">
        <v>194</v>
      </c>
      <c r="L66" s="2" t="s">
        <v>2</v>
      </c>
      <c r="M66" s="2" t="s">
        <v>2102</v>
      </c>
      <c r="N66" s="2" t="s">
        <v>187</v>
      </c>
      <c r="O66" s="2" t="s">
        <v>1</v>
      </c>
      <c r="P66" s="2" t="s">
        <v>1783</v>
      </c>
      <c r="Q66" s="2" t="s">
        <v>187</v>
      </c>
      <c r="R66" s="2"/>
      <c r="S66" s="2" t="s">
        <v>1574</v>
      </c>
      <c r="T66" t="s">
        <v>187</v>
      </c>
      <c r="U66" s="2" t="s">
        <v>1</v>
      </c>
      <c r="V66" s="2" t="s">
        <v>1575</v>
      </c>
      <c r="W66" s="2" t="s">
        <v>194</v>
      </c>
      <c r="X66" s="2" t="s">
        <v>2</v>
      </c>
      <c r="Y66">
        <f t="shared" si="0"/>
        <v>613</v>
      </c>
    </row>
    <row r="67" spans="1:25" ht="409.5" hidden="1" x14ac:dyDescent="0.25">
      <c r="A67" t="s">
        <v>183</v>
      </c>
      <c r="B67" t="s">
        <v>184</v>
      </c>
      <c r="C67" s="2" t="s">
        <v>445</v>
      </c>
      <c r="D67" s="2" t="s">
        <v>444</v>
      </c>
      <c r="E67" s="2" t="s">
        <v>265</v>
      </c>
      <c r="F67" s="2" t="s">
        <v>266</v>
      </c>
      <c r="G67" s="2" t="s">
        <v>511</v>
      </c>
      <c r="H67" s="2" t="s">
        <v>187</v>
      </c>
      <c r="I67" s="2" t="s">
        <v>2</v>
      </c>
      <c r="J67" s="2" t="s">
        <v>655</v>
      </c>
      <c r="K67" s="2" t="s">
        <v>187</v>
      </c>
      <c r="L67" s="2" t="s">
        <v>2</v>
      </c>
      <c r="M67" s="2" t="s">
        <v>358</v>
      </c>
      <c r="N67" s="2" t="s">
        <v>187</v>
      </c>
      <c r="O67" s="2" t="s">
        <v>1</v>
      </c>
      <c r="P67" s="2" t="s">
        <v>1784</v>
      </c>
      <c r="Q67" s="2" t="s">
        <v>187</v>
      </c>
      <c r="R67" s="2" t="s">
        <v>1</v>
      </c>
      <c r="S67" s="2" t="s">
        <v>1576</v>
      </c>
      <c r="T67" t="s">
        <v>187</v>
      </c>
      <c r="U67" s="2" t="s">
        <v>2</v>
      </c>
      <c r="V67" s="2" t="s">
        <v>1577</v>
      </c>
      <c r="W67" s="2" t="s">
        <v>187</v>
      </c>
      <c r="X67" s="2" t="s">
        <v>2</v>
      </c>
      <c r="Y67">
        <f t="shared" ref="Y67:Y130" si="1">LEN(D67)+LEN(E67)</f>
        <v>608</v>
      </c>
    </row>
    <row r="68" spans="1:25" ht="409.5" hidden="1" x14ac:dyDescent="0.25">
      <c r="A68" t="s">
        <v>183</v>
      </c>
      <c r="B68" t="s">
        <v>184</v>
      </c>
      <c r="C68" s="2" t="s">
        <v>445</v>
      </c>
      <c r="D68" s="2" t="s">
        <v>444</v>
      </c>
      <c r="E68" s="2" t="s">
        <v>267</v>
      </c>
      <c r="F68" s="2" t="s">
        <v>266</v>
      </c>
      <c r="G68" s="2" t="s">
        <v>512</v>
      </c>
      <c r="H68" s="2" t="s">
        <v>187</v>
      </c>
      <c r="I68" s="2" t="s">
        <v>2</v>
      </c>
      <c r="J68" s="2" t="s">
        <v>656</v>
      </c>
      <c r="K68" s="2" t="s">
        <v>187</v>
      </c>
      <c r="L68" s="2" t="s">
        <v>2</v>
      </c>
      <c r="M68" s="2" t="s">
        <v>1578</v>
      </c>
      <c r="N68" s="2" t="s">
        <v>187</v>
      </c>
      <c r="O68" s="2" t="s">
        <v>1</v>
      </c>
      <c r="P68" s="2" t="s">
        <v>1785</v>
      </c>
      <c r="Q68" s="2" t="s">
        <v>187</v>
      </c>
      <c r="R68" s="2" t="s">
        <v>1</v>
      </c>
      <c r="S68" s="2" t="s">
        <v>1578</v>
      </c>
      <c r="T68" t="s">
        <v>187</v>
      </c>
      <c r="U68" s="2" t="s">
        <v>1</v>
      </c>
      <c r="V68" s="2" t="s">
        <v>1579</v>
      </c>
      <c r="W68" s="2" t="s">
        <v>187</v>
      </c>
      <c r="X68" s="2" t="s">
        <v>2</v>
      </c>
      <c r="Y68">
        <f t="shared" si="1"/>
        <v>608</v>
      </c>
    </row>
    <row r="69" spans="1:25" ht="409.5" hidden="1" x14ac:dyDescent="0.25">
      <c r="A69" t="s">
        <v>183</v>
      </c>
      <c r="B69" t="s">
        <v>184</v>
      </c>
      <c r="C69" s="2" t="s">
        <v>445</v>
      </c>
      <c r="D69" s="2" t="s">
        <v>444</v>
      </c>
      <c r="E69" s="2" t="s">
        <v>268</v>
      </c>
      <c r="F69" s="2" t="s">
        <v>266</v>
      </c>
      <c r="G69" s="2" t="s">
        <v>513</v>
      </c>
      <c r="H69" s="2" t="s">
        <v>187</v>
      </c>
      <c r="I69" s="2" t="s">
        <v>2</v>
      </c>
      <c r="J69" s="2" t="s">
        <v>657</v>
      </c>
      <c r="K69" s="2" t="s">
        <v>3</v>
      </c>
      <c r="L69" s="2" t="s">
        <v>2</v>
      </c>
      <c r="M69" s="2" t="s">
        <v>2103</v>
      </c>
      <c r="N69" s="2" t="s">
        <v>187</v>
      </c>
      <c r="O69" s="2" t="s">
        <v>1</v>
      </c>
      <c r="P69" s="2" t="s">
        <v>1786</v>
      </c>
      <c r="Q69" s="2" t="s">
        <v>194</v>
      </c>
      <c r="R69" s="2" t="s">
        <v>2</v>
      </c>
      <c r="S69" s="2" t="s">
        <v>1580</v>
      </c>
      <c r="T69" t="s">
        <v>3</v>
      </c>
      <c r="U69" s="2" t="s">
        <v>1</v>
      </c>
      <c r="V69" s="2" t="s">
        <v>1581</v>
      </c>
      <c r="W69" s="2" t="s">
        <v>187</v>
      </c>
      <c r="X69" s="2" t="s">
        <v>2</v>
      </c>
      <c r="Y69">
        <f t="shared" si="1"/>
        <v>621</v>
      </c>
    </row>
    <row r="70" spans="1:25" ht="409.5" hidden="1" x14ac:dyDescent="0.25">
      <c r="A70" t="s">
        <v>183</v>
      </c>
      <c r="B70" t="s">
        <v>184</v>
      </c>
      <c r="C70" s="2" t="s">
        <v>445</v>
      </c>
      <c r="D70" s="2" t="s">
        <v>444</v>
      </c>
      <c r="E70" s="2" t="s">
        <v>269</v>
      </c>
      <c r="F70" s="2" t="s">
        <v>266</v>
      </c>
      <c r="G70" s="2" t="s">
        <v>514</v>
      </c>
      <c r="H70" s="2" t="s">
        <v>187</v>
      </c>
      <c r="I70" s="2" t="s">
        <v>2</v>
      </c>
      <c r="J70" s="2" t="s">
        <v>658</v>
      </c>
      <c r="K70" s="2" t="s">
        <v>187</v>
      </c>
      <c r="L70" s="2" t="s">
        <v>2</v>
      </c>
      <c r="M70" s="2" t="s">
        <v>2104</v>
      </c>
      <c r="N70" s="2" t="s">
        <v>187</v>
      </c>
      <c r="O70" s="2" t="s">
        <v>1</v>
      </c>
      <c r="P70" s="2" t="s">
        <v>1787</v>
      </c>
      <c r="Q70" s="2" t="s">
        <v>187</v>
      </c>
      <c r="R70" s="2" t="s">
        <v>2</v>
      </c>
      <c r="S70" s="2" t="s">
        <v>1582</v>
      </c>
      <c r="T70" t="s">
        <v>187</v>
      </c>
      <c r="U70" s="2" t="s">
        <v>2</v>
      </c>
      <c r="V70" s="2" t="s">
        <v>1583</v>
      </c>
      <c r="W70" s="2" t="s">
        <v>187</v>
      </c>
      <c r="X70" s="2" t="s">
        <v>2</v>
      </c>
      <c r="Y70">
        <f t="shared" si="1"/>
        <v>617</v>
      </c>
    </row>
    <row r="71" spans="1:25" ht="409.5" hidden="1" x14ac:dyDescent="0.25">
      <c r="A71" t="s">
        <v>183</v>
      </c>
      <c r="B71" t="s">
        <v>184</v>
      </c>
      <c r="C71" s="2" t="s">
        <v>445</v>
      </c>
      <c r="D71" s="2" t="s">
        <v>444</v>
      </c>
      <c r="E71" s="2" t="s">
        <v>270</v>
      </c>
      <c r="F71" s="2" t="s">
        <v>266</v>
      </c>
      <c r="G71" s="2" t="s">
        <v>515</v>
      </c>
      <c r="H71" s="2" t="s">
        <v>187</v>
      </c>
      <c r="I71" s="2" t="s">
        <v>2</v>
      </c>
      <c r="J71" s="2" t="s">
        <v>659</v>
      </c>
      <c r="K71" s="2" t="s">
        <v>187</v>
      </c>
      <c r="L71" s="2" t="s">
        <v>2</v>
      </c>
      <c r="M71" s="2" t="s">
        <v>2105</v>
      </c>
      <c r="N71" s="2" t="s">
        <v>187</v>
      </c>
      <c r="O71" s="2" t="s">
        <v>1</v>
      </c>
      <c r="P71" s="2" t="s">
        <v>1788</v>
      </c>
      <c r="Q71" s="2" t="s">
        <v>187</v>
      </c>
      <c r="R71" s="2" t="s">
        <v>2</v>
      </c>
      <c r="S71" s="2" t="s">
        <v>1584</v>
      </c>
      <c r="T71" t="s">
        <v>187</v>
      </c>
      <c r="U71" s="2" t="s">
        <v>1</v>
      </c>
      <c r="V71" s="2" t="s">
        <v>1585</v>
      </c>
      <c r="W71" s="2" t="s">
        <v>187</v>
      </c>
      <c r="X71" s="2" t="s">
        <v>2</v>
      </c>
      <c r="Y71">
        <f t="shared" si="1"/>
        <v>616</v>
      </c>
    </row>
    <row r="72" spans="1:25" ht="409.5" hidden="1" x14ac:dyDescent="0.25">
      <c r="A72" t="s">
        <v>183</v>
      </c>
      <c r="B72" t="s">
        <v>184</v>
      </c>
      <c r="C72" s="2" t="s">
        <v>445</v>
      </c>
      <c r="D72" s="2" t="s">
        <v>444</v>
      </c>
      <c r="E72" s="2" t="s">
        <v>271</v>
      </c>
      <c r="F72" s="2" t="s">
        <v>272</v>
      </c>
      <c r="G72" s="2" t="s">
        <v>516</v>
      </c>
      <c r="H72" s="2" t="s">
        <v>187</v>
      </c>
      <c r="I72" s="2" t="s">
        <v>2</v>
      </c>
      <c r="J72" s="2" t="s">
        <v>660</v>
      </c>
      <c r="K72" s="2" t="s">
        <v>187</v>
      </c>
      <c r="L72" s="2" t="s">
        <v>2</v>
      </c>
      <c r="M72" s="2" t="s">
        <v>2106</v>
      </c>
      <c r="N72" s="2" t="s">
        <v>187</v>
      </c>
      <c r="O72" s="2" t="s">
        <v>1</v>
      </c>
      <c r="P72" s="2" t="s">
        <v>1789</v>
      </c>
      <c r="Q72" s="2" t="s">
        <v>187</v>
      </c>
      <c r="R72" s="2"/>
      <c r="S72" s="2" t="s">
        <v>2185</v>
      </c>
      <c r="T72" t="s">
        <v>187</v>
      </c>
      <c r="U72" s="2" t="s">
        <v>1</v>
      </c>
      <c r="V72" s="2" t="s">
        <v>1586</v>
      </c>
      <c r="W72" s="2" t="s">
        <v>187</v>
      </c>
      <c r="X72" s="2" t="s">
        <v>2</v>
      </c>
      <c r="Y72">
        <f t="shared" si="1"/>
        <v>602</v>
      </c>
    </row>
    <row r="73" spans="1:25" ht="409.5" hidden="1" x14ac:dyDescent="0.25">
      <c r="A73" t="s">
        <v>183</v>
      </c>
      <c r="B73" t="s">
        <v>184</v>
      </c>
      <c r="C73" s="2" t="s">
        <v>445</v>
      </c>
      <c r="D73" s="2" t="s">
        <v>444</v>
      </c>
      <c r="E73" s="2" t="s">
        <v>273</v>
      </c>
      <c r="F73" s="2" t="s">
        <v>272</v>
      </c>
      <c r="G73" s="2" t="s">
        <v>517</v>
      </c>
      <c r="H73" s="2" t="s">
        <v>194</v>
      </c>
      <c r="I73" s="2" t="s">
        <v>2</v>
      </c>
      <c r="J73" s="2" t="s">
        <v>661</v>
      </c>
      <c r="K73" s="2" t="s">
        <v>194</v>
      </c>
      <c r="L73" s="2" t="s">
        <v>2</v>
      </c>
      <c r="M73" s="2" t="s">
        <v>2107</v>
      </c>
      <c r="N73" s="2" t="s">
        <v>187</v>
      </c>
      <c r="O73" s="2" t="s">
        <v>1</v>
      </c>
      <c r="P73" s="2" t="s">
        <v>1790</v>
      </c>
      <c r="Q73" s="2" t="s">
        <v>187</v>
      </c>
      <c r="R73" s="2"/>
      <c r="S73" s="2" t="s">
        <v>1587</v>
      </c>
      <c r="T73" t="s">
        <v>187</v>
      </c>
      <c r="U73" s="2" t="s">
        <v>2</v>
      </c>
      <c r="V73" s="2" t="s">
        <v>1588</v>
      </c>
      <c r="W73" s="2" t="s">
        <v>187</v>
      </c>
      <c r="X73" s="2" t="s">
        <v>2</v>
      </c>
      <c r="Y73">
        <f t="shared" si="1"/>
        <v>615</v>
      </c>
    </row>
    <row r="74" spans="1:25" ht="409.5" hidden="1" x14ac:dyDescent="0.25">
      <c r="A74" t="s">
        <v>183</v>
      </c>
      <c r="B74" t="s">
        <v>184</v>
      </c>
      <c r="C74" s="2" t="s">
        <v>445</v>
      </c>
      <c r="D74" s="2" t="s">
        <v>444</v>
      </c>
      <c r="E74" s="2" t="s">
        <v>274</v>
      </c>
      <c r="F74" s="2" t="s">
        <v>272</v>
      </c>
      <c r="G74" s="2" t="s">
        <v>1029</v>
      </c>
      <c r="H74" s="2" t="s">
        <v>187</v>
      </c>
      <c r="I74" s="2" t="s">
        <v>2</v>
      </c>
      <c r="J74" s="2" t="s">
        <v>662</v>
      </c>
      <c r="K74" s="2" t="s">
        <v>3</v>
      </c>
      <c r="L74" s="2" t="s">
        <v>2</v>
      </c>
      <c r="M74" s="2" t="s">
        <v>2108</v>
      </c>
      <c r="N74" s="2" t="s">
        <v>187</v>
      </c>
      <c r="O74" s="2" t="s">
        <v>1</v>
      </c>
      <c r="P74" s="2" t="s">
        <v>1791</v>
      </c>
      <c r="Q74" s="2" t="s">
        <v>194</v>
      </c>
      <c r="R74" s="2"/>
      <c r="S74" s="2" t="s">
        <v>1589</v>
      </c>
      <c r="T74" t="s">
        <v>187</v>
      </c>
      <c r="U74" s="2" t="s">
        <v>1</v>
      </c>
      <c r="V74" s="2" t="s">
        <v>1590</v>
      </c>
      <c r="W74" s="2" t="s">
        <v>194</v>
      </c>
      <c r="X74" s="2" t="s">
        <v>2</v>
      </c>
      <c r="Y74">
        <f t="shared" si="1"/>
        <v>604</v>
      </c>
    </row>
    <row r="75" spans="1:25" ht="409.5" hidden="1" x14ac:dyDescent="0.25">
      <c r="A75" t="s">
        <v>183</v>
      </c>
      <c r="B75" t="s">
        <v>184</v>
      </c>
      <c r="C75" s="2" t="s">
        <v>445</v>
      </c>
      <c r="D75" s="2" t="s">
        <v>444</v>
      </c>
      <c r="E75" s="2" t="s">
        <v>275</v>
      </c>
      <c r="F75" s="2" t="s">
        <v>272</v>
      </c>
      <c r="G75" s="2" t="s">
        <v>518</v>
      </c>
      <c r="H75" s="2" t="s">
        <v>187</v>
      </c>
      <c r="I75" s="2" t="s">
        <v>2</v>
      </c>
      <c r="J75" s="2" t="s">
        <v>663</v>
      </c>
      <c r="K75" s="2" t="s">
        <v>3</v>
      </c>
      <c r="L75" s="2" t="s">
        <v>2</v>
      </c>
      <c r="M75" s="2" t="s">
        <v>2109</v>
      </c>
      <c r="N75" s="2" t="s">
        <v>187</v>
      </c>
      <c r="O75" s="2" t="s">
        <v>1</v>
      </c>
      <c r="P75" s="2" t="s">
        <v>1792</v>
      </c>
      <c r="Q75" s="2" t="s">
        <v>187</v>
      </c>
      <c r="R75" s="2"/>
      <c r="S75" s="2" t="s">
        <v>1591</v>
      </c>
      <c r="T75" t="s">
        <v>187</v>
      </c>
      <c r="U75" s="2" t="s">
        <v>1</v>
      </c>
      <c r="V75" s="2" t="s">
        <v>1592</v>
      </c>
      <c r="W75" s="2" t="s">
        <v>194</v>
      </c>
      <c r="X75" s="2" t="s">
        <v>2</v>
      </c>
      <c r="Y75">
        <f t="shared" si="1"/>
        <v>604</v>
      </c>
    </row>
    <row r="76" spans="1:25" ht="375" hidden="1" x14ac:dyDescent="0.25">
      <c r="A76" t="s">
        <v>183</v>
      </c>
      <c r="B76" t="s">
        <v>184</v>
      </c>
      <c r="C76" s="2" t="s">
        <v>445</v>
      </c>
      <c r="D76" s="2" t="s">
        <v>444</v>
      </c>
      <c r="E76" s="2" t="s">
        <v>276</v>
      </c>
      <c r="F76" s="2" t="s">
        <v>272</v>
      </c>
      <c r="G76" s="2" t="s">
        <v>519</v>
      </c>
      <c r="H76" s="2" t="s">
        <v>187</v>
      </c>
      <c r="I76" s="2" t="s">
        <v>2</v>
      </c>
      <c r="J76" s="2" t="s">
        <v>664</v>
      </c>
      <c r="K76" s="2" t="s">
        <v>187</v>
      </c>
      <c r="L76" s="2" t="s">
        <v>2</v>
      </c>
      <c r="M76" s="2" t="s">
        <v>2110</v>
      </c>
      <c r="N76" s="2" t="s">
        <v>187</v>
      </c>
      <c r="O76" s="2" t="s">
        <v>1</v>
      </c>
      <c r="P76" s="2" t="s">
        <v>1793</v>
      </c>
      <c r="Q76" s="2" t="s">
        <v>194</v>
      </c>
      <c r="R76" s="2"/>
      <c r="S76" s="2" t="s">
        <v>1593</v>
      </c>
      <c r="T76" t="s">
        <v>187</v>
      </c>
      <c r="U76" s="2" t="s">
        <v>1</v>
      </c>
      <c r="V76" s="2" t="s">
        <v>1594</v>
      </c>
      <c r="W76" s="2" t="s">
        <v>187</v>
      </c>
      <c r="X76" s="2" t="s">
        <v>2</v>
      </c>
      <c r="Y76">
        <f t="shared" si="1"/>
        <v>606</v>
      </c>
    </row>
    <row r="77" spans="1:25" ht="409.5" hidden="1" x14ac:dyDescent="0.25">
      <c r="A77" t="s">
        <v>183</v>
      </c>
      <c r="B77" t="s">
        <v>184</v>
      </c>
      <c r="C77" s="2" t="s">
        <v>445</v>
      </c>
      <c r="D77" s="2" t="s">
        <v>444</v>
      </c>
      <c r="E77" s="2" t="s">
        <v>277</v>
      </c>
      <c r="F77" s="2" t="s">
        <v>278</v>
      </c>
      <c r="G77" s="2" t="s">
        <v>520</v>
      </c>
      <c r="H77" s="2" t="s">
        <v>187</v>
      </c>
      <c r="I77" s="2" t="s">
        <v>2</v>
      </c>
      <c r="J77" s="2" t="s">
        <v>665</v>
      </c>
      <c r="K77" s="2" t="s">
        <v>187</v>
      </c>
      <c r="L77" s="2" t="s">
        <v>2</v>
      </c>
      <c r="M77" s="2" t="s">
        <v>2111</v>
      </c>
      <c r="N77" s="2" t="s">
        <v>194</v>
      </c>
      <c r="O77" s="2" t="s">
        <v>1</v>
      </c>
      <c r="P77" s="2" t="s">
        <v>1794</v>
      </c>
      <c r="Q77" s="2" t="s">
        <v>194</v>
      </c>
      <c r="R77" s="2" t="s">
        <v>2</v>
      </c>
      <c r="S77" s="2" t="s">
        <v>1595</v>
      </c>
      <c r="T77" t="s">
        <v>187</v>
      </c>
      <c r="U77" s="2" t="s">
        <v>1</v>
      </c>
      <c r="V77" s="2" t="s">
        <v>1596</v>
      </c>
      <c r="W77" s="2" t="s">
        <v>3</v>
      </c>
      <c r="X77" s="2" t="s">
        <v>2</v>
      </c>
      <c r="Y77">
        <f t="shared" si="1"/>
        <v>626</v>
      </c>
    </row>
    <row r="78" spans="1:25" ht="409.5" hidden="1" x14ac:dyDescent="0.25">
      <c r="A78" t="s">
        <v>183</v>
      </c>
      <c r="B78" t="s">
        <v>184</v>
      </c>
      <c r="C78" s="2" t="s">
        <v>445</v>
      </c>
      <c r="D78" s="2" t="s">
        <v>444</v>
      </c>
      <c r="E78" s="2" t="s">
        <v>279</v>
      </c>
      <c r="F78" s="2" t="s">
        <v>278</v>
      </c>
      <c r="G78" s="2" t="s">
        <v>521</v>
      </c>
      <c r="H78" s="2" t="s">
        <v>187</v>
      </c>
      <c r="I78" s="2" t="s">
        <v>2</v>
      </c>
      <c r="J78" s="2" t="s">
        <v>666</v>
      </c>
      <c r="K78" s="2" t="s">
        <v>187</v>
      </c>
      <c r="L78" s="2" t="s">
        <v>2</v>
      </c>
      <c r="M78" s="2" t="s">
        <v>2112</v>
      </c>
      <c r="N78" s="2" t="s">
        <v>187</v>
      </c>
      <c r="O78" s="2" t="s">
        <v>1</v>
      </c>
      <c r="P78" s="2" t="s">
        <v>1795</v>
      </c>
      <c r="Q78" s="2" t="s">
        <v>194</v>
      </c>
      <c r="R78" s="2" t="s">
        <v>2</v>
      </c>
      <c r="S78" s="2" t="s">
        <v>1597</v>
      </c>
      <c r="T78" t="s">
        <v>3</v>
      </c>
      <c r="U78" s="2" t="s">
        <v>1</v>
      </c>
      <c r="V78" s="2" t="s">
        <v>1598</v>
      </c>
      <c r="W78" s="2" t="s">
        <v>187</v>
      </c>
      <c r="X78" s="2" t="s">
        <v>2</v>
      </c>
      <c r="Y78">
        <f t="shared" si="1"/>
        <v>618</v>
      </c>
    </row>
    <row r="79" spans="1:25" ht="409.5" hidden="1" x14ac:dyDescent="0.25">
      <c r="A79" t="s">
        <v>183</v>
      </c>
      <c r="B79" t="s">
        <v>184</v>
      </c>
      <c r="C79" s="2" t="s">
        <v>445</v>
      </c>
      <c r="D79" s="2" t="s">
        <v>444</v>
      </c>
      <c r="E79" s="2" t="s">
        <v>280</v>
      </c>
      <c r="F79" s="2" t="s">
        <v>278</v>
      </c>
      <c r="G79" s="2" t="s">
        <v>522</v>
      </c>
      <c r="H79" s="2" t="s">
        <v>187</v>
      </c>
      <c r="I79" s="2" t="s">
        <v>2</v>
      </c>
      <c r="J79" s="2" t="s">
        <v>667</v>
      </c>
      <c r="K79" s="2" t="s">
        <v>187</v>
      </c>
      <c r="L79" s="2" t="s">
        <v>2</v>
      </c>
      <c r="M79" s="2" t="s">
        <v>2113</v>
      </c>
      <c r="N79" s="2" t="s">
        <v>187</v>
      </c>
      <c r="O79" s="2" t="s">
        <v>1</v>
      </c>
      <c r="P79" s="2" t="s">
        <v>1796</v>
      </c>
      <c r="Q79" s="2" t="s">
        <v>3</v>
      </c>
      <c r="R79" s="2" t="s">
        <v>2</v>
      </c>
      <c r="S79" s="2" t="s">
        <v>2207</v>
      </c>
      <c r="T79" s="2" t="s">
        <v>187</v>
      </c>
      <c r="U79" s="2" t="s">
        <v>1</v>
      </c>
      <c r="V79" s="2" t="s">
        <v>1599</v>
      </c>
      <c r="W79" s="2" t="s">
        <v>187</v>
      </c>
      <c r="X79" s="2" t="s">
        <v>2</v>
      </c>
      <c r="Y79">
        <f t="shared" si="1"/>
        <v>619</v>
      </c>
    </row>
    <row r="80" spans="1:25" ht="409.5" hidden="1" x14ac:dyDescent="0.25">
      <c r="A80" t="s">
        <v>183</v>
      </c>
      <c r="B80" t="s">
        <v>184</v>
      </c>
      <c r="C80" s="2" t="s">
        <v>445</v>
      </c>
      <c r="D80" s="2" t="s">
        <v>444</v>
      </c>
      <c r="E80" s="2" t="s">
        <v>281</v>
      </c>
      <c r="F80" s="2" t="s">
        <v>278</v>
      </c>
      <c r="G80" s="2" t="s">
        <v>523</v>
      </c>
      <c r="H80" s="2" t="s">
        <v>187</v>
      </c>
      <c r="I80" s="2" t="s">
        <v>2</v>
      </c>
      <c r="J80" s="2" t="s">
        <v>668</v>
      </c>
      <c r="K80" s="2" t="s">
        <v>187</v>
      </c>
      <c r="L80" s="2" t="s">
        <v>2</v>
      </c>
      <c r="M80" s="2" t="s">
        <v>2114</v>
      </c>
      <c r="N80" s="2" t="s">
        <v>187</v>
      </c>
      <c r="O80" s="2" t="s">
        <v>1</v>
      </c>
      <c r="P80" s="2" t="s">
        <v>1797</v>
      </c>
      <c r="Q80" s="2" t="s">
        <v>187</v>
      </c>
      <c r="R80" s="2" t="s">
        <v>2</v>
      </c>
      <c r="S80" s="2" t="s">
        <v>1600</v>
      </c>
      <c r="T80" t="s">
        <v>3</v>
      </c>
      <c r="U80" s="2" t="s">
        <v>1</v>
      </c>
      <c r="V80" s="2" t="s">
        <v>1601</v>
      </c>
      <c r="W80" s="2" t="s">
        <v>187</v>
      </c>
      <c r="X80" s="2" t="s">
        <v>2</v>
      </c>
      <c r="Y80">
        <f t="shared" si="1"/>
        <v>624</v>
      </c>
    </row>
    <row r="81" spans="1:25" ht="409.5" hidden="1" x14ac:dyDescent="0.25">
      <c r="A81" t="s">
        <v>183</v>
      </c>
      <c r="B81" t="s">
        <v>184</v>
      </c>
      <c r="C81" s="2" t="s">
        <v>445</v>
      </c>
      <c r="D81" s="2" t="s">
        <v>444</v>
      </c>
      <c r="E81" s="2" t="s">
        <v>282</v>
      </c>
      <c r="F81" s="2" t="s">
        <v>278</v>
      </c>
      <c r="G81" s="2" t="s">
        <v>524</v>
      </c>
      <c r="H81" s="2" t="s">
        <v>187</v>
      </c>
      <c r="I81" s="2" t="s">
        <v>2</v>
      </c>
      <c r="J81" s="2" t="s">
        <v>669</v>
      </c>
      <c r="K81" s="2" t="s">
        <v>187</v>
      </c>
      <c r="L81" s="2" t="s">
        <v>2</v>
      </c>
      <c r="M81" s="2" t="s">
        <v>2115</v>
      </c>
      <c r="N81" s="2" t="s">
        <v>187</v>
      </c>
      <c r="O81" s="2" t="s">
        <v>1</v>
      </c>
      <c r="P81" s="2" t="s">
        <v>1798</v>
      </c>
      <c r="Q81" s="2" t="s">
        <v>187</v>
      </c>
      <c r="R81" s="2" t="s">
        <v>2</v>
      </c>
      <c r="S81" s="2" t="s">
        <v>2186</v>
      </c>
      <c r="T81" t="s">
        <v>187</v>
      </c>
      <c r="U81" s="2" t="s">
        <v>1</v>
      </c>
      <c r="V81" s="2" t="s">
        <v>1602</v>
      </c>
      <c r="W81" s="2" t="s">
        <v>194</v>
      </c>
      <c r="X81" s="2" t="s">
        <v>2</v>
      </c>
      <c r="Y81">
        <f t="shared" si="1"/>
        <v>618</v>
      </c>
    </row>
    <row r="82" spans="1:25" ht="409.5" hidden="1" x14ac:dyDescent="0.25">
      <c r="A82" t="s">
        <v>183</v>
      </c>
      <c r="B82" t="s">
        <v>184</v>
      </c>
      <c r="C82" s="2" t="s">
        <v>445</v>
      </c>
      <c r="D82" s="2" t="s">
        <v>444</v>
      </c>
      <c r="E82" s="2" t="s">
        <v>283</v>
      </c>
      <c r="F82" s="2" t="s">
        <v>284</v>
      </c>
      <c r="G82" s="2" t="s">
        <v>525</v>
      </c>
      <c r="H82" s="2" t="s">
        <v>187</v>
      </c>
      <c r="I82" s="2" t="s">
        <v>2</v>
      </c>
      <c r="J82" s="2" t="s">
        <v>670</v>
      </c>
      <c r="K82" s="2" t="s">
        <v>194</v>
      </c>
      <c r="L82" s="2" t="s">
        <v>2</v>
      </c>
      <c r="M82" s="2" t="s">
        <v>2116</v>
      </c>
      <c r="N82" s="2" t="s">
        <v>187</v>
      </c>
      <c r="O82" s="2" t="s">
        <v>1</v>
      </c>
      <c r="P82" s="2" t="s">
        <v>1799</v>
      </c>
      <c r="Q82" s="2" t="s">
        <v>187</v>
      </c>
      <c r="R82" s="2" t="s">
        <v>1</v>
      </c>
      <c r="S82" s="2" t="s">
        <v>1603</v>
      </c>
      <c r="T82" t="s">
        <v>187</v>
      </c>
      <c r="U82" s="2" t="s">
        <v>1</v>
      </c>
      <c r="V82" s="2" t="s">
        <v>1604</v>
      </c>
      <c r="W82" s="2" t="s">
        <v>3</v>
      </c>
      <c r="X82" s="2" t="s">
        <v>2</v>
      </c>
      <c r="Y82">
        <f t="shared" si="1"/>
        <v>622</v>
      </c>
    </row>
    <row r="83" spans="1:25" ht="375" hidden="1" x14ac:dyDescent="0.25">
      <c r="A83" t="s">
        <v>183</v>
      </c>
      <c r="B83" t="s">
        <v>184</v>
      </c>
      <c r="C83" s="2" t="s">
        <v>445</v>
      </c>
      <c r="D83" s="2" t="s">
        <v>444</v>
      </c>
      <c r="E83" s="2" t="s">
        <v>285</v>
      </c>
      <c r="F83" s="2" t="s">
        <v>284</v>
      </c>
      <c r="G83" s="2" t="s">
        <v>526</v>
      </c>
      <c r="H83" s="2" t="s">
        <v>187</v>
      </c>
      <c r="I83" s="2" t="s">
        <v>2</v>
      </c>
      <c r="J83" s="2" t="s">
        <v>671</v>
      </c>
      <c r="K83" s="2" t="s">
        <v>187</v>
      </c>
      <c r="L83" s="2" t="s">
        <v>2</v>
      </c>
      <c r="M83" s="2" t="s">
        <v>358</v>
      </c>
      <c r="N83" s="2" t="s">
        <v>187</v>
      </c>
      <c r="O83" s="2" t="s">
        <v>1</v>
      </c>
      <c r="P83" s="2" t="s">
        <v>1800</v>
      </c>
      <c r="Q83" s="2" t="s">
        <v>194</v>
      </c>
      <c r="R83" s="2" t="s">
        <v>2</v>
      </c>
      <c r="S83" s="2" t="s">
        <v>1605</v>
      </c>
      <c r="T83" t="s">
        <v>3</v>
      </c>
      <c r="U83" s="2" t="s">
        <v>1</v>
      </c>
      <c r="V83" s="2" t="s">
        <v>1606</v>
      </c>
      <c r="W83" s="2" t="s">
        <v>187</v>
      </c>
      <c r="X83" s="2" t="s">
        <v>2</v>
      </c>
      <c r="Y83">
        <f t="shared" si="1"/>
        <v>622</v>
      </c>
    </row>
    <row r="84" spans="1:25" ht="409.5" hidden="1" x14ac:dyDescent="0.25">
      <c r="A84" t="s">
        <v>183</v>
      </c>
      <c r="B84" t="s">
        <v>184</v>
      </c>
      <c r="C84" s="2" t="s">
        <v>445</v>
      </c>
      <c r="D84" s="2" t="s">
        <v>444</v>
      </c>
      <c r="E84" s="2" t="s">
        <v>286</v>
      </c>
      <c r="F84" s="2" t="s">
        <v>284</v>
      </c>
      <c r="G84" s="2" t="s">
        <v>527</v>
      </c>
      <c r="H84" s="2" t="s">
        <v>187</v>
      </c>
      <c r="I84" s="2" t="s">
        <v>2</v>
      </c>
      <c r="J84" s="2" t="s">
        <v>672</v>
      </c>
      <c r="K84" s="2" t="s">
        <v>194</v>
      </c>
      <c r="L84" s="2" t="s">
        <v>2</v>
      </c>
      <c r="M84" s="2" t="s">
        <v>2117</v>
      </c>
      <c r="N84" s="2" t="s">
        <v>187</v>
      </c>
      <c r="O84" s="2" t="s">
        <v>1</v>
      </c>
      <c r="P84" s="2" t="s">
        <v>1801</v>
      </c>
      <c r="Q84" s="2" t="s">
        <v>194</v>
      </c>
      <c r="R84" s="2" t="s">
        <v>2</v>
      </c>
      <c r="S84" s="2" t="s">
        <v>1607</v>
      </c>
      <c r="T84" t="s">
        <v>3</v>
      </c>
      <c r="U84" s="2" t="s">
        <v>1</v>
      </c>
      <c r="V84" s="2" t="s">
        <v>1608</v>
      </c>
      <c r="W84" s="2" t="s">
        <v>194</v>
      </c>
      <c r="X84" s="2" t="s">
        <v>2</v>
      </c>
      <c r="Y84">
        <f t="shared" si="1"/>
        <v>606</v>
      </c>
    </row>
    <row r="85" spans="1:25" ht="409.5" hidden="1" x14ac:dyDescent="0.25">
      <c r="A85" t="s">
        <v>183</v>
      </c>
      <c r="B85" t="s">
        <v>184</v>
      </c>
      <c r="C85" s="2" t="s">
        <v>445</v>
      </c>
      <c r="D85" s="2" t="s">
        <v>444</v>
      </c>
      <c r="E85" s="2" t="s">
        <v>287</v>
      </c>
      <c r="F85" s="2" t="s">
        <v>284</v>
      </c>
      <c r="G85" s="2" t="s">
        <v>528</v>
      </c>
      <c r="H85" s="2" t="s">
        <v>187</v>
      </c>
      <c r="I85" s="2" t="s">
        <v>2</v>
      </c>
      <c r="J85" s="2" t="s">
        <v>673</v>
      </c>
      <c r="K85" s="2" t="s">
        <v>187</v>
      </c>
      <c r="L85" s="2" t="s">
        <v>2</v>
      </c>
      <c r="M85" s="2" t="s">
        <v>2118</v>
      </c>
      <c r="N85" s="2" t="s">
        <v>194</v>
      </c>
      <c r="O85" s="2" t="s">
        <v>1</v>
      </c>
      <c r="P85" s="2" t="s">
        <v>1802</v>
      </c>
      <c r="Q85" s="2" t="s">
        <v>194</v>
      </c>
      <c r="R85" s="2" t="s">
        <v>2</v>
      </c>
      <c r="S85" s="2" t="s">
        <v>1609</v>
      </c>
      <c r="T85" t="s">
        <v>3</v>
      </c>
      <c r="U85" s="2" t="s">
        <v>1</v>
      </c>
      <c r="V85" s="2" t="s">
        <v>1610</v>
      </c>
      <c r="W85" s="2" t="s">
        <v>194</v>
      </c>
      <c r="X85" s="2" t="s">
        <v>2</v>
      </c>
      <c r="Y85">
        <f t="shared" si="1"/>
        <v>613</v>
      </c>
    </row>
    <row r="86" spans="1:25" ht="409.5" hidden="1" x14ac:dyDescent="0.25">
      <c r="A86" t="s">
        <v>183</v>
      </c>
      <c r="B86" t="s">
        <v>184</v>
      </c>
      <c r="C86" s="2" t="s">
        <v>445</v>
      </c>
      <c r="D86" s="2" t="s">
        <v>444</v>
      </c>
      <c r="E86" s="2" t="s">
        <v>288</v>
      </c>
      <c r="F86" s="2" t="s">
        <v>284</v>
      </c>
      <c r="G86" s="2" t="s">
        <v>529</v>
      </c>
      <c r="H86" s="2" t="s">
        <v>187</v>
      </c>
      <c r="I86" s="2" t="s">
        <v>2</v>
      </c>
      <c r="J86" s="2" t="s">
        <v>674</v>
      </c>
      <c r="K86" s="2" t="s">
        <v>187</v>
      </c>
      <c r="L86" s="2" t="s">
        <v>2</v>
      </c>
      <c r="M86" s="2" t="s">
        <v>2119</v>
      </c>
      <c r="N86" s="2" t="s">
        <v>187</v>
      </c>
      <c r="O86" s="2" t="s">
        <v>1</v>
      </c>
      <c r="P86" s="2" t="s">
        <v>1803</v>
      </c>
      <c r="Q86" s="2" t="s">
        <v>187</v>
      </c>
      <c r="R86" s="2" t="s">
        <v>1</v>
      </c>
      <c r="S86" s="2" t="s">
        <v>1611</v>
      </c>
      <c r="T86" t="s">
        <v>3</v>
      </c>
      <c r="U86" s="2" t="s">
        <v>1</v>
      </c>
      <c r="V86" s="2" t="s">
        <v>1612</v>
      </c>
      <c r="W86" s="2" t="s">
        <v>187</v>
      </c>
      <c r="X86" s="2" t="s">
        <v>2</v>
      </c>
      <c r="Y86">
        <f t="shared" si="1"/>
        <v>613</v>
      </c>
    </row>
    <row r="87" spans="1:25" ht="409.5" hidden="1" x14ac:dyDescent="0.25">
      <c r="A87" t="s">
        <v>183</v>
      </c>
      <c r="B87" t="s">
        <v>184</v>
      </c>
      <c r="C87" s="2" t="s">
        <v>445</v>
      </c>
      <c r="D87" s="2" t="s">
        <v>444</v>
      </c>
      <c r="E87" s="2" t="s">
        <v>289</v>
      </c>
      <c r="F87" s="2" t="s">
        <v>290</v>
      </c>
      <c r="G87" s="2" t="s">
        <v>530</v>
      </c>
      <c r="H87" s="2" t="s">
        <v>187</v>
      </c>
      <c r="I87" s="2" t="s">
        <v>2</v>
      </c>
      <c r="J87" s="2" t="s">
        <v>675</v>
      </c>
      <c r="K87" s="2" t="s">
        <v>187</v>
      </c>
      <c r="L87" s="2" t="s">
        <v>2</v>
      </c>
      <c r="M87" s="2" t="s">
        <v>2120</v>
      </c>
      <c r="N87" s="2" t="s">
        <v>187</v>
      </c>
      <c r="O87" s="2" t="s">
        <v>1</v>
      </c>
      <c r="P87" s="2" t="s">
        <v>1804</v>
      </c>
      <c r="Q87" s="2" t="s">
        <v>187</v>
      </c>
      <c r="R87" s="2"/>
      <c r="S87" s="2" t="s">
        <v>1613</v>
      </c>
      <c r="T87" t="s">
        <v>187</v>
      </c>
      <c r="U87" s="2" t="s">
        <v>2</v>
      </c>
      <c r="V87" s="2" t="s">
        <v>1614</v>
      </c>
      <c r="W87" s="2" t="s">
        <v>187</v>
      </c>
      <c r="X87" s="2" t="s">
        <v>2</v>
      </c>
      <c r="Y87">
        <f t="shared" si="1"/>
        <v>611</v>
      </c>
    </row>
    <row r="88" spans="1:25" ht="409.5" hidden="1" x14ac:dyDescent="0.25">
      <c r="A88" t="s">
        <v>183</v>
      </c>
      <c r="B88" t="s">
        <v>184</v>
      </c>
      <c r="C88" s="2" t="s">
        <v>445</v>
      </c>
      <c r="D88" s="2" t="s">
        <v>444</v>
      </c>
      <c r="E88" s="2" t="s">
        <v>291</v>
      </c>
      <c r="F88" s="2" t="s">
        <v>290</v>
      </c>
      <c r="G88" s="2" t="s">
        <v>531</v>
      </c>
      <c r="H88" s="2" t="s">
        <v>187</v>
      </c>
      <c r="I88" s="2" t="s">
        <v>2</v>
      </c>
      <c r="J88" s="2" t="s">
        <v>676</v>
      </c>
      <c r="K88" s="2" t="s">
        <v>187</v>
      </c>
      <c r="L88" s="2" t="s">
        <v>2</v>
      </c>
      <c r="M88" s="2" t="s">
        <v>2121</v>
      </c>
      <c r="N88" s="2" t="s">
        <v>194</v>
      </c>
      <c r="O88" s="2" t="s">
        <v>1</v>
      </c>
      <c r="P88" s="2" t="s">
        <v>1805</v>
      </c>
      <c r="Q88" s="2" t="s">
        <v>187</v>
      </c>
      <c r="R88" s="2"/>
      <c r="S88" s="2" t="s">
        <v>1615</v>
      </c>
      <c r="T88" t="s">
        <v>187</v>
      </c>
      <c r="U88" s="2" t="s">
        <v>1</v>
      </c>
      <c r="V88" s="2" t="s">
        <v>1616</v>
      </c>
      <c r="W88" s="2" t="s">
        <v>187</v>
      </c>
      <c r="X88" s="2" t="s">
        <v>2</v>
      </c>
      <c r="Y88">
        <f t="shared" si="1"/>
        <v>604</v>
      </c>
    </row>
    <row r="89" spans="1:25" ht="409.5" hidden="1" x14ac:dyDescent="0.25">
      <c r="A89" t="s">
        <v>183</v>
      </c>
      <c r="B89" t="s">
        <v>184</v>
      </c>
      <c r="C89" s="2" t="s">
        <v>445</v>
      </c>
      <c r="D89" s="2" t="s">
        <v>444</v>
      </c>
      <c r="E89" s="2" t="s">
        <v>292</v>
      </c>
      <c r="F89" s="2" t="s">
        <v>290</v>
      </c>
      <c r="G89" s="2" t="s">
        <v>532</v>
      </c>
      <c r="H89" s="2" t="s">
        <v>187</v>
      </c>
      <c r="I89" s="2" t="s">
        <v>2</v>
      </c>
      <c r="J89" s="2" t="s">
        <v>677</v>
      </c>
      <c r="K89" s="2" t="s">
        <v>187</v>
      </c>
      <c r="L89" s="2" t="s">
        <v>2</v>
      </c>
      <c r="M89" s="2" t="s">
        <v>2122</v>
      </c>
      <c r="N89" s="2" t="s">
        <v>194</v>
      </c>
      <c r="O89" s="2" t="s">
        <v>1</v>
      </c>
      <c r="P89" s="2" t="s">
        <v>1806</v>
      </c>
      <c r="Q89" s="2" t="s">
        <v>194</v>
      </c>
      <c r="R89" s="2"/>
      <c r="S89" s="2" t="s">
        <v>1617</v>
      </c>
      <c r="T89" t="s">
        <v>187</v>
      </c>
      <c r="U89" s="2" t="s">
        <v>1</v>
      </c>
      <c r="V89" s="2" t="s">
        <v>1618</v>
      </c>
      <c r="W89" s="2" t="s">
        <v>187</v>
      </c>
      <c r="X89" s="2" t="s">
        <v>2</v>
      </c>
      <c r="Y89">
        <f t="shared" si="1"/>
        <v>602</v>
      </c>
    </row>
    <row r="90" spans="1:25" ht="409.5" hidden="1" x14ac:dyDescent="0.25">
      <c r="A90" t="s">
        <v>183</v>
      </c>
      <c r="B90" t="s">
        <v>184</v>
      </c>
      <c r="C90" s="2" t="s">
        <v>445</v>
      </c>
      <c r="D90" s="2" t="s">
        <v>444</v>
      </c>
      <c r="E90" s="2" t="s">
        <v>293</v>
      </c>
      <c r="F90" s="2" t="s">
        <v>290</v>
      </c>
      <c r="G90" s="2" t="s">
        <v>533</v>
      </c>
      <c r="H90" s="2" t="s">
        <v>187</v>
      </c>
      <c r="I90" s="2" t="s">
        <v>2</v>
      </c>
      <c r="J90" s="2" t="s">
        <v>678</v>
      </c>
      <c r="K90" s="2" t="s">
        <v>187</v>
      </c>
      <c r="L90" s="2" t="s">
        <v>2</v>
      </c>
      <c r="M90" s="2" t="s">
        <v>2123</v>
      </c>
      <c r="N90" s="2" t="s">
        <v>187</v>
      </c>
      <c r="O90" s="2" t="s">
        <v>1</v>
      </c>
      <c r="P90" s="2" t="s">
        <v>1807</v>
      </c>
      <c r="Q90" s="2" t="s">
        <v>187</v>
      </c>
      <c r="R90" s="2"/>
      <c r="S90" s="2" t="s">
        <v>1619</v>
      </c>
      <c r="T90" t="s">
        <v>187</v>
      </c>
      <c r="U90" s="2" t="s">
        <v>2</v>
      </c>
      <c r="V90" s="2" t="s">
        <v>1620</v>
      </c>
      <c r="W90" s="2" t="s">
        <v>187</v>
      </c>
      <c r="X90" s="2" t="s">
        <v>2</v>
      </c>
      <c r="Y90">
        <f t="shared" si="1"/>
        <v>609</v>
      </c>
    </row>
    <row r="91" spans="1:25" ht="409.5" hidden="1" x14ac:dyDescent="0.25">
      <c r="A91" t="s">
        <v>183</v>
      </c>
      <c r="B91" t="s">
        <v>184</v>
      </c>
      <c r="C91" s="2" t="s">
        <v>445</v>
      </c>
      <c r="D91" s="2" t="s">
        <v>444</v>
      </c>
      <c r="E91" s="2" t="s">
        <v>294</v>
      </c>
      <c r="F91" s="2" t="s">
        <v>290</v>
      </c>
      <c r="G91" s="2" t="s">
        <v>534</v>
      </c>
      <c r="H91" s="2" t="s">
        <v>194</v>
      </c>
      <c r="I91" s="2" t="s">
        <v>2</v>
      </c>
      <c r="J91" s="2" t="s">
        <v>679</v>
      </c>
      <c r="K91" s="2" t="s">
        <v>187</v>
      </c>
      <c r="L91" s="2" t="s">
        <v>2</v>
      </c>
      <c r="M91" s="2" t="s">
        <v>2124</v>
      </c>
      <c r="N91" s="2" t="s">
        <v>187</v>
      </c>
      <c r="O91" s="2" t="s">
        <v>1</v>
      </c>
      <c r="P91" s="2" t="s">
        <v>1808</v>
      </c>
      <c r="Q91" s="2" t="s">
        <v>187</v>
      </c>
      <c r="R91" s="2"/>
      <c r="S91" s="2" t="s">
        <v>1621</v>
      </c>
      <c r="T91" t="s">
        <v>194</v>
      </c>
      <c r="U91" s="2" t="s">
        <v>1</v>
      </c>
      <c r="V91" s="2" t="s">
        <v>1622</v>
      </c>
      <c r="W91" s="2" t="s">
        <v>194</v>
      </c>
      <c r="X91" s="2" t="s">
        <v>2</v>
      </c>
      <c r="Y91">
        <f t="shared" si="1"/>
        <v>615</v>
      </c>
    </row>
    <row r="92" spans="1:25" ht="409.5" hidden="1" x14ac:dyDescent="0.25">
      <c r="A92" t="s">
        <v>183</v>
      </c>
      <c r="B92" t="s">
        <v>184</v>
      </c>
      <c r="C92" s="2" t="s">
        <v>445</v>
      </c>
      <c r="D92" s="2" t="s">
        <v>444</v>
      </c>
      <c r="E92" s="2" t="s">
        <v>295</v>
      </c>
      <c r="F92" s="2" t="s">
        <v>296</v>
      </c>
      <c r="G92" s="2" t="s">
        <v>535</v>
      </c>
      <c r="H92" s="2" t="s">
        <v>187</v>
      </c>
      <c r="I92" s="2" t="s">
        <v>2</v>
      </c>
      <c r="J92" s="2" t="s">
        <v>680</v>
      </c>
      <c r="K92" s="2" t="s">
        <v>187</v>
      </c>
      <c r="L92" s="2" t="s">
        <v>2</v>
      </c>
      <c r="M92" s="2" t="s">
        <v>2125</v>
      </c>
      <c r="N92" s="2" t="s">
        <v>187</v>
      </c>
      <c r="O92" s="2" t="s">
        <v>1</v>
      </c>
      <c r="P92" s="2" t="s">
        <v>1809</v>
      </c>
      <c r="Q92" s="2" t="s">
        <v>3</v>
      </c>
      <c r="R92" s="2"/>
      <c r="S92" s="2" t="s">
        <v>1623</v>
      </c>
      <c r="T92" t="s">
        <v>187</v>
      </c>
      <c r="U92" s="2" t="s">
        <v>1</v>
      </c>
      <c r="V92" s="2" t="s">
        <v>1624</v>
      </c>
      <c r="W92" s="2" t="s">
        <v>187</v>
      </c>
      <c r="X92" s="2" t="s">
        <v>1</v>
      </c>
      <c r="Y92">
        <f t="shared" si="1"/>
        <v>623</v>
      </c>
    </row>
    <row r="93" spans="1:25" ht="409.5" hidden="1" x14ac:dyDescent="0.25">
      <c r="A93" t="s">
        <v>183</v>
      </c>
      <c r="B93" t="s">
        <v>184</v>
      </c>
      <c r="C93" s="2" t="s">
        <v>445</v>
      </c>
      <c r="D93" s="2" t="s">
        <v>444</v>
      </c>
      <c r="E93" s="2" t="s">
        <v>297</v>
      </c>
      <c r="F93" s="2" t="s">
        <v>296</v>
      </c>
      <c r="G93" s="2" t="s">
        <v>536</v>
      </c>
      <c r="H93" s="2" t="s">
        <v>187</v>
      </c>
      <c r="I93" s="2" t="s">
        <v>2</v>
      </c>
      <c r="J93" s="2" t="s">
        <v>681</v>
      </c>
      <c r="K93" s="2" t="s">
        <v>187</v>
      </c>
      <c r="L93" s="2" t="s">
        <v>2</v>
      </c>
      <c r="M93" s="2" t="s">
        <v>2126</v>
      </c>
      <c r="N93" s="2" t="s">
        <v>187</v>
      </c>
      <c r="O93" s="2" t="s">
        <v>1</v>
      </c>
      <c r="P93" s="2" t="s">
        <v>1810</v>
      </c>
      <c r="Q93" s="2" t="s">
        <v>187</v>
      </c>
      <c r="R93" s="2"/>
      <c r="S93" s="2" t="s">
        <v>2208</v>
      </c>
      <c r="T93" s="2" t="s">
        <v>187</v>
      </c>
      <c r="U93" s="2" t="s">
        <v>1</v>
      </c>
      <c r="V93" s="2" t="s">
        <v>1625</v>
      </c>
      <c r="W93" s="2" t="s">
        <v>187</v>
      </c>
      <c r="X93" s="2" t="s">
        <v>1</v>
      </c>
      <c r="Y93">
        <f t="shared" si="1"/>
        <v>612</v>
      </c>
    </row>
    <row r="94" spans="1:25" ht="409.5" hidden="1" x14ac:dyDescent="0.25">
      <c r="A94" t="s">
        <v>183</v>
      </c>
      <c r="B94" t="s">
        <v>184</v>
      </c>
      <c r="C94" s="2" t="s">
        <v>445</v>
      </c>
      <c r="D94" s="2" t="s">
        <v>444</v>
      </c>
      <c r="E94" s="2" t="s">
        <v>298</v>
      </c>
      <c r="F94" s="2" t="s">
        <v>296</v>
      </c>
      <c r="G94" s="2" t="s">
        <v>537</v>
      </c>
      <c r="H94" s="2" t="s">
        <v>194</v>
      </c>
      <c r="I94" s="2" t="s">
        <v>2</v>
      </c>
      <c r="J94" s="2" t="s">
        <v>682</v>
      </c>
      <c r="K94" s="2" t="s">
        <v>187</v>
      </c>
      <c r="L94" s="2" t="s">
        <v>2</v>
      </c>
      <c r="M94" s="2" t="s">
        <v>2127</v>
      </c>
      <c r="N94" s="2" t="s">
        <v>187</v>
      </c>
      <c r="O94" s="2" t="s">
        <v>1</v>
      </c>
      <c r="P94" s="2" t="s">
        <v>1811</v>
      </c>
      <c r="Q94" s="2" t="s">
        <v>187</v>
      </c>
      <c r="R94" s="2"/>
      <c r="S94" s="2" t="s">
        <v>1626</v>
      </c>
      <c r="T94" t="s">
        <v>187</v>
      </c>
      <c r="U94" s="2" t="s">
        <v>1</v>
      </c>
      <c r="V94" s="2" t="s">
        <v>1627</v>
      </c>
      <c r="W94" s="2" t="s">
        <v>187</v>
      </c>
      <c r="X94" s="2" t="s">
        <v>1</v>
      </c>
      <c r="Y94">
        <f t="shared" si="1"/>
        <v>622</v>
      </c>
    </row>
    <row r="95" spans="1:25" ht="409.5" hidden="1" x14ac:dyDescent="0.25">
      <c r="A95" t="s">
        <v>183</v>
      </c>
      <c r="B95" t="s">
        <v>184</v>
      </c>
      <c r="C95" s="2" t="s">
        <v>445</v>
      </c>
      <c r="D95" s="2" t="s">
        <v>444</v>
      </c>
      <c r="E95" s="2" t="s">
        <v>299</v>
      </c>
      <c r="F95" s="2" t="s">
        <v>296</v>
      </c>
      <c r="G95" s="2" t="s">
        <v>538</v>
      </c>
      <c r="H95" s="2" t="s">
        <v>187</v>
      </c>
      <c r="I95" s="2" t="s">
        <v>2</v>
      </c>
      <c r="J95" s="2" t="s">
        <v>683</v>
      </c>
      <c r="K95" s="2" t="s">
        <v>194</v>
      </c>
      <c r="L95" s="2" t="s">
        <v>2</v>
      </c>
      <c r="M95" s="2" t="s">
        <v>2128</v>
      </c>
      <c r="N95" s="2" t="s">
        <v>187</v>
      </c>
      <c r="O95" s="2" t="s">
        <v>1</v>
      </c>
      <c r="P95" s="2" t="s">
        <v>1812</v>
      </c>
      <c r="Q95" s="2" t="s">
        <v>187</v>
      </c>
      <c r="R95" s="2"/>
      <c r="S95" s="2" t="s">
        <v>1628</v>
      </c>
      <c r="T95" t="s">
        <v>187</v>
      </c>
      <c r="U95" s="2" t="s">
        <v>2</v>
      </c>
      <c r="V95" s="2" t="s">
        <v>1629</v>
      </c>
      <c r="W95" s="2" t="s">
        <v>187</v>
      </c>
      <c r="X95" s="2" t="s">
        <v>2</v>
      </c>
      <c r="Y95">
        <f t="shared" si="1"/>
        <v>621</v>
      </c>
    </row>
    <row r="96" spans="1:25" ht="409.5" hidden="1" x14ac:dyDescent="0.25">
      <c r="A96" t="s">
        <v>183</v>
      </c>
      <c r="B96" t="s">
        <v>184</v>
      </c>
      <c r="C96" s="2" t="s">
        <v>445</v>
      </c>
      <c r="D96" s="2" t="s">
        <v>444</v>
      </c>
      <c r="E96" s="2" t="s">
        <v>300</v>
      </c>
      <c r="F96" s="2" t="s">
        <v>296</v>
      </c>
      <c r="G96" s="2" t="s">
        <v>539</v>
      </c>
      <c r="H96" s="2" t="s">
        <v>187</v>
      </c>
      <c r="I96" s="2" t="s">
        <v>2</v>
      </c>
      <c r="J96" s="2" t="s">
        <v>684</v>
      </c>
      <c r="K96" s="2" t="s">
        <v>187</v>
      </c>
      <c r="L96" s="2" t="s">
        <v>2</v>
      </c>
      <c r="M96" s="2" t="s">
        <v>2129</v>
      </c>
      <c r="N96" s="2" t="s">
        <v>187</v>
      </c>
      <c r="O96" s="2" t="s">
        <v>1</v>
      </c>
      <c r="P96" s="2" t="s">
        <v>1813</v>
      </c>
      <c r="Q96" s="2" t="s">
        <v>187</v>
      </c>
      <c r="R96" s="2"/>
      <c r="S96" s="2" t="s">
        <v>1630</v>
      </c>
      <c r="T96" t="s">
        <v>187</v>
      </c>
      <c r="U96" s="2" t="s">
        <v>1</v>
      </c>
      <c r="V96" s="2" t="s">
        <v>1631</v>
      </c>
      <c r="W96" s="2" t="s">
        <v>187</v>
      </c>
      <c r="X96" s="2" t="s">
        <v>1</v>
      </c>
      <c r="Y96">
        <f t="shared" si="1"/>
        <v>623</v>
      </c>
    </row>
    <row r="97" spans="1:25" ht="409.5" hidden="1" x14ac:dyDescent="0.25">
      <c r="A97" t="s">
        <v>183</v>
      </c>
      <c r="B97" t="s">
        <v>184</v>
      </c>
      <c r="C97" s="2" t="s">
        <v>445</v>
      </c>
      <c r="D97" s="2" t="s">
        <v>444</v>
      </c>
      <c r="E97" s="2" t="s">
        <v>301</v>
      </c>
      <c r="F97" s="2" t="s">
        <v>302</v>
      </c>
      <c r="G97" s="2" t="s">
        <v>540</v>
      </c>
      <c r="H97" s="2" t="s">
        <v>194</v>
      </c>
      <c r="I97" s="2" t="s">
        <v>2</v>
      </c>
      <c r="J97" s="2" t="s">
        <v>685</v>
      </c>
      <c r="K97" s="2" t="s">
        <v>187</v>
      </c>
      <c r="L97" s="2" t="s">
        <v>2</v>
      </c>
      <c r="M97" s="2" t="s">
        <v>2130</v>
      </c>
      <c r="N97" s="2" t="s">
        <v>187</v>
      </c>
      <c r="O97" s="2" t="s">
        <v>1</v>
      </c>
      <c r="P97" s="2" t="s">
        <v>1814</v>
      </c>
      <c r="Q97" s="2" t="s">
        <v>194</v>
      </c>
      <c r="R97" s="2"/>
      <c r="S97" s="2" t="s">
        <v>1632</v>
      </c>
      <c r="T97" t="s">
        <v>3</v>
      </c>
      <c r="U97" s="2" t="s">
        <v>1</v>
      </c>
      <c r="V97" s="2" t="s">
        <v>1633</v>
      </c>
      <c r="W97" s="2" t="s">
        <v>187</v>
      </c>
      <c r="X97" s="2" t="s">
        <v>2</v>
      </c>
      <c r="Y97">
        <f t="shared" si="1"/>
        <v>622</v>
      </c>
    </row>
    <row r="98" spans="1:25" ht="409.5" hidden="1" x14ac:dyDescent="0.25">
      <c r="A98" t="s">
        <v>183</v>
      </c>
      <c r="B98" t="s">
        <v>184</v>
      </c>
      <c r="C98" s="2" t="s">
        <v>445</v>
      </c>
      <c r="D98" s="2" t="s">
        <v>444</v>
      </c>
      <c r="E98" s="2" t="s">
        <v>303</v>
      </c>
      <c r="F98" s="2" t="s">
        <v>302</v>
      </c>
      <c r="G98" s="2" t="s">
        <v>541</v>
      </c>
      <c r="H98" s="2" t="s">
        <v>187</v>
      </c>
      <c r="I98" s="2" t="s">
        <v>2</v>
      </c>
      <c r="J98" s="2" t="s">
        <v>686</v>
      </c>
      <c r="K98" s="2" t="s">
        <v>187</v>
      </c>
      <c r="L98" s="2" t="s">
        <v>2</v>
      </c>
      <c r="M98" s="2" t="s">
        <v>2131</v>
      </c>
      <c r="N98" s="2" t="s">
        <v>187</v>
      </c>
      <c r="O98" s="2" t="s">
        <v>1</v>
      </c>
      <c r="P98" s="2" t="s">
        <v>1815</v>
      </c>
      <c r="Q98" s="2" t="s">
        <v>187</v>
      </c>
      <c r="R98" s="2"/>
      <c r="S98" s="2" t="s">
        <v>1634</v>
      </c>
      <c r="T98" t="s">
        <v>187</v>
      </c>
      <c r="U98" s="2" t="s">
        <v>1</v>
      </c>
      <c r="V98" s="2" t="s">
        <v>1635</v>
      </c>
      <c r="W98" s="2" t="s">
        <v>187</v>
      </c>
      <c r="X98" s="2" t="s">
        <v>2</v>
      </c>
      <c r="Y98">
        <f t="shared" si="1"/>
        <v>611</v>
      </c>
    </row>
    <row r="99" spans="1:25" ht="409.5" hidden="1" x14ac:dyDescent="0.25">
      <c r="A99" t="s">
        <v>183</v>
      </c>
      <c r="B99" t="s">
        <v>184</v>
      </c>
      <c r="C99" s="2" t="s">
        <v>445</v>
      </c>
      <c r="D99" s="2" t="s">
        <v>444</v>
      </c>
      <c r="E99" s="2" t="s">
        <v>304</v>
      </c>
      <c r="F99" s="2" t="s">
        <v>302</v>
      </c>
      <c r="G99" s="2" t="s">
        <v>542</v>
      </c>
      <c r="H99" s="2" t="s">
        <v>187</v>
      </c>
      <c r="I99" s="2" t="s">
        <v>2</v>
      </c>
      <c r="J99" s="2" t="s">
        <v>687</v>
      </c>
      <c r="K99" s="2" t="s">
        <v>187</v>
      </c>
      <c r="L99" s="2" t="s">
        <v>2</v>
      </c>
      <c r="M99" s="2" t="s">
        <v>2132</v>
      </c>
      <c r="N99" s="2" t="s">
        <v>187</v>
      </c>
      <c r="O99" s="2" t="s">
        <v>1</v>
      </c>
      <c r="P99" s="2" t="s">
        <v>1816</v>
      </c>
      <c r="Q99" s="2" t="s">
        <v>194</v>
      </c>
      <c r="R99" s="2"/>
      <c r="S99" s="2" t="s">
        <v>1636</v>
      </c>
      <c r="T99" t="s">
        <v>3</v>
      </c>
      <c r="U99" s="2" t="s">
        <v>1</v>
      </c>
      <c r="V99" s="2" t="s">
        <v>1637</v>
      </c>
      <c r="W99" s="2" t="s">
        <v>187</v>
      </c>
      <c r="X99" s="2" t="s">
        <v>2</v>
      </c>
      <c r="Y99">
        <f t="shared" si="1"/>
        <v>612</v>
      </c>
    </row>
    <row r="100" spans="1:25" ht="409.5" hidden="1" x14ac:dyDescent="0.25">
      <c r="A100" t="s">
        <v>183</v>
      </c>
      <c r="B100" t="s">
        <v>184</v>
      </c>
      <c r="C100" s="2" t="s">
        <v>445</v>
      </c>
      <c r="D100" s="2" t="s">
        <v>444</v>
      </c>
      <c r="E100" s="2" t="s">
        <v>305</v>
      </c>
      <c r="F100" s="2" t="s">
        <v>302</v>
      </c>
      <c r="G100" s="2" t="s">
        <v>543</v>
      </c>
      <c r="H100" s="2" t="s">
        <v>187</v>
      </c>
      <c r="I100" s="2" t="s">
        <v>2</v>
      </c>
      <c r="J100" s="2" t="s">
        <v>688</v>
      </c>
      <c r="K100" s="2" t="s">
        <v>187</v>
      </c>
      <c r="L100" s="2" t="s">
        <v>2</v>
      </c>
      <c r="M100" s="2" t="s">
        <v>2133</v>
      </c>
      <c r="N100" s="2" t="s">
        <v>187</v>
      </c>
      <c r="O100" s="2" t="s">
        <v>1</v>
      </c>
      <c r="P100" s="2" t="s">
        <v>1817</v>
      </c>
      <c r="Q100" s="2" t="s">
        <v>194</v>
      </c>
      <c r="R100" s="2"/>
      <c r="S100" s="2" t="s">
        <v>1638</v>
      </c>
      <c r="T100" t="s">
        <v>187</v>
      </c>
      <c r="U100" s="2" t="s">
        <v>2</v>
      </c>
      <c r="V100" s="2" t="s">
        <v>1639</v>
      </c>
      <c r="W100" s="2" t="s">
        <v>187</v>
      </c>
      <c r="X100" s="2" t="s">
        <v>2</v>
      </c>
      <c r="Y100">
        <f t="shared" si="1"/>
        <v>605</v>
      </c>
    </row>
    <row r="101" spans="1:25" ht="409.5" hidden="1" x14ac:dyDescent="0.25">
      <c r="A101" t="s">
        <v>183</v>
      </c>
      <c r="B101" t="s">
        <v>184</v>
      </c>
      <c r="C101" s="2" t="s">
        <v>445</v>
      </c>
      <c r="D101" s="2" t="s">
        <v>444</v>
      </c>
      <c r="E101" s="2" t="s">
        <v>306</v>
      </c>
      <c r="F101" s="2" t="s">
        <v>302</v>
      </c>
      <c r="G101" s="2" t="s">
        <v>544</v>
      </c>
      <c r="H101" s="2" t="s">
        <v>187</v>
      </c>
      <c r="I101" s="2" t="s">
        <v>2</v>
      </c>
      <c r="J101" s="2" t="s">
        <v>689</v>
      </c>
      <c r="K101" s="2" t="s">
        <v>187</v>
      </c>
      <c r="L101" s="2" t="s">
        <v>2</v>
      </c>
      <c r="M101" s="2" t="s">
        <v>2134</v>
      </c>
      <c r="N101" s="2" t="s">
        <v>187</v>
      </c>
      <c r="O101" s="2" t="s">
        <v>1</v>
      </c>
      <c r="P101" s="2" t="s">
        <v>1818</v>
      </c>
      <c r="Q101" s="2" t="s">
        <v>3</v>
      </c>
      <c r="R101" s="2"/>
      <c r="S101" s="2" t="s">
        <v>1640</v>
      </c>
      <c r="T101" t="s">
        <v>3</v>
      </c>
      <c r="U101" s="2" t="s">
        <v>1</v>
      </c>
      <c r="V101" s="2" t="s">
        <v>1641</v>
      </c>
      <c r="W101" s="2" t="s">
        <v>187</v>
      </c>
      <c r="X101" s="2" t="s">
        <v>2</v>
      </c>
      <c r="Y101">
        <f t="shared" si="1"/>
        <v>621</v>
      </c>
    </row>
    <row r="102" spans="1:25" ht="409.5" hidden="1" x14ac:dyDescent="0.25">
      <c r="A102" t="s">
        <v>183</v>
      </c>
      <c r="B102" t="s">
        <v>184</v>
      </c>
      <c r="C102" s="2" t="s">
        <v>445</v>
      </c>
      <c r="D102" s="2" t="s">
        <v>444</v>
      </c>
      <c r="E102" s="2" t="s">
        <v>307</v>
      </c>
      <c r="F102" s="2" t="s">
        <v>203</v>
      </c>
      <c r="G102" s="2" t="s">
        <v>545</v>
      </c>
      <c r="H102" s="2" t="s">
        <v>187</v>
      </c>
      <c r="I102" s="2" t="s">
        <v>2</v>
      </c>
      <c r="J102" s="2" t="s">
        <v>690</v>
      </c>
      <c r="K102" s="2" t="s">
        <v>187</v>
      </c>
      <c r="L102" s="2" t="s">
        <v>2</v>
      </c>
      <c r="M102" s="2" t="s">
        <v>2135</v>
      </c>
      <c r="N102" s="2" t="s">
        <v>187</v>
      </c>
      <c r="O102" s="2" t="s">
        <v>1</v>
      </c>
      <c r="P102" s="2" t="s">
        <v>1819</v>
      </c>
      <c r="Q102" s="2" t="s">
        <v>194</v>
      </c>
      <c r="R102" s="2" t="s">
        <v>2</v>
      </c>
      <c r="S102" s="2" t="s">
        <v>1642</v>
      </c>
      <c r="T102" t="s">
        <v>187</v>
      </c>
      <c r="U102" s="2" t="s">
        <v>2</v>
      </c>
      <c r="V102" s="2" t="s">
        <v>1643</v>
      </c>
      <c r="W102" s="2" t="s">
        <v>194</v>
      </c>
      <c r="X102" s="2" t="s">
        <v>2</v>
      </c>
      <c r="Y102">
        <f t="shared" si="1"/>
        <v>617</v>
      </c>
    </row>
    <row r="103" spans="1:25" ht="409.5" hidden="1" x14ac:dyDescent="0.25">
      <c r="A103" t="s">
        <v>183</v>
      </c>
      <c r="B103" t="s">
        <v>184</v>
      </c>
      <c r="C103" s="2" t="s">
        <v>445</v>
      </c>
      <c r="D103" s="2" t="s">
        <v>444</v>
      </c>
      <c r="E103" s="2" t="s">
        <v>308</v>
      </c>
      <c r="F103" s="2" t="s">
        <v>203</v>
      </c>
      <c r="G103" s="2" t="s">
        <v>546</v>
      </c>
      <c r="H103" s="2" t="s">
        <v>187</v>
      </c>
      <c r="I103" s="2" t="s">
        <v>2</v>
      </c>
      <c r="J103" s="2" t="s">
        <v>691</v>
      </c>
      <c r="K103" s="2" t="s">
        <v>194</v>
      </c>
      <c r="L103" s="2" t="s">
        <v>2</v>
      </c>
      <c r="M103" s="2" t="s">
        <v>2136</v>
      </c>
      <c r="N103" s="2" t="s">
        <v>187</v>
      </c>
      <c r="O103" s="2" t="s">
        <v>1</v>
      </c>
      <c r="P103" s="2" t="s">
        <v>1820</v>
      </c>
      <c r="Q103" s="2" t="s">
        <v>187</v>
      </c>
      <c r="R103" s="2" t="s">
        <v>2</v>
      </c>
      <c r="S103" s="2" t="s">
        <v>1644</v>
      </c>
      <c r="T103" t="s">
        <v>194</v>
      </c>
      <c r="U103" s="2" t="s">
        <v>2</v>
      </c>
      <c r="V103" s="2" t="s">
        <v>1645</v>
      </c>
      <c r="W103" s="2" t="s">
        <v>187</v>
      </c>
      <c r="X103" s="2" t="s">
        <v>2</v>
      </c>
      <c r="Y103">
        <f t="shared" si="1"/>
        <v>604</v>
      </c>
    </row>
    <row r="104" spans="1:25" ht="409.5" hidden="1" x14ac:dyDescent="0.25">
      <c r="A104" t="s">
        <v>183</v>
      </c>
      <c r="B104" t="s">
        <v>184</v>
      </c>
      <c r="C104" s="2" t="s">
        <v>445</v>
      </c>
      <c r="D104" s="2" t="s">
        <v>444</v>
      </c>
      <c r="E104" s="2" t="s">
        <v>309</v>
      </c>
      <c r="F104" s="2" t="s">
        <v>203</v>
      </c>
      <c r="G104" s="2" t="s">
        <v>547</v>
      </c>
      <c r="H104" s="2" t="s">
        <v>194</v>
      </c>
      <c r="I104" s="2" t="s">
        <v>2</v>
      </c>
      <c r="J104" s="2" t="s">
        <v>692</v>
      </c>
      <c r="K104" s="2" t="s">
        <v>194</v>
      </c>
      <c r="L104" s="2" t="s">
        <v>2</v>
      </c>
      <c r="M104" s="2" t="s">
        <v>2137</v>
      </c>
      <c r="N104" s="2" t="s">
        <v>187</v>
      </c>
      <c r="O104" s="2" t="s">
        <v>1</v>
      </c>
      <c r="P104" s="2" t="s">
        <v>1821</v>
      </c>
      <c r="Q104" s="2" t="s">
        <v>194</v>
      </c>
      <c r="R104" s="2" t="s">
        <v>1</v>
      </c>
      <c r="S104" s="2" t="s">
        <v>2187</v>
      </c>
      <c r="T104" t="s">
        <v>187</v>
      </c>
      <c r="U104" s="2" t="s">
        <v>1</v>
      </c>
      <c r="V104" s="2" t="s">
        <v>1646</v>
      </c>
      <c r="W104" s="2" t="s">
        <v>194</v>
      </c>
      <c r="X104" s="2" t="s">
        <v>2</v>
      </c>
      <c r="Y104">
        <f t="shared" si="1"/>
        <v>607</v>
      </c>
    </row>
    <row r="105" spans="1:25" ht="409.5" hidden="1" x14ac:dyDescent="0.25">
      <c r="A105" t="s">
        <v>183</v>
      </c>
      <c r="B105" t="s">
        <v>184</v>
      </c>
      <c r="C105" s="2" t="s">
        <v>445</v>
      </c>
      <c r="D105" s="2" t="s">
        <v>444</v>
      </c>
      <c r="E105" s="2" t="s">
        <v>310</v>
      </c>
      <c r="F105" s="2" t="s">
        <v>203</v>
      </c>
      <c r="G105" s="2" t="s">
        <v>548</v>
      </c>
      <c r="H105" s="2" t="s">
        <v>194</v>
      </c>
      <c r="I105" s="2" t="s">
        <v>2</v>
      </c>
      <c r="J105" s="2" t="s">
        <v>693</v>
      </c>
      <c r="K105" s="2" t="s">
        <v>187</v>
      </c>
      <c r="L105" s="2" t="s">
        <v>2</v>
      </c>
      <c r="M105" s="2" t="s">
        <v>2138</v>
      </c>
      <c r="N105" s="2" t="s">
        <v>187</v>
      </c>
      <c r="O105" s="2" t="s">
        <v>1</v>
      </c>
      <c r="P105" s="2" t="s">
        <v>1822</v>
      </c>
      <c r="Q105" s="2" t="s">
        <v>187</v>
      </c>
      <c r="R105" s="2" t="s">
        <v>1</v>
      </c>
      <c r="S105" s="2" t="s">
        <v>1647</v>
      </c>
      <c r="T105" t="s">
        <v>194</v>
      </c>
      <c r="U105" s="2" t="s">
        <v>2</v>
      </c>
      <c r="V105" s="2" t="s">
        <v>1648</v>
      </c>
      <c r="W105" s="2" t="s">
        <v>194</v>
      </c>
      <c r="X105" s="2" t="s">
        <v>2</v>
      </c>
      <c r="Y105">
        <f t="shared" si="1"/>
        <v>609</v>
      </c>
    </row>
    <row r="106" spans="1:25" ht="409.5" hidden="1" x14ac:dyDescent="0.25">
      <c r="A106" t="s">
        <v>183</v>
      </c>
      <c r="B106" t="s">
        <v>184</v>
      </c>
      <c r="C106" s="2" t="s">
        <v>445</v>
      </c>
      <c r="D106" s="2" t="s">
        <v>444</v>
      </c>
      <c r="E106" s="2" t="s">
        <v>311</v>
      </c>
      <c r="F106" s="2" t="s">
        <v>203</v>
      </c>
      <c r="G106" s="2" t="s">
        <v>549</v>
      </c>
      <c r="H106" s="2" t="s">
        <v>187</v>
      </c>
      <c r="I106" s="2" t="s">
        <v>2</v>
      </c>
      <c r="J106" s="2" t="s">
        <v>694</v>
      </c>
      <c r="K106" s="2" t="s">
        <v>194</v>
      </c>
      <c r="L106" s="2" t="s">
        <v>2</v>
      </c>
      <c r="M106" s="2" t="s">
        <v>2139</v>
      </c>
      <c r="N106" s="2" t="s">
        <v>187</v>
      </c>
      <c r="O106" s="2" t="s">
        <v>1</v>
      </c>
      <c r="P106" s="2" t="s">
        <v>1823</v>
      </c>
      <c r="Q106" s="2" t="s">
        <v>194</v>
      </c>
      <c r="R106" s="2" t="s">
        <v>2</v>
      </c>
      <c r="S106" s="2" t="s">
        <v>1649</v>
      </c>
      <c r="T106" t="s">
        <v>194</v>
      </c>
      <c r="U106" s="2" t="s">
        <v>2</v>
      </c>
      <c r="V106" s="2" t="s">
        <v>1650</v>
      </c>
      <c r="W106" s="2" t="s">
        <v>194</v>
      </c>
      <c r="X106" s="2" t="s">
        <v>2</v>
      </c>
      <c r="Y106">
        <f t="shared" si="1"/>
        <v>606</v>
      </c>
    </row>
    <row r="107" spans="1:25" ht="409.5" hidden="1" x14ac:dyDescent="0.25">
      <c r="A107" t="s">
        <v>183</v>
      </c>
      <c r="B107" t="s">
        <v>184</v>
      </c>
      <c r="C107" s="2" t="s">
        <v>445</v>
      </c>
      <c r="D107" s="2" t="s">
        <v>444</v>
      </c>
      <c r="E107" s="2" t="s">
        <v>312</v>
      </c>
      <c r="F107" s="2" t="s">
        <v>313</v>
      </c>
      <c r="G107" s="2" t="s">
        <v>550</v>
      </c>
      <c r="H107" s="2" t="s">
        <v>194</v>
      </c>
      <c r="I107" s="2" t="s">
        <v>2</v>
      </c>
      <c r="J107" s="2" t="s">
        <v>695</v>
      </c>
      <c r="K107" s="2" t="s">
        <v>187</v>
      </c>
      <c r="L107" s="2" t="s">
        <v>2</v>
      </c>
      <c r="M107" s="2" t="s">
        <v>2140</v>
      </c>
      <c r="N107" s="2" t="s">
        <v>187</v>
      </c>
      <c r="O107" s="2" t="s">
        <v>1</v>
      </c>
      <c r="P107" s="2" t="s">
        <v>1824</v>
      </c>
      <c r="Q107" s="2" t="s">
        <v>187</v>
      </c>
      <c r="R107" s="2" t="s">
        <v>2</v>
      </c>
      <c r="S107" s="2" t="s">
        <v>1651</v>
      </c>
      <c r="T107" t="s">
        <v>3</v>
      </c>
      <c r="U107" s="2" t="s">
        <v>1</v>
      </c>
      <c r="V107" s="2" t="s">
        <v>1652</v>
      </c>
      <c r="W107" s="2" t="s">
        <v>187</v>
      </c>
      <c r="X107" s="2" t="s">
        <v>2</v>
      </c>
      <c r="Y107">
        <f t="shared" si="1"/>
        <v>623</v>
      </c>
    </row>
    <row r="108" spans="1:25" ht="409.5" hidden="1" x14ac:dyDescent="0.25">
      <c r="A108" t="s">
        <v>183</v>
      </c>
      <c r="B108" t="s">
        <v>184</v>
      </c>
      <c r="C108" s="2" t="s">
        <v>445</v>
      </c>
      <c r="D108" s="2" t="s">
        <v>444</v>
      </c>
      <c r="E108" s="2" t="s">
        <v>314</v>
      </c>
      <c r="F108" s="2" t="s">
        <v>313</v>
      </c>
      <c r="G108" s="2" t="s">
        <v>551</v>
      </c>
      <c r="H108" s="2" t="s">
        <v>187</v>
      </c>
      <c r="I108" s="2" t="s">
        <v>2</v>
      </c>
      <c r="J108" s="2" t="s">
        <v>696</v>
      </c>
      <c r="K108" s="2" t="s">
        <v>187</v>
      </c>
      <c r="L108" s="2" t="s">
        <v>2</v>
      </c>
      <c r="M108" s="2" t="s">
        <v>2141</v>
      </c>
      <c r="N108" s="2" t="s">
        <v>187</v>
      </c>
      <c r="O108" s="2" t="s">
        <v>1</v>
      </c>
      <c r="P108" s="2" t="s">
        <v>1825</v>
      </c>
      <c r="Q108" s="2" t="s">
        <v>187</v>
      </c>
      <c r="R108" s="2" t="s">
        <v>2</v>
      </c>
      <c r="S108" s="2" t="s">
        <v>2188</v>
      </c>
      <c r="T108" t="s">
        <v>187</v>
      </c>
      <c r="U108" s="2" t="s">
        <v>1</v>
      </c>
      <c r="V108" s="2" t="s">
        <v>1653</v>
      </c>
      <c r="W108" s="2" t="s">
        <v>194</v>
      </c>
      <c r="X108" s="2" t="s">
        <v>2</v>
      </c>
      <c r="Y108">
        <f t="shared" si="1"/>
        <v>616</v>
      </c>
    </row>
    <row r="109" spans="1:25" ht="409.5" hidden="1" x14ac:dyDescent="0.25">
      <c r="A109" t="s">
        <v>183</v>
      </c>
      <c r="B109" t="s">
        <v>184</v>
      </c>
      <c r="C109" s="2" t="s">
        <v>445</v>
      </c>
      <c r="D109" s="2" t="s">
        <v>444</v>
      </c>
      <c r="E109" s="2" t="s">
        <v>315</v>
      </c>
      <c r="F109" s="2" t="s">
        <v>313</v>
      </c>
      <c r="G109" s="2" t="s">
        <v>552</v>
      </c>
      <c r="H109" s="2" t="s">
        <v>187</v>
      </c>
      <c r="I109" s="2" t="s">
        <v>2</v>
      </c>
      <c r="J109" s="2" t="s">
        <v>697</v>
      </c>
      <c r="K109" s="2" t="s">
        <v>187</v>
      </c>
      <c r="L109" s="2" t="s">
        <v>2</v>
      </c>
      <c r="M109" s="2" t="s">
        <v>2142</v>
      </c>
      <c r="N109" s="2" t="s">
        <v>187</v>
      </c>
      <c r="O109" s="2" t="s">
        <v>1</v>
      </c>
      <c r="P109" s="2" t="s">
        <v>1826</v>
      </c>
      <c r="Q109" s="2" t="s">
        <v>187</v>
      </c>
      <c r="R109" s="2" t="s">
        <v>2</v>
      </c>
      <c r="S109" s="2" t="s">
        <v>2209</v>
      </c>
      <c r="T109" s="2" t="s">
        <v>187</v>
      </c>
      <c r="U109" s="2" t="s">
        <v>1</v>
      </c>
      <c r="V109" s="2" t="s">
        <v>1654</v>
      </c>
      <c r="W109" s="2" t="s">
        <v>187</v>
      </c>
      <c r="X109" s="2" t="s">
        <v>2</v>
      </c>
      <c r="Y109">
        <f t="shared" si="1"/>
        <v>608</v>
      </c>
    </row>
    <row r="110" spans="1:25" ht="409.5" hidden="1" x14ac:dyDescent="0.25">
      <c r="A110" t="s">
        <v>183</v>
      </c>
      <c r="B110" t="s">
        <v>184</v>
      </c>
      <c r="C110" s="2" t="s">
        <v>445</v>
      </c>
      <c r="D110" s="2" t="s">
        <v>444</v>
      </c>
      <c r="E110" s="2" t="s">
        <v>316</v>
      </c>
      <c r="F110" s="2" t="s">
        <v>313</v>
      </c>
      <c r="G110" s="2" t="s">
        <v>553</v>
      </c>
      <c r="H110" s="2" t="s">
        <v>187</v>
      </c>
      <c r="I110" s="2" t="s">
        <v>2</v>
      </c>
      <c r="J110" s="2" t="s">
        <v>698</v>
      </c>
      <c r="K110" s="2" t="s">
        <v>187</v>
      </c>
      <c r="L110" s="2" t="s">
        <v>2</v>
      </c>
      <c r="M110" s="2" t="s">
        <v>2143</v>
      </c>
      <c r="N110" s="2" t="s">
        <v>187</v>
      </c>
      <c r="O110" s="2" t="s">
        <v>1</v>
      </c>
      <c r="P110" s="2" t="s">
        <v>1827</v>
      </c>
      <c r="Q110" s="2" t="s">
        <v>187</v>
      </c>
      <c r="R110" s="2" t="s">
        <v>2</v>
      </c>
      <c r="S110" s="2" t="s">
        <v>2189</v>
      </c>
      <c r="T110" t="s">
        <v>187</v>
      </c>
      <c r="U110" s="2" t="s">
        <v>1</v>
      </c>
      <c r="V110" s="2" t="s">
        <v>1655</v>
      </c>
      <c r="W110" s="2" t="s">
        <v>187</v>
      </c>
      <c r="X110" s="2" t="s">
        <v>2</v>
      </c>
      <c r="Y110">
        <f t="shared" si="1"/>
        <v>618</v>
      </c>
    </row>
    <row r="111" spans="1:25" ht="409.5" hidden="1" x14ac:dyDescent="0.25">
      <c r="A111" t="s">
        <v>183</v>
      </c>
      <c r="B111" t="s">
        <v>184</v>
      </c>
      <c r="C111" s="2" t="s">
        <v>445</v>
      </c>
      <c r="D111" s="2" t="s">
        <v>444</v>
      </c>
      <c r="E111" s="2" t="s">
        <v>317</v>
      </c>
      <c r="F111" s="2" t="s">
        <v>313</v>
      </c>
      <c r="G111" s="2" t="s">
        <v>554</v>
      </c>
      <c r="H111" s="2" t="s">
        <v>187</v>
      </c>
      <c r="I111" s="2" t="s">
        <v>2</v>
      </c>
      <c r="J111" s="2" t="s">
        <v>699</v>
      </c>
      <c r="K111" s="2" t="s">
        <v>187</v>
      </c>
      <c r="L111" s="2" t="s">
        <v>2</v>
      </c>
      <c r="M111" s="2" t="s">
        <v>2144</v>
      </c>
      <c r="N111" s="2" t="s">
        <v>187</v>
      </c>
      <c r="O111" s="2" t="s">
        <v>1</v>
      </c>
      <c r="P111" s="2" t="s">
        <v>1828</v>
      </c>
      <c r="Q111" s="2" t="s">
        <v>187</v>
      </c>
      <c r="R111" s="2" t="s">
        <v>2</v>
      </c>
      <c r="S111" s="2" t="s">
        <v>1656</v>
      </c>
      <c r="T111" t="s">
        <v>187</v>
      </c>
      <c r="U111" s="2" t="s">
        <v>1</v>
      </c>
      <c r="V111" s="2" t="s">
        <v>1657</v>
      </c>
      <c r="W111" s="2" t="s">
        <v>187</v>
      </c>
      <c r="X111" s="2" t="s">
        <v>2</v>
      </c>
      <c r="Y111">
        <f t="shared" si="1"/>
        <v>628</v>
      </c>
    </row>
    <row r="112" spans="1:25" ht="409.5" hidden="1" x14ac:dyDescent="0.25">
      <c r="A112" t="s">
        <v>183</v>
      </c>
      <c r="B112" t="s">
        <v>184</v>
      </c>
      <c r="C112" s="2" t="s">
        <v>445</v>
      </c>
      <c r="D112" s="2" t="s">
        <v>444</v>
      </c>
      <c r="E112" s="2" t="s">
        <v>318</v>
      </c>
      <c r="F112" s="2" t="s">
        <v>319</v>
      </c>
      <c r="G112" s="2" t="s">
        <v>555</v>
      </c>
      <c r="H112" s="2" t="s">
        <v>187</v>
      </c>
      <c r="I112" s="2" t="s">
        <v>2</v>
      </c>
      <c r="J112" s="2" t="s">
        <v>700</v>
      </c>
      <c r="K112" s="2" t="s">
        <v>187</v>
      </c>
      <c r="L112" s="2" t="s">
        <v>2</v>
      </c>
      <c r="M112" s="2" t="s">
        <v>2145</v>
      </c>
      <c r="N112" s="2" t="s">
        <v>187</v>
      </c>
      <c r="O112" s="2" t="s">
        <v>1</v>
      </c>
      <c r="P112" s="2" t="s">
        <v>1829</v>
      </c>
      <c r="Q112" s="2" t="s">
        <v>187</v>
      </c>
      <c r="R112" s="2"/>
      <c r="S112" s="2" t="s">
        <v>2190</v>
      </c>
      <c r="T112" t="s">
        <v>187</v>
      </c>
      <c r="U112" s="2" t="s">
        <v>1</v>
      </c>
      <c r="V112" s="2" t="s">
        <v>1658</v>
      </c>
      <c r="W112" s="2" t="s">
        <v>187</v>
      </c>
      <c r="X112" s="2" t="s">
        <v>2</v>
      </c>
      <c r="Y112">
        <f t="shared" si="1"/>
        <v>612</v>
      </c>
    </row>
    <row r="113" spans="1:25" ht="409.5" hidden="1" x14ac:dyDescent="0.25">
      <c r="A113" t="s">
        <v>183</v>
      </c>
      <c r="B113" t="s">
        <v>184</v>
      </c>
      <c r="C113" s="2" t="s">
        <v>445</v>
      </c>
      <c r="D113" s="2" t="s">
        <v>444</v>
      </c>
      <c r="E113" s="2" t="s">
        <v>320</v>
      </c>
      <c r="F113" s="2" t="s">
        <v>319</v>
      </c>
      <c r="G113" s="2" t="s">
        <v>556</v>
      </c>
      <c r="H113" s="2" t="s">
        <v>194</v>
      </c>
      <c r="I113" s="2" t="s">
        <v>2</v>
      </c>
      <c r="J113" s="2" t="s">
        <v>701</v>
      </c>
      <c r="K113" s="2" t="s">
        <v>187</v>
      </c>
      <c r="L113" s="2" t="s">
        <v>2</v>
      </c>
      <c r="M113" s="2" t="s">
        <v>2146</v>
      </c>
      <c r="N113" s="2" t="s">
        <v>187</v>
      </c>
      <c r="O113" s="2" t="s">
        <v>1</v>
      </c>
      <c r="P113" s="2" t="s">
        <v>1830</v>
      </c>
      <c r="Q113" s="2" t="s">
        <v>187</v>
      </c>
      <c r="R113" s="2"/>
      <c r="S113" s="2" t="s">
        <v>1659</v>
      </c>
      <c r="T113" t="s">
        <v>187</v>
      </c>
      <c r="U113" s="2" t="s">
        <v>1</v>
      </c>
      <c r="V113" s="2" t="s">
        <v>1660</v>
      </c>
      <c r="W113" s="2" t="s">
        <v>187</v>
      </c>
      <c r="X113" s="2" t="s">
        <v>2</v>
      </c>
      <c r="Y113">
        <f t="shared" si="1"/>
        <v>608</v>
      </c>
    </row>
    <row r="114" spans="1:25" ht="409.5" hidden="1" x14ac:dyDescent="0.25">
      <c r="A114" t="s">
        <v>183</v>
      </c>
      <c r="B114" t="s">
        <v>184</v>
      </c>
      <c r="C114" s="2" t="s">
        <v>445</v>
      </c>
      <c r="D114" s="2" t="s">
        <v>444</v>
      </c>
      <c r="E114" s="2" t="s">
        <v>321</v>
      </c>
      <c r="F114" s="2" t="s">
        <v>319</v>
      </c>
      <c r="G114" s="2" t="s">
        <v>557</v>
      </c>
      <c r="H114" s="2" t="s">
        <v>194</v>
      </c>
      <c r="I114" s="2" t="s">
        <v>2</v>
      </c>
      <c r="J114" s="2" t="s">
        <v>702</v>
      </c>
      <c r="K114" s="2" t="s">
        <v>187</v>
      </c>
      <c r="L114" s="2" t="s">
        <v>2</v>
      </c>
      <c r="M114" s="2" t="s">
        <v>2147</v>
      </c>
      <c r="N114" s="2" t="s">
        <v>187</v>
      </c>
      <c r="O114" s="2" t="s">
        <v>1</v>
      </c>
      <c r="P114" s="2" t="s">
        <v>1831</v>
      </c>
      <c r="Q114" s="2" t="s">
        <v>187</v>
      </c>
      <c r="R114" s="2"/>
      <c r="S114" s="2" t="s">
        <v>1661</v>
      </c>
      <c r="T114" t="s">
        <v>187</v>
      </c>
      <c r="U114" s="2" t="s">
        <v>2</v>
      </c>
      <c r="V114" s="2" t="s">
        <v>1662</v>
      </c>
      <c r="W114" s="2" t="s">
        <v>3</v>
      </c>
      <c r="X114" s="2" t="s">
        <v>2</v>
      </c>
      <c r="Y114">
        <f t="shared" si="1"/>
        <v>624</v>
      </c>
    </row>
    <row r="115" spans="1:25" ht="409.5" hidden="1" x14ac:dyDescent="0.25">
      <c r="A115" t="s">
        <v>183</v>
      </c>
      <c r="B115" t="s">
        <v>184</v>
      </c>
      <c r="C115" s="2" t="s">
        <v>445</v>
      </c>
      <c r="D115" s="2" t="s">
        <v>444</v>
      </c>
      <c r="E115" s="2" t="s">
        <v>322</v>
      </c>
      <c r="F115" s="2" t="s">
        <v>319</v>
      </c>
      <c r="G115" s="2" t="s">
        <v>558</v>
      </c>
      <c r="H115" s="2" t="s">
        <v>187</v>
      </c>
      <c r="I115" s="2" t="s">
        <v>2</v>
      </c>
      <c r="J115" s="2" t="s">
        <v>703</v>
      </c>
      <c r="K115" s="2" t="s">
        <v>187</v>
      </c>
      <c r="L115" s="2" t="s">
        <v>2</v>
      </c>
      <c r="M115" s="2" t="s">
        <v>2148</v>
      </c>
      <c r="N115" s="2" t="s">
        <v>187</v>
      </c>
      <c r="O115" s="2" t="s">
        <v>1</v>
      </c>
      <c r="P115" s="2" t="s">
        <v>1832</v>
      </c>
      <c r="Q115" s="2" t="s">
        <v>187</v>
      </c>
      <c r="R115" s="2"/>
      <c r="S115" s="2" t="s">
        <v>1663</v>
      </c>
      <c r="T115" t="s">
        <v>194</v>
      </c>
      <c r="U115" s="2" t="s">
        <v>2</v>
      </c>
      <c r="V115" s="2" t="s">
        <v>1664</v>
      </c>
      <c r="W115" s="2" t="s">
        <v>194</v>
      </c>
      <c r="X115" s="2" t="s">
        <v>2</v>
      </c>
      <c r="Y115">
        <f t="shared" si="1"/>
        <v>612</v>
      </c>
    </row>
    <row r="116" spans="1:25" ht="409.5" hidden="1" x14ac:dyDescent="0.25">
      <c r="A116" t="s">
        <v>183</v>
      </c>
      <c r="B116" t="s">
        <v>184</v>
      </c>
      <c r="C116" s="2" t="s">
        <v>445</v>
      </c>
      <c r="D116" s="2" t="s">
        <v>444</v>
      </c>
      <c r="E116" s="2" t="s">
        <v>323</v>
      </c>
      <c r="F116" s="2" t="s">
        <v>319</v>
      </c>
      <c r="G116" s="2" t="s">
        <v>559</v>
      </c>
      <c r="H116" s="2" t="s">
        <v>187</v>
      </c>
      <c r="I116" s="2" t="s">
        <v>2</v>
      </c>
      <c r="J116" s="2" t="s">
        <v>704</v>
      </c>
      <c r="K116" s="2" t="s">
        <v>187</v>
      </c>
      <c r="L116" s="2" t="s">
        <v>2</v>
      </c>
      <c r="M116" s="2" t="s">
        <v>2149</v>
      </c>
      <c r="N116" s="2" t="s">
        <v>194</v>
      </c>
      <c r="O116" s="2" t="s">
        <v>1</v>
      </c>
      <c r="P116" s="2" t="s">
        <v>1833</v>
      </c>
      <c r="Q116" s="2" t="s">
        <v>187</v>
      </c>
      <c r="R116" s="2"/>
      <c r="S116" s="2" t="s">
        <v>1665</v>
      </c>
      <c r="T116" t="s">
        <v>187</v>
      </c>
      <c r="U116" s="2" t="s">
        <v>1</v>
      </c>
      <c r="V116" s="2" t="s">
        <v>1666</v>
      </c>
      <c r="W116" s="2" t="s">
        <v>187</v>
      </c>
      <c r="X116" s="2" t="s">
        <v>2</v>
      </c>
      <c r="Y116">
        <f t="shared" si="1"/>
        <v>619</v>
      </c>
    </row>
    <row r="117" spans="1:25" ht="409.5" hidden="1" x14ac:dyDescent="0.25">
      <c r="A117" t="s">
        <v>183</v>
      </c>
      <c r="B117" t="s">
        <v>184</v>
      </c>
      <c r="C117" s="2" t="s">
        <v>445</v>
      </c>
      <c r="D117" s="2" t="s">
        <v>444</v>
      </c>
      <c r="E117" s="2" t="s">
        <v>324</v>
      </c>
      <c r="F117" s="2" t="s">
        <v>325</v>
      </c>
      <c r="G117" s="2" t="s">
        <v>560</v>
      </c>
      <c r="H117" s="2" t="s">
        <v>194</v>
      </c>
      <c r="I117" s="2" t="s">
        <v>2</v>
      </c>
      <c r="J117" s="2" t="s">
        <v>705</v>
      </c>
      <c r="K117" s="2" t="s">
        <v>187</v>
      </c>
      <c r="L117" s="2" t="s">
        <v>2</v>
      </c>
      <c r="M117" s="2" t="s">
        <v>2150</v>
      </c>
      <c r="N117" s="2" t="s">
        <v>187</v>
      </c>
      <c r="O117" s="2" t="s">
        <v>1</v>
      </c>
      <c r="P117" s="2" t="s">
        <v>1834</v>
      </c>
      <c r="Q117" s="2" t="s">
        <v>187</v>
      </c>
      <c r="R117" s="2" t="s">
        <v>1</v>
      </c>
      <c r="S117" s="2" t="s">
        <v>2210</v>
      </c>
      <c r="T117" s="2" t="s">
        <v>187</v>
      </c>
      <c r="U117" s="2" t="s">
        <v>1</v>
      </c>
      <c r="V117" s="2" t="s">
        <v>1667</v>
      </c>
      <c r="W117" s="2" t="s">
        <v>194</v>
      </c>
      <c r="X117" s="2" t="s">
        <v>2</v>
      </c>
      <c r="Y117">
        <f t="shared" si="1"/>
        <v>591</v>
      </c>
    </row>
    <row r="118" spans="1:25" ht="409.5" hidden="1" x14ac:dyDescent="0.25">
      <c r="A118" t="s">
        <v>183</v>
      </c>
      <c r="B118" t="s">
        <v>184</v>
      </c>
      <c r="C118" s="2" t="s">
        <v>445</v>
      </c>
      <c r="D118" s="2" t="s">
        <v>444</v>
      </c>
      <c r="E118" s="2" t="s">
        <v>326</v>
      </c>
      <c r="F118" s="2" t="s">
        <v>325</v>
      </c>
      <c r="G118" s="2" t="s">
        <v>561</v>
      </c>
      <c r="H118" s="2" t="s">
        <v>187</v>
      </c>
      <c r="I118" s="2" t="s">
        <v>2</v>
      </c>
      <c r="J118" s="2" t="s">
        <v>706</v>
      </c>
      <c r="K118" s="2" t="s">
        <v>187</v>
      </c>
      <c r="L118" s="2" t="s">
        <v>2</v>
      </c>
      <c r="M118" s="2" t="s">
        <v>2151</v>
      </c>
      <c r="N118" s="2" t="s">
        <v>187</v>
      </c>
      <c r="O118" s="2" t="s">
        <v>1</v>
      </c>
      <c r="P118" s="2" t="s">
        <v>1835</v>
      </c>
      <c r="Q118" s="2" t="s">
        <v>187</v>
      </c>
      <c r="R118" s="2" t="s">
        <v>2</v>
      </c>
      <c r="S118" s="2" t="s">
        <v>1668</v>
      </c>
      <c r="T118" t="s">
        <v>194</v>
      </c>
      <c r="U118" s="2" t="s">
        <v>2</v>
      </c>
      <c r="V118" s="2" t="s">
        <v>1669</v>
      </c>
      <c r="W118" s="2" t="s">
        <v>187</v>
      </c>
      <c r="X118" s="2" t="s">
        <v>2</v>
      </c>
      <c r="Y118">
        <f t="shared" si="1"/>
        <v>617</v>
      </c>
    </row>
    <row r="119" spans="1:25" ht="409.5" hidden="1" x14ac:dyDescent="0.25">
      <c r="A119" t="s">
        <v>183</v>
      </c>
      <c r="B119" t="s">
        <v>184</v>
      </c>
      <c r="C119" s="2" t="s">
        <v>445</v>
      </c>
      <c r="D119" s="2" t="s">
        <v>444</v>
      </c>
      <c r="E119" s="2" t="s">
        <v>327</v>
      </c>
      <c r="F119" s="2" t="s">
        <v>325</v>
      </c>
      <c r="G119" s="2" t="s">
        <v>562</v>
      </c>
      <c r="H119" s="2" t="s">
        <v>187</v>
      </c>
      <c r="I119" s="2" t="s">
        <v>2</v>
      </c>
      <c r="J119" s="2" t="s">
        <v>707</v>
      </c>
      <c r="K119" s="2" t="s">
        <v>194</v>
      </c>
      <c r="L119" s="2" t="s">
        <v>2</v>
      </c>
      <c r="M119" s="2" t="s">
        <v>2152</v>
      </c>
      <c r="N119" s="2" t="s">
        <v>187</v>
      </c>
      <c r="O119" s="2" t="s">
        <v>1</v>
      </c>
      <c r="P119" s="2" t="s">
        <v>1836</v>
      </c>
      <c r="Q119" s="2" t="s">
        <v>187</v>
      </c>
      <c r="R119" s="2" t="s">
        <v>2</v>
      </c>
      <c r="S119" s="2" t="s">
        <v>1670</v>
      </c>
      <c r="T119" t="s">
        <v>194</v>
      </c>
      <c r="U119" s="2" t="s">
        <v>1</v>
      </c>
      <c r="V119" s="2" t="s">
        <v>1671</v>
      </c>
      <c r="W119" s="2" t="s">
        <v>3</v>
      </c>
      <c r="X119" s="2" t="s">
        <v>2</v>
      </c>
      <c r="Y119">
        <f t="shared" si="1"/>
        <v>601</v>
      </c>
    </row>
    <row r="120" spans="1:25" ht="409.5" hidden="1" x14ac:dyDescent="0.25">
      <c r="A120" t="s">
        <v>183</v>
      </c>
      <c r="B120" t="s">
        <v>184</v>
      </c>
      <c r="C120" s="2" t="s">
        <v>445</v>
      </c>
      <c r="D120" s="2" t="s">
        <v>444</v>
      </c>
      <c r="E120" s="2" t="s">
        <v>328</v>
      </c>
      <c r="F120" s="2" t="s">
        <v>325</v>
      </c>
      <c r="G120" s="2" t="s">
        <v>563</v>
      </c>
      <c r="H120" s="2" t="s">
        <v>187</v>
      </c>
      <c r="I120" s="2" t="s">
        <v>2</v>
      </c>
      <c r="J120" s="2" t="s">
        <v>708</v>
      </c>
      <c r="K120" s="2" t="s">
        <v>187</v>
      </c>
      <c r="L120" s="2" t="s">
        <v>2</v>
      </c>
      <c r="M120" s="2" t="s">
        <v>2153</v>
      </c>
      <c r="N120" s="2" t="s">
        <v>187</v>
      </c>
      <c r="O120" s="2" t="s">
        <v>1</v>
      </c>
      <c r="P120" s="2" t="s">
        <v>1837</v>
      </c>
      <c r="Q120" s="2" t="s">
        <v>187</v>
      </c>
      <c r="R120" s="2" t="s">
        <v>2</v>
      </c>
      <c r="S120" s="2" t="s">
        <v>1672</v>
      </c>
      <c r="T120" t="s">
        <v>187</v>
      </c>
      <c r="U120" s="2" t="s">
        <v>2</v>
      </c>
      <c r="V120" s="2" t="s">
        <v>1673</v>
      </c>
      <c r="W120" s="2" t="s">
        <v>187</v>
      </c>
      <c r="X120" s="2" t="s">
        <v>2</v>
      </c>
      <c r="Y120">
        <f t="shared" si="1"/>
        <v>599</v>
      </c>
    </row>
    <row r="121" spans="1:25" ht="409.5" hidden="1" x14ac:dyDescent="0.25">
      <c r="A121" t="s">
        <v>183</v>
      </c>
      <c r="B121" t="s">
        <v>184</v>
      </c>
      <c r="C121" s="2" t="s">
        <v>445</v>
      </c>
      <c r="D121" s="2" t="s">
        <v>444</v>
      </c>
      <c r="E121" s="2" t="s">
        <v>329</v>
      </c>
      <c r="F121" s="2" t="s">
        <v>325</v>
      </c>
      <c r="G121" s="2" t="s">
        <v>564</v>
      </c>
      <c r="H121" s="2" t="s">
        <v>194</v>
      </c>
      <c r="I121" s="2" t="s">
        <v>2</v>
      </c>
      <c r="J121" s="2" t="s">
        <v>709</v>
      </c>
      <c r="K121" s="2" t="s">
        <v>194</v>
      </c>
      <c r="L121" s="2" t="s">
        <v>2</v>
      </c>
      <c r="M121" s="2" t="s">
        <v>2154</v>
      </c>
      <c r="N121" s="2" t="s">
        <v>187</v>
      </c>
      <c r="O121" s="2" t="s">
        <v>1</v>
      </c>
      <c r="P121" s="2" t="s">
        <v>1838</v>
      </c>
      <c r="Q121" s="2" t="s">
        <v>187</v>
      </c>
      <c r="R121" s="2" t="s">
        <v>2</v>
      </c>
      <c r="S121" s="2" t="s">
        <v>1674</v>
      </c>
      <c r="T121" t="s">
        <v>194</v>
      </c>
      <c r="U121" s="2" t="s">
        <v>2</v>
      </c>
      <c r="V121" s="2" t="s">
        <v>1675</v>
      </c>
      <c r="W121" s="2" t="s">
        <v>194</v>
      </c>
      <c r="X121" s="2" t="s">
        <v>2</v>
      </c>
      <c r="Y121">
        <f t="shared" si="1"/>
        <v>622</v>
      </c>
    </row>
    <row r="122" spans="1:25" ht="409.5" hidden="1" x14ac:dyDescent="0.25">
      <c r="A122" t="s">
        <v>183</v>
      </c>
      <c r="B122" t="s">
        <v>184</v>
      </c>
      <c r="C122" s="2" t="s">
        <v>445</v>
      </c>
      <c r="D122" s="2" t="s">
        <v>444</v>
      </c>
      <c r="E122" s="2" t="s">
        <v>330</v>
      </c>
      <c r="F122" s="2" t="s">
        <v>331</v>
      </c>
      <c r="G122" s="2" t="s">
        <v>565</v>
      </c>
      <c r="H122" s="2" t="s">
        <v>187</v>
      </c>
      <c r="I122" s="2" t="s">
        <v>2</v>
      </c>
      <c r="J122" s="2" t="s">
        <v>710</v>
      </c>
      <c r="K122" s="2" t="s">
        <v>187</v>
      </c>
      <c r="L122" s="2" t="s">
        <v>2</v>
      </c>
      <c r="M122" s="2" t="s">
        <v>2155</v>
      </c>
      <c r="N122" s="2" t="s">
        <v>187</v>
      </c>
      <c r="O122" s="2" t="s">
        <v>1</v>
      </c>
      <c r="P122" s="2" t="s">
        <v>1839</v>
      </c>
      <c r="Q122" s="2" t="s">
        <v>187</v>
      </c>
      <c r="R122" s="2"/>
      <c r="S122" s="2" t="s">
        <v>1676</v>
      </c>
      <c r="T122" t="s">
        <v>187</v>
      </c>
      <c r="U122" s="2" t="s">
        <v>1</v>
      </c>
      <c r="V122" s="2" t="s">
        <v>1677</v>
      </c>
      <c r="W122" s="2" t="s">
        <v>187</v>
      </c>
      <c r="X122" s="2" t="s">
        <v>2</v>
      </c>
      <c r="Y122">
        <f t="shared" si="1"/>
        <v>618</v>
      </c>
    </row>
    <row r="123" spans="1:25" ht="409.5" hidden="1" x14ac:dyDescent="0.25">
      <c r="A123" t="s">
        <v>183</v>
      </c>
      <c r="B123" t="s">
        <v>184</v>
      </c>
      <c r="C123" s="2" t="s">
        <v>445</v>
      </c>
      <c r="D123" s="2" t="s">
        <v>444</v>
      </c>
      <c r="E123" s="2" t="s">
        <v>332</v>
      </c>
      <c r="F123" s="2" t="s">
        <v>331</v>
      </c>
      <c r="G123" s="2" t="s">
        <v>566</v>
      </c>
      <c r="H123" s="2" t="s">
        <v>187</v>
      </c>
      <c r="I123" s="2" t="s">
        <v>2</v>
      </c>
      <c r="J123" s="2" t="s">
        <v>711</v>
      </c>
      <c r="K123" s="2" t="s">
        <v>194</v>
      </c>
      <c r="L123" s="2" t="s">
        <v>2</v>
      </c>
      <c r="M123" s="2" t="s">
        <v>2156</v>
      </c>
      <c r="N123" s="2" t="s">
        <v>187</v>
      </c>
      <c r="O123" s="2" t="s">
        <v>1</v>
      </c>
      <c r="P123" s="2" t="s">
        <v>1840</v>
      </c>
      <c r="Q123" s="2" t="s">
        <v>187</v>
      </c>
      <c r="R123" s="2"/>
      <c r="S123" s="2" t="s">
        <v>1678</v>
      </c>
      <c r="T123" t="s">
        <v>194</v>
      </c>
      <c r="U123" s="2" t="s">
        <v>1</v>
      </c>
      <c r="V123" s="2" t="s">
        <v>1679</v>
      </c>
      <c r="W123" s="2" t="s">
        <v>187</v>
      </c>
      <c r="X123" s="2" t="s">
        <v>2</v>
      </c>
      <c r="Y123">
        <f t="shared" si="1"/>
        <v>625</v>
      </c>
    </row>
    <row r="124" spans="1:25" ht="409.5" hidden="1" x14ac:dyDescent="0.25">
      <c r="A124" t="s">
        <v>183</v>
      </c>
      <c r="B124" t="s">
        <v>184</v>
      </c>
      <c r="C124" s="2" t="s">
        <v>445</v>
      </c>
      <c r="D124" s="2" t="s">
        <v>444</v>
      </c>
      <c r="E124" s="2" t="s">
        <v>333</v>
      </c>
      <c r="F124" s="2" t="s">
        <v>331</v>
      </c>
      <c r="G124" s="2" t="s">
        <v>567</v>
      </c>
      <c r="H124" s="2" t="s">
        <v>194</v>
      </c>
      <c r="I124" s="2" t="s">
        <v>2</v>
      </c>
      <c r="J124" s="2" t="s">
        <v>712</v>
      </c>
      <c r="K124" s="2" t="s">
        <v>194</v>
      </c>
      <c r="L124" s="2" t="s">
        <v>2</v>
      </c>
      <c r="M124" s="2" t="s">
        <v>2157</v>
      </c>
      <c r="N124" s="2" t="s">
        <v>187</v>
      </c>
      <c r="O124" s="2" t="s">
        <v>1</v>
      </c>
      <c r="P124" s="2" t="s">
        <v>1841</v>
      </c>
      <c r="Q124" s="2" t="s">
        <v>194</v>
      </c>
      <c r="R124" s="2"/>
      <c r="S124" s="2" t="s">
        <v>1680</v>
      </c>
      <c r="T124" t="s">
        <v>187</v>
      </c>
      <c r="U124" s="2" t="s">
        <v>2</v>
      </c>
      <c r="V124" s="2" t="s">
        <v>1681</v>
      </c>
      <c r="W124" s="2" t="s">
        <v>194</v>
      </c>
      <c r="X124" s="2" t="s">
        <v>2</v>
      </c>
      <c r="Y124">
        <f t="shared" si="1"/>
        <v>622</v>
      </c>
    </row>
    <row r="125" spans="1:25" ht="409.5" hidden="1" x14ac:dyDescent="0.25">
      <c r="A125" t="s">
        <v>183</v>
      </c>
      <c r="B125" t="s">
        <v>184</v>
      </c>
      <c r="C125" s="2" t="s">
        <v>445</v>
      </c>
      <c r="D125" s="2" t="s">
        <v>444</v>
      </c>
      <c r="E125" s="2" t="s">
        <v>334</v>
      </c>
      <c r="F125" s="2" t="s">
        <v>331</v>
      </c>
      <c r="G125" s="2" t="s">
        <v>568</v>
      </c>
      <c r="H125" s="2" t="s">
        <v>187</v>
      </c>
      <c r="I125" s="2" t="s">
        <v>2</v>
      </c>
      <c r="J125" s="2" t="s">
        <v>713</v>
      </c>
      <c r="K125" s="2" t="s">
        <v>187</v>
      </c>
      <c r="L125" s="2" t="s">
        <v>2</v>
      </c>
      <c r="M125" s="2" t="s">
        <v>2158</v>
      </c>
      <c r="N125" s="2" t="s">
        <v>187</v>
      </c>
      <c r="O125" s="2" t="s">
        <v>1</v>
      </c>
      <c r="P125" s="2" t="s">
        <v>1842</v>
      </c>
      <c r="Q125" s="2" t="s">
        <v>187</v>
      </c>
      <c r="R125" s="2"/>
      <c r="S125" s="2" t="s">
        <v>2191</v>
      </c>
      <c r="T125" t="s">
        <v>187</v>
      </c>
      <c r="U125" s="2" t="s">
        <v>2</v>
      </c>
      <c r="V125" s="2" t="s">
        <v>1682</v>
      </c>
      <c r="W125" s="2" t="s">
        <v>194</v>
      </c>
      <c r="X125" s="2" t="s">
        <v>2</v>
      </c>
      <c r="Y125">
        <f t="shared" si="1"/>
        <v>616</v>
      </c>
    </row>
    <row r="126" spans="1:25" ht="409.5" hidden="1" x14ac:dyDescent="0.25">
      <c r="A126" t="s">
        <v>183</v>
      </c>
      <c r="B126" t="s">
        <v>184</v>
      </c>
      <c r="C126" s="2" t="s">
        <v>445</v>
      </c>
      <c r="D126" s="2" t="s">
        <v>444</v>
      </c>
      <c r="E126" s="2" t="s">
        <v>335</v>
      </c>
      <c r="F126" s="2" t="s">
        <v>331</v>
      </c>
      <c r="G126" s="2" t="s">
        <v>569</v>
      </c>
      <c r="H126" s="2" t="s">
        <v>187</v>
      </c>
      <c r="I126" s="2" t="s">
        <v>2</v>
      </c>
      <c r="J126" s="2" t="s">
        <v>714</v>
      </c>
      <c r="K126" s="2" t="s">
        <v>187</v>
      </c>
      <c r="L126" s="2" t="s">
        <v>2</v>
      </c>
      <c r="M126" s="2" t="s">
        <v>2159</v>
      </c>
      <c r="N126" s="2" t="s">
        <v>187</v>
      </c>
      <c r="O126" s="2" t="s">
        <v>1</v>
      </c>
      <c r="P126" s="2" t="s">
        <v>1843</v>
      </c>
      <c r="Q126" s="2" t="s">
        <v>187</v>
      </c>
      <c r="R126" s="2"/>
      <c r="S126" s="2" t="s">
        <v>1683</v>
      </c>
      <c r="T126" t="s">
        <v>3</v>
      </c>
      <c r="U126" s="2" t="s">
        <v>1</v>
      </c>
      <c r="V126" s="2" t="s">
        <v>1684</v>
      </c>
      <c r="W126" s="2" t="s">
        <v>187</v>
      </c>
      <c r="X126" s="2" t="s">
        <v>2</v>
      </c>
      <c r="Y126">
        <f t="shared" si="1"/>
        <v>615</v>
      </c>
    </row>
    <row r="127" spans="1:25" ht="409.5" hidden="1" x14ac:dyDescent="0.25">
      <c r="A127" t="s">
        <v>183</v>
      </c>
      <c r="B127" t="s">
        <v>184</v>
      </c>
      <c r="C127" s="2" t="s">
        <v>445</v>
      </c>
      <c r="D127" s="2" t="s">
        <v>444</v>
      </c>
      <c r="E127" s="2" t="s">
        <v>336</v>
      </c>
      <c r="F127" s="2" t="s">
        <v>337</v>
      </c>
      <c r="G127" s="2" t="s">
        <v>570</v>
      </c>
      <c r="H127" s="2" t="s">
        <v>194</v>
      </c>
      <c r="I127" s="2" t="s">
        <v>2</v>
      </c>
      <c r="J127" s="2" t="s">
        <v>715</v>
      </c>
      <c r="K127" s="2" t="s">
        <v>187</v>
      </c>
      <c r="L127" s="2" t="s">
        <v>2</v>
      </c>
      <c r="M127" s="2" t="s">
        <v>2160</v>
      </c>
      <c r="N127" s="2" t="s">
        <v>194</v>
      </c>
      <c r="O127" s="2" t="s">
        <v>1</v>
      </c>
      <c r="P127" s="2" t="s">
        <v>1844</v>
      </c>
      <c r="Q127" s="2" t="s">
        <v>187</v>
      </c>
      <c r="R127" s="2"/>
      <c r="S127" s="2" t="s">
        <v>1685</v>
      </c>
      <c r="T127" t="s">
        <v>3</v>
      </c>
      <c r="U127" s="2" t="s">
        <v>1</v>
      </c>
      <c r="V127" s="2" t="s">
        <v>1686</v>
      </c>
      <c r="W127" s="2" t="s">
        <v>194</v>
      </c>
      <c r="X127" s="2" t="s">
        <v>2</v>
      </c>
      <c r="Y127">
        <f t="shared" si="1"/>
        <v>618</v>
      </c>
    </row>
    <row r="128" spans="1:25" ht="409.5" hidden="1" x14ac:dyDescent="0.25">
      <c r="A128" t="s">
        <v>183</v>
      </c>
      <c r="B128" t="s">
        <v>184</v>
      </c>
      <c r="C128" s="2" t="s">
        <v>445</v>
      </c>
      <c r="D128" s="2" t="s">
        <v>444</v>
      </c>
      <c r="E128" s="2" t="s">
        <v>338</v>
      </c>
      <c r="F128" s="2" t="s">
        <v>337</v>
      </c>
      <c r="G128" s="2" t="s">
        <v>571</v>
      </c>
      <c r="H128" s="2" t="s">
        <v>194</v>
      </c>
      <c r="I128" s="2" t="s">
        <v>2</v>
      </c>
      <c r="J128" s="2" t="s">
        <v>716</v>
      </c>
      <c r="K128" s="2" t="s">
        <v>187</v>
      </c>
      <c r="L128" s="2" t="s">
        <v>2</v>
      </c>
      <c r="M128" s="2" t="s">
        <v>2161</v>
      </c>
      <c r="N128" s="2" t="s">
        <v>187</v>
      </c>
      <c r="O128" s="2" t="s">
        <v>1</v>
      </c>
      <c r="P128" s="2" t="s">
        <v>1845</v>
      </c>
      <c r="Q128" s="2" t="s">
        <v>187</v>
      </c>
      <c r="R128" s="2"/>
      <c r="S128" s="2" t="s">
        <v>2192</v>
      </c>
      <c r="T128" t="s">
        <v>187</v>
      </c>
      <c r="U128" s="2" t="s">
        <v>1</v>
      </c>
      <c r="V128" s="2" t="s">
        <v>1687</v>
      </c>
      <c r="W128" s="2" t="s">
        <v>187</v>
      </c>
      <c r="X128" s="2" t="s">
        <v>2</v>
      </c>
      <c r="Y128">
        <f t="shared" si="1"/>
        <v>615</v>
      </c>
    </row>
    <row r="129" spans="1:25" ht="409.5" hidden="1" x14ac:dyDescent="0.25">
      <c r="A129" t="s">
        <v>183</v>
      </c>
      <c r="B129" t="s">
        <v>184</v>
      </c>
      <c r="C129" s="2" t="s">
        <v>445</v>
      </c>
      <c r="D129" s="2" t="s">
        <v>444</v>
      </c>
      <c r="E129" s="2" t="s">
        <v>339</v>
      </c>
      <c r="F129" s="2" t="s">
        <v>337</v>
      </c>
      <c r="G129" s="2" t="s">
        <v>572</v>
      </c>
      <c r="H129" s="2" t="s">
        <v>187</v>
      </c>
      <c r="I129" s="2" t="s">
        <v>2</v>
      </c>
      <c r="J129" s="2" t="s">
        <v>717</v>
      </c>
      <c r="K129" s="2" t="s">
        <v>187</v>
      </c>
      <c r="L129" s="2" t="s">
        <v>2</v>
      </c>
      <c r="M129" s="2" t="s">
        <v>2162</v>
      </c>
      <c r="N129" s="2" t="s">
        <v>187</v>
      </c>
      <c r="O129" s="2" t="s">
        <v>1</v>
      </c>
      <c r="P129" s="2" t="s">
        <v>1846</v>
      </c>
      <c r="Q129" s="2" t="s">
        <v>187</v>
      </c>
      <c r="R129" s="2"/>
      <c r="S129" s="2" t="s">
        <v>2193</v>
      </c>
      <c r="T129" t="s">
        <v>187</v>
      </c>
      <c r="U129" s="2" t="s">
        <v>1</v>
      </c>
      <c r="V129" s="2" t="s">
        <v>1688</v>
      </c>
      <c r="W129" s="2" t="s">
        <v>187</v>
      </c>
      <c r="X129" s="2" t="s">
        <v>2</v>
      </c>
      <c r="Y129">
        <f t="shared" si="1"/>
        <v>605</v>
      </c>
    </row>
    <row r="130" spans="1:25" ht="409.5" hidden="1" x14ac:dyDescent="0.25">
      <c r="A130" t="s">
        <v>183</v>
      </c>
      <c r="B130" t="s">
        <v>184</v>
      </c>
      <c r="C130" s="2" t="s">
        <v>445</v>
      </c>
      <c r="D130" s="2" t="s">
        <v>444</v>
      </c>
      <c r="E130" s="2" t="s">
        <v>340</v>
      </c>
      <c r="F130" s="2" t="s">
        <v>337</v>
      </c>
      <c r="G130" s="2" t="s">
        <v>573</v>
      </c>
      <c r="H130" s="2" t="s">
        <v>187</v>
      </c>
      <c r="I130" s="2" t="s">
        <v>2</v>
      </c>
      <c r="J130" s="2" t="s">
        <v>718</v>
      </c>
      <c r="K130" s="2" t="s">
        <v>194</v>
      </c>
      <c r="L130" s="2" t="s">
        <v>2</v>
      </c>
      <c r="M130" s="2" t="s">
        <v>2163</v>
      </c>
      <c r="N130" s="2" t="s">
        <v>187</v>
      </c>
      <c r="O130" s="2" t="s">
        <v>1</v>
      </c>
      <c r="P130" s="2" t="s">
        <v>1847</v>
      </c>
      <c r="Q130" s="2" t="s">
        <v>187</v>
      </c>
      <c r="R130" s="2"/>
      <c r="S130" s="2" t="s">
        <v>2163</v>
      </c>
      <c r="T130" t="s">
        <v>187</v>
      </c>
      <c r="U130" s="2" t="s">
        <v>1</v>
      </c>
      <c r="V130" s="2" t="s">
        <v>1689</v>
      </c>
      <c r="W130" s="2" t="s">
        <v>187</v>
      </c>
      <c r="X130" s="2" t="s">
        <v>2</v>
      </c>
      <c r="Y130">
        <f t="shared" si="1"/>
        <v>616</v>
      </c>
    </row>
    <row r="131" spans="1:25" ht="409.5" hidden="1" x14ac:dyDescent="0.25">
      <c r="A131" t="s">
        <v>183</v>
      </c>
      <c r="B131" t="s">
        <v>184</v>
      </c>
      <c r="C131" s="2" t="s">
        <v>445</v>
      </c>
      <c r="D131" s="2" t="s">
        <v>444</v>
      </c>
      <c r="E131" s="2" t="s">
        <v>341</v>
      </c>
      <c r="F131" s="2" t="s">
        <v>337</v>
      </c>
      <c r="G131" s="2" t="s">
        <v>574</v>
      </c>
      <c r="H131" s="2" t="s">
        <v>187</v>
      </c>
      <c r="I131" s="2" t="s">
        <v>2</v>
      </c>
      <c r="J131" s="2" t="s">
        <v>719</v>
      </c>
      <c r="K131" s="2" t="s">
        <v>187</v>
      </c>
      <c r="L131" s="2" t="s">
        <v>2</v>
      </c>
      <c r="M131" s="2" t="s">
        <v>2164</v>
      </c>
      <c r="N131" s="2" t="s">
        <v>187</v>
      </c>
      <c r="O131" s="2" t="s">
        <v>1</v>
      </c>
      <c r="P131" s="2" t="s">
        <v>1848</v>
      </c>
      <c r="Q131" s="2" t="s">
        <v>187</v>
      </c>
      <c r="R131" s="2"/>
      <c r="S131" s="2" t="s">
        <v>1690</v>
      </c>
      <c r="T131" t="s">
        <v>187</v>
      </c>
      <c r="U131" s="2" t="s">
        <v>2</v>
      </c>
      <c r="V131" s="2" t="s">
        <v>1691</v>
      </c>
      <c r="W131" s="2" t="s">
        <v>187</v>
      </c>
      <c r="X131" s="2" t="s">
        <v>2</v>
      </c>
      <c r="Y131">
        <f t="shared" ref="Y131:Y146" si="2">LEN(D131)+LEN(E131)</f>
        <v>630</v>
      </c>
    </row>
    <row r="132" spans="1:25" ht="409.5" hidden="1" x14ac:dyDescent="0.25">
      <c r="A132" t="s">
        <v>183</v>
      </c>
      <c r="B132" t="s">
        <v>184</v>
      </c>
      <c r="C132" s="2" t="s">
        <v>445</v>
      </c>
      <c r="D132" s="2" t="s">
        <v>444</v>
      </c>
      <c r="E132" s="2" t="s">
        <v>342</v>
      </c>
      <c r="F132" s="2" t="s">
        <v>343</v>
      </c>
      <c r="G132" s="2" t="s">
        <v>575</v>
      </c>
      <c r="H132" s="2" t="s">
        <v>187</v>
      </c>
      <c r="I132" s="2" t="s">
        <v>2</v>
      </c>
      <c r="J132" s="2" t="s">
        <v>720</v>
      </c>
      <c r="K132" s="2" t="s">
        <v>187</v>
      </c>
      <c r="L132" s="2" t="s">
        <v>2</v>
      </c>
      <c r="M132" s="2" t="s">
        <v>2165</v>
      </c>
      <c r="N132" s="2" t="s">
        <v>187</v>
      </c>
      <c r="O132" s="2" t="s">
        <v>1</v>
      </c>
      <c r="P132" s="2" t="s">
        <v>1849</v>
      </c>
      <c r="Q132" s="2" t="s">
        <v>187</v>
      </c>
      <c r="R132" s="2" t="s">
        <v>1</v>
      </c>
      <c r="S132" s="2" t="s">
        <v>1692</v>
      </c>
      <c r="T132" t="s">
        <v>187</v>
      </c>
      <c r="U132" s="2" t="s">
        <v>1</v>
      </c>
      <c r="V132" s="2" t="s">
        <v>1693</v>
      </c>
      <c r="W132" s="2" t="s">
        <v>187</v>
      </c>
      <c r="X132" s="2" t="s">
        <v>2</v>
      </c>
      <c r="Y132">
        <f t="shared" si="2"/>
        <v>615</v>
      </c>
    </row>
    <row r="133" spans="1:25" ht="409.5" hidden="1" x14ac:dyDescent="0.25">
      <c r="A133" t="s">
        <v>183</v>
      </c>
      <c r="B133" t="s">
        <v>184</v>
      </c>
      <c r="C133" s="2" t="s">
        <v>445</v>
      </c>
      <c r="D133" s="2" t="s">
        <v>444</v>
      </c>
      <c r="E133" s="2" t="s">
        <v>344</v>
      </c>
      <c r="F133" s="2" t="s">
        <v>343</v>
      </c>
      <c r="G133" s="2" t="s">
        <v>576</v>
      </c>
      <c r="H133" s="2" t="s">
        <v>187</v>
      </c>
      <c r="I133" s="2" t="s">
        <v>2</v>
      </c>
      <c r="J133" s="2" t="s">
        <v>721</v>
      </c>
      <c r="K133" s="2" t="s">
        <v>194</v>
      </c>
      <c r="L133" s="2" t="s">
        <v>2</v>
      </c>
      <c r="M133" s="2" t="s">
        <v>2166</v>
      </c>
      <c r="N133" s="2" t="s">
        <v>187</v>
      </c>
      <c r="O133" s="2" t="s">
        <v>1</v>
      </c>
      <c r="P133" s="2" t="s">
        <v>1850</v>
      </c>
      <c r="Q133" s="2" t="s">
        <v>187</v>
      </c>
      <c r="R133" s="2" t="s">
        <v>2</v>
      </c>
      <c r="S133" s="2" t="s">
        <v>2211</v>
      </c>
      <c r="T133" s="2" t="s">
        <v>187</v>
      </c>
      <c r="U133" s="2" t="s">
        <v>1</v>
      </c>
      <c r="V133" s="2" t="s">
        <v>1694</v>
      </c>
      <c r="W133" s="2" t="s">
        <v>187</v>
      </c>
      <c r="X133" s="2" t="s">
        <v>2</v>
      </c>
      <c r="Y133">
        <f t="shared" si="2"/>
        <v>616</v>
      </c>
    </row>
    <row r="134" spans="1:25" ht="409.5" hidden="1" x14ac:dyDescent="0.25">
      <c r="A134" t="s">
        <v>183</v>
      </c>
      <c r="B134" t="s">
        <v>184</v>
      </c>
      <c r="C134" s="2" t="s">
        <v>445</v>
      </c>
      <c r="D134" s="2" t="s">
        <v>444</v>
      </c>
      <c r="E134" s="2" t="s">
        <v>345</v>
      </c>
      <c r="F134" s="2" t="s">
        <v>343</v>
      </c>
      <c r="G134" s="2" t="s">
        <v>577</v>
      </c>
      <c r="H134" s="2" t="s">
        <v>187</v>
      </c>
      <c r="I134" s="2" t="s">
        <v>2</v>
      </c>
      <c r="J134" s="2" t="s">
        <v>722</v>
      </c>
      <c r="K134" s="2" t="s">
        <v>187</v>
      </c>
      <c r="L134" s="2" t="s">
        <v>2</v>
      </c>
      <c r="M134" s="2" t="s">
        <v>1371</v>
      </c>
      <c r="N134" s="2" t="s">
        <v>187</v>
      </c>
      <c r="O134" s="2" t="s">
        <v>1</v>
      </c>
      <c r="P134" s="2" t="s">
        <v>1851</v>
      </c>
      <c r="Q134" s="2" t="s">
        <v>187</v>
      </c>
      <c r="R134" s="2" t="s">
        <v>2</v>
      </c>
      <c r="S134" s="2" t="s">
        <v>1695</v>
      </c>
      <c r="T134" t="s">
        <v>187</v>
      </c>
      <c r="U134" s="2" t="s">
        <v>1</v>
      </c>
      <c r="V134" s="2" t="s">
        <v>1696</v>
      </c>
      <c r="W134" s="2" t="s">
        <v>187</v>
      </c>
      <c r="X134" s="2" t="s">
        <v>2</v>
      </c>
      <c r="Y134">
        <f t="shared" si="2"/>
        <v>607</v>
      </c>
    </row>
    <row r="135" spans="1:25" ht="409.5" hidden="1" x14ac:dyDescent="0.25">
      <c r="A135" t="s">
        <v>183</v>
      </c>
      <c r="B135" t="s">
        <v>184</v>
      </c>
      <c r="C135" s="2" t="s">
        <v>445</v>
      </c>
      <c r="D135" s="2" t="s">
        <v>444</v>
      </c>
      <c r="E135" s="2" t="s">
        <v>346</v>
      </c>
      <c r="F135" s="2" t="s">
        <v>343</v>
      </c>
      <c r="G135" s="2" t="s">
        <v>578</v>
      </c>
      <c r="H135" s="2" t="s">
        <v>187</v>
      </c>
      <c r="I135" s="2" t="s">
        <v>2</v>
      </c>
      <c r="J135" s="2" t="s">
        <v>723</v>
      </c>
      <c r="K135" s="2" t="s">
        <v>187</v>
      </c>
      <c r="L135" s="2" t="s">
        <v>2</v>
      </c>
      <c r="M135" s="2" t="s">
        <v>2167</v>
      </c>
      <c r="N135" s="2" t="s">
        <v>187</v>
      </c>
      <c r="O135" s="2" t="s">
        <v>1</v>
      </c>
      <c r="P135" s="2" t="s">
        <v>1852</v>
      </c>
      <c r="Q135" s="2" t="s">
        <v>187</v>
      </c>
      <c r="R135" s="2" t="s">
        <v>2</v>
      </c>
      <c r="S135" s="2" t="s">
        <v>1697</v>
      </c>
      <c r="T135" t="s">
        <v>187</v>
      </c>
      <c r="U135" s="2" t="s">
        <v>2</v>
      </c>
      <c r="V135" s="2" t="s">
        <v>1698</v>
      </c>
      <c r="W135" s="2" t="s">
        <v>187</v>
      </c>
      <c r="X135" s="2" t="s">
        <v>2</v>
      </c>
      <c r="Y135">
        <f t="shared" si="2"/>
        <v>610</v>
      </c>
    </row>
    <row r="136" spans="1:25" ht="409.5" hidden="1" x14ac:dyDescent="0.25">
      <c r="A136" t="s">
        <v>183</v>
      </c>
      <c r="B136" t="s">
        <v>184</v>
      </c>
      <c r="C136" s="2" t="s">
        <v>445</v>
      </c>
      <c r="D136" s="2" t="s">
        <v>444</v>
      </c>
      <c r="E136" s="2" t="s">
        <v>347</v>
      </c>
      <c r="F136" s="2" t="s">
        <v>343</v>
      </c>
      <c r="G136" s="2" t="s">
        <v>579</v>
      </c>
      <c r="H136" s="2" t="s">
        <v>187</v>
      </c>
      <c r="I136" s="2" t="s">
        <v>2</v>
      </c>
      <c r="J136" s="2" t="s">
        <v>724</v>
      </c>
      <c r="K136" s="2" t="s">
        <v>194</v>
      </c>
      <c r="L136" s="2" t="s">
        <v>2</v>
      </c>
      <c r="M136" s="2" t="s">
        <v>2168</v>
      </c>
      <c r="N136" s="2" t="s">
        <v>187</v>
      </c>
      <c r="O136" s="2" t="s">
        <v>1</v>
      </c>
      <c r="P136" s="2" t="s">
        <v>1853</v>
      </c>
      <c r="Q136" s="2" t="s">
        <v>194</v>
      </c>
      <c r="R136" s="2" t="s">
        <v>2</v>
      </c>
      <c r="S136" s="2" t="s">
        <v>2194</v>
      </c>
      <c r="T136" t="s">
        <v>194</v>
      </c>
      <c r="U136" s="2" t="s">
        <v>1</v>
      </c>
      <c r="V136" s="2" t="s">
        <v>1699</v>
      </c>
      <c r="W136" s="2" t="s">
        <v>194</v>
      </c>
      <c r="X136" s="2" t="s">
        <v>2</v>
      </c>
      <c r="Y136">
        <f t="shared" si="2"/>
        <v>624</v>
      </c>
    </row>
    <row r="137" spans="1:25" ht="409.5" hidden="1" x14ac:dyDescent="0.25">
      <c r="A137" t="s">
        <v>183</v>
      </c>
      <c r="B137" t="s">
        <v>184</v>
      </c>
      <c r="C137" s="2" t="s">
        <v>445</v>
      </c>
      <c r="D137" s="2" t="s">
        <v>444</v>
      </c>
      <c r="E137" s="2" t="s">
        <v>348</v>
      </c>
      <c r="F137" s="2" t="s">
        <v>249</v>
      </c>
      <c r="G137" s="2" t="s">
        <v>580</v>
      </c>
      <c r="H137" s="2" t="s">
        <v>187</v>
      </c>
      <c r="I137" s="2" t="s">
        <v>2</v>
      </c>
      <c r="J137" s="2" t="s">
        <v>725</v>
      </c>
      <c r="K137" s="2" t="s">
        <v>194</v>
      </c>
      <c r="L137" s="2" t="s">
        <v>2</v>
      </c>
      <c r="M137" s="2" t="s">
        <v>2169</v>
      </c>
      <c r="N137" s="2" t="s">
        <v>187</v>
      </c>
      <c r="O137" s="2" t="s">
        <v>1</v>
      </c>
      <c r="P137" s="2" t="s">
        <v>1854</v>
      </c>
      <c r="Q137" s="2" t="s">
        <v>187</v>
      </c>
      <c r="R137" s="2" t="s">
        <v>1</v>
      </c>
      <c r="S137" s="2" t="s">
        <v>1700</v>
      </c>
      <c r="T137" t="s">
        <v>3</v>
      </c>
      <c r="U137" s="2" t="s">
        <v>1</v>
      </c>
      <c r="V137" s="2" t="s">
        <v>1701</v>
      </c>
      <c r="W137" s="2" t="s">
        <v>187</v>
      </c>
      <c r="X137" s="2" t="s">
        <v>2</v>
      </c>
      <c r="Y137">
        <f t="shared" si="2"/>
        <v>638</v>
      </c>
    </row>
    <row r="138" spans="1:25" ht="409.5" hidden="1" x14ac:dyDescent="0.25">
      <c r="A138" t="s">
        <v>183</v>
      </c>
      <c r="B138" t="s">
        <v>184</v>
      </c>
      <c r="C138" s="2" t="s">
        <v>445</v>
      </c>
      <c r="D138" s="2" t="s">
        <v>444</v>
      </c>
      <c r="E138" s="2" t="s">
        <v>349</v>
      </c>
      <c r="F138" s="2" t="s">
        <v>296</v>
      </c>
      <c r="G138" s="2" t="s">
        <v>581</v>
      </c>
      <c r="H138" s="2" t="s">
        <v>187</v>
      </c>
      <c r="I138" s="2" t="s">
        <v>2</v>
      </c>
      <c r="J138" s="2" t="s">
        <v>726</v>
      </c>
      <c r="K138" s="2" t="s">
        <v>187</v>
      </c>
      <c r="L138" s="2" t="s">
        <v>2</v>
      </c>
      <c r="M138" s="2" t="s">
        <v>2170</v>
      </c>
      <c r="N138" s="2" t="s">
        <v>187</v>
      </c>
      <c r="O138" s="2" t="s">
        <v>1</v>
      </c>
      <c r="P138" s="2" t="s">
        <v>1855</v>
      </c>
      <c r="Q138" s="2" t="s">
        <v>187</v>
      </c>
      <c r="R138" s="2"/>
      <c r="S138" s="2" t="s">
        <v>1702</v>
      </c>
      <c r="T138" t="s">
        <v>3</v>
      </c>
      <c r="U138" s="2" t="s">
        <v>1</v>
      </c>
      <c r="V138" s="2" t="s">
        <v>1703</v>
      </c>
      <c r="W138" s="2" t="s">
        <v>187</v>
      </c>
      <c r="X138" s="2" t="s">
        <v>1</v>
      </c>
      <c r="Y138">
        <f t="shared" si="2"/>
        <v>657</v>
      </c>
    </row>
    <row r="139" spans="1:25" ht="409.5" hidden="1" x14ac:dyDescent="0.25">
      <c r="A139" t="s">
        <v>183</v>
      </c>
      <c r="B139" t="s">
        <v>184</v>
      </c>
      <c r="C139" s="2" t="s">
        <v>445</v>
      </c>
      <c r="D139" s="2" t="s">
        <v>444</v>
      </c>
      <c r="E139" s="2" t="s">
        <v>350</v>
      </c>
      <c r="F139" s="2" t="s">
        <v>313</v>
      </c>
      <c r="G139" s="2" t="s">
        <v>582</v>
      </c>
      <c r="H139" s="2" t="s">
        <v>187</v>
      </c>
      <c r="I139" s="2" t="s">
        <v>2</v>
      </c>
      <c r="J139" s="2" t="s">
        <v>727</v>
      </c>
      <c r="K139" s="2" t="s">
        <v>187</v>
      </c>
      <c r="L139" s="2" t="s">
        <v>2</v>
      </c>
      <c r="M139" s="2" t="s">
        <v>2171</v>
      </c>
      <c r="N139" s="2" t="s">
        <v>187</v>
      </c>
      <c r="O139" s="2" t="s">
        <v>1</v>
      </c>
      <c r="P139" s="2" t="s">
        <v>1856</v>
      </c>
      <c r="Q139" s="2" t="s">
        <v>187</v>
      </c>
      <c r="R139" s="2" t="s">
        <v>2</v>
      </c>
      <c r="S139" s="2" t="s">
        <v>1704</v>
      </c>
      <c r="T139" t="s">
        <v>187</v>
      </c>
      <c r="U139" s="2" t="s">
        <v>2</v>
      </c>
      <c r="V139" s="2" t="s">
        <v>1705</v>
      </c>
      <c r="W139" s="2" t="s">
        <v>194</v>
      </c>
      <c r="X139" s="2" t="s">
        <v>2</v>
      </c>
      <c r="Y139">
        <f t="shared" si="2"/>
        <v>660</v>
      </c>
    </row>
    <row r="140" spans="1:25" ht="409.5" hidden="1" x14ac:dyDescent="0.25">
      <c r="A140" t="s">
        <v>183</v>
      </c>
      <c r="B140" t="s">
        <v>184</v>
      </c>
      <c r="C140" s="2" t="s">
        <v>445</v>
      </c>
      <c r="D140" s="2" t="s">
        <v>444</v>
      </c>
      <c r="E140" s="2" t="s">
        <v>351</v>
      </c>
      <c r="F140" s="2" t="s">
        <v>331</v>
      </c>
      <c r="G140" s="2" t="s">
        <v>583</v>
      </c>
      <c r="H140" s="2" t="s">
        <v>187</v>
      </c>
      <c r="I140" s="2" t="s">
        <v>2</v>
      </c>
      <c r="J140" s="2" t="s">
        <v>728</v>
      </c>
      <c r="K140" s="2" t="s">
        <v>194</v>
      </c>
      <c r="L140" s="2" t="s">
        <v>2</v>
      </c>
      <c r="M140" s="2" t="s">
        <v>2172</v>
      </c>
      <c r="N140" s="2" t="s">
        <v>187</v>
      </c>
      <c r="O140" s="2" t="s">
        <v>1</v>
      </c>
      <c r="P140" s="2" t="s">
        <v>1857</v>
      </c>
      <c r="Q140" s="2" t="s">
        <v>187</v>
      </c>
      <c r="R140" s="2"/>
      <c r="S140" s="2" t="s">
        <v>1706</v>
      </c>
      <c r="T140" t="s">
        <v>3</v>
      </c>
      <c r="U140" s="2" t="s">
        <v>1</v>
      </c>
      <c r="V140" s="2" t="s">
        <v>1707</v>
      </c>
      <c r="W140" s="2" t="s">
        <v>187</v>
      </c>
      <c r="X140" s="2" t="s">
        <v>2</v>
      </c>
      <c r="Y140">
        <f t="shared" si="2"/>
        <v>648</v>
      </c>
    </row>
    <row r="141" spans="1:25" ht="409.5" hidden="1" x14ac:dyDescent="0.25">
      <c r="A141" t="s">
        <v>183</v>
      </c>
      <c r="B141" t="s">
        <v>184</v>
      </c>
      <c r="C141" s="2" t="s">
        <v>445</v>
      </c>
      <c r="D141" s="2" t="s">
        <v>444</v>
      </c>
      <c r="E141" s="2" t="s">
        <v>352</v>
      </c>
      <c r="F141" s="2" t="s">
        <v>203</v>
      </c>
      <c r="G141" s="2" t="s">
        <v>584</v>
      </c>
      <c r="H141" s="2" t="s">
        <v>194</v>
      </c>
      <c r="I141" s="2" t="s">
        <v>2</v>
      </c>
      <c r="J141" s="2" t="s">
        <v>729</v>
      </c>
      <c r="K141" s="2" t="s">
        <v>194</v>
      </c>
      <c r="L141" s="2" t="s">
        <v>2</v>
      </c>
      <c r="M141" s="2" t="s">
        <v>2173</v>
      </c>
      <c r="N141" s="2" t="s">
        <v>194</v>
      </c>
      <c r="O141" s="2" t="s">
        <v>1</v>
      </c>
      <c r="P141" s="2" t="s">
        <v>1858</v>
      </c>
      <c r="Q141" s="2" t="s">
        <v>187</v>
      </c>
      <c r="R141" s="2" t="s">
        <v>2</v>
      </c>
      <c r="S141" s="2" t="s">
        <v>1708</v>
      </c>
      <c r="T141" t="s">
        <v>3</v>
      </c>
      <c r="U141" s="2" t="s">
        <v>1</v>
      </c>
      <c r="V141" s="2" t="s">
        <v>1709</v>
      </c>
      <c r="W141" s="2" t="s">
        <v>194</v>
      </c>
      <c r="X141" s="2" t="s">
        <v>2</v>
      </c>
      <c r="Y141">
        <f t="shared" si="2"/>
        <v>639</v>
      </c>
    </row>
    <row r="142" spans="1:25" ht="409.5" hidden="1" x14ac:dyDescent="0.25">
      <c r="A142" t="s">
        <v>183</v>
      </c>
      <c r="B142" t="s">
        <v>184</v>
      </c>
      <c r="C142" s="2" t="s">
        <v>445</v>
      </c>
      <c r="D142" s="2" t="s">
        <v>444</v>
      </c>
      <c r="E142" s="2" t="s">
        <v>353</v>
      </c>
      <c r="F142" s="2" t="s">
        <v>243</v>
      </c>
      <c r="G142" s="2" t="s">
        <v>585</v>
      </c>
      <c r="H142" s="2" t="s">
        <v>187</v>
      </c>
      <c r="I142" s="2" t="s">
        <v>2</v>
      </c>
      <c r="J142" s="2" t="s">
        <v>730</v>
      </c>
      <c r="K142" s="2" t="s">
        <v>187</v>
      </c>
      <c r="L142" s="2" t="s">
        <v>2</v>
      </c>
      <c r="M142" s="2" t="s">
        <v>2174</v>
      </c>
      <c r="N142" s="2" t="s">
        <v>187</v>
      </c>
      <c r="O142" s="2" t="s">
        <v>1</v>
      </c>
      <c r="P142" s="2" t="s">
        <v>1859</v>
      </c>
      <c r="Q142" s="2" t="s">
        <v>194</v>
      </c>
      <c r="R142" s="2"/>
      <c r="S142" s="2" t="s">
        <v>1710</v>
      </c>
      <c r="T142" t="s">
        <v>3</v>
      </c>
      <c r="U142" s="2" t="s">
        <v>1</v>
      </c>
      <c r="V142" s="2" t="s">
        <v>1711</v>
      </c>
      <c r="W142" s="2" t="s">
        <v>187</v>
      </c>
      <c r="X142" s="2" t="s">
        <v>2</v>
      </c>
      <c r="Y142">
        <f t="shared" si="2"/>
        <v>615</v>
      </c>
    </row>
    <row r="143" spans="1:25" ht="409.5" hidden="1" x14ac:dyDescent="0.25">
      <c r="A143" t="s">
        <v>183</v>
      </c>
      <c r="B143" t="s">
        <v>184</v>
      </c>
      <c r="C143" s="2" t="s">
        <v>445</v>
      </c>
      <c r="D143" s="2" t="s">
        <v>444</v>
      </c>
      <c r="E143" s="2" t="s">
        <v>354</v>
      </c>
      <c r="F143" s="2" t="s">
        <v>231</v>
      </c>
      <c r="G143" s="2" t="s">
        <v>586</v>
      </c>
      <c r="H143" s="2" t="s">
        <v>187</v>
      </c>
      <c r="I143" s="2" t="s">
        <v>2</v>
      </c>
      <c r="J143" s="2" t="s">
        <v>731</v>
      </c>
      <c r="K143" s="2" t="s">
        <v>187</v>
      </c>
      <c r="L143" s="2" t="s">
        <v>2</v>
      </c>
      <c r="M143" s="2" t="s">
        <v>2175</v>
      </c>
      <c r="N143" s="2" t="s">
        <v>187</v>
      </c>
      <c r="O143" s="2" t="s">
        <v>1</v>
      </c>
      <c r="P143" s="2" t="s">
        <v>1860</v>
      </c>
      <c r="Q143" s="2" t="s">
        <v>194</v>
      </c>
      <c r="R143" s="2" t="s">
        <v>2</v>
      </c>
      <c r="S143" s="2" t="s">
        <v>1712</v>
      </c>
      <c r="T143" t="s">
        <v>187</v>
      </c>
      <c r="U143" s="2" t="s">
        <v>2</v>
      </c>
      <c r="V143" s="2" t="s">
        <v>1713</v>
      </c>
      <c r="W143" s="2" t="s">
        <v>187</v>
      </c>
      <c r="X143" s="2" t="s">
        <v>2</v>
      </c>
      <c r="Y143">
        <f t="shared" si="2"/>
        <v>645</v>
      </c>
    </row>
    <row r="144" spans="1:25" ht="409.5" hidden="1" x14ac:dyDescent="0.25">
      <c r="A144" t="s">
        <v>183</v>
      </c>
      <c r="B144" t="s">
        <v>184</v>
      </c>
      <c r="C144" s="2" t="s">
        <v>445</v>
      </c>
      <c r="D144" s="2" t="s">
        <v>444</v>
      </c>
      <c r="E144" s="2" t="s">
        <v>355</v>
      </c>
      <c r="F144" s="2" t="s">
        <v>213</v>
      </c>
      <c r="G144" s="2" t="s">
        <v>587</v>
      </c>
      <c r="H144" s="2" t="s">
        <v>187</v>
      </c>
      <c r="I144" s="2" t="s">
        <v>2</v>
      </c>
      <c r="J144" s="2" t="s">
        <v>732</v>
      </c>
      <c r="K144" s="2" t="s">
        <v>187</v>
      </c>
      <c r="L144" s="2" t="s">
        <v>2</v>
      </c>
      <c r="M144" s="2" t="s">
        <v>2176</v>
      </c>
      <c r="N144" s="2" t="s">
        <v>187</v>
      </c>
      <c r="O144" s="2" t="s">
        <v>1</v>
      </c>
      <c r="P144" s="2" t="s">
        <v>1861</v>
      </c>
      <c r="Q144" s="2" t="s">
        <v>187</v>
      </c>
      <c r="R144" s="2"/>
      <c r="S144" s="2" t="s">
        <v>1714</v>
      </c>
      <c r="T144" t="s">
        <v>194</v>
      </c>
      <c r="U144" s="2" t="s">
        <v>2</v>
      </c>
      <c r="V144" s="2" t="s">
        <v>1715</v>
      </c>
      <c r="W144" s="2" t="s">
        <v>187</v>
      </c>
      <c r="X144" s="2" t="s">
        <v>2</v>
      </c>
      <c r="Y144">
        <f t="shared" si="2"/>
        <v>635</v>
      </c>
    </row>
    <row r="145" spans="1:25" ht="409.5" hidden="1" x14ac:dyDescent="0.25">
      <c r="A145" t="s">
        <v>183</v>
      </c>
      <c r="B145" t="s">
        <v>184</v>
      </c>
      <c r="C145" s="2" t="s">
        <v>445</v>
      </c>
      <c r="D145" s="2" t="s">
        <v>444</v>
      </c>
      <c r="E145" s="2" t="s">
        <v>356</v>
      </c>
      <c r="F145" s="2" t="s">
        <v>337</v>
      </c>
      <c r="G145" s="2" t="s">
        <v>588</v>
      </c>
      <c r="H145" s="2" t="s">
        <v>194</v>
      </c>
      <c r="I145" s="2" t="s">
        <v>2</v>
      </c>
      <c r="J145" s="2" t="s">
        <v>733</v>
      </c>
      <c r="K145" s="2" t="s">
        <v>187</v>
      </c>
      <c r="L145" s="2" t="s">
        <v>2</v>
      </c>
      <c r="M145" s="2" t="s">
        <v>2177</v>
      </c>
      <c r="N145" s="2" t="s">
        <v>187</v>
      </c>
      <c r="O145" s="2" t="s">
        <v>1</v>
      </c>
      <c r="P145" s="2" t="s">
        <v>1862</v>
      </c>
      <c r="Q145" s="2" t="s">
        <v>187</v>
      </c>
      <c r="R145" s="2"/>
      <c r="S145" s="2" t="s">
        <v>2195</v>
      </c>
      <c r="T145" t="s">
        <v>187</v>
      </c>
      <c r="U145" s="2" t="s">
        <v>1</v>
      </c>
      <c r="V145" s="2" t="s">
        <v>1716</v>
      </c>
      <c r="W145" s="2" t="s">
        <v>187</v>
      </c>
      <c r="X145" s="2" t="s">
        <v>2</v>
      </c>
      <c r="Y145">
        <f t="shared" si="2"/>
        <v>642</v>
      </c>
    </row>
    <row r="146" spans="1:25" ht="409.5" hidden="1" x14ac:dyDescent="0.25">
      <c r="A146" t="s">
        <v>183</v>
      </c>
      <c r="B146" t="s">
        <v>184</v>
      </c>
      <c r="C146" s="2" t="s">
        <v>445</v>
      </c>
      <c r="D146" s="2" t="s">
        <v>444</v>
      </c>
      <c r="E146" s="2" t="s">
        <v>357</v>
      </c>
      <c r="F146" s="2" t="s">
        <v>203</v>
      </c>
      <c r="G146" s="2" t="s">
        <v>589</v>
      </c>
      <c r="H146" s="2" t="s">
        <v>194</v>
      </c>
      <c r="I146" s="2" t="s">
        <v>2</v>
      </c>
      <c r="J146" s="2" t="s">
        <v>734</v>
      </c>
      <c r="K146" s="2" t="s">
        <v>194</v>
      </c>
      <c r="L146" s="2" t="s">
        <v>2</v>
      </c>
      <c r="M146" s="2" t="s">
        <v>2178</v>
      </c>
      <c r="N146" s="2" t="s">
        <v>194</v>
      </c>
      <c r="O146" s="2" t="s">
        <v>1</v>
      </c>
      <c r="P146" s="2" t="s">
        <v>1863</v>
      </c>
      <c r="Q146" s="2" t="s">
        <v>194</v>
      </c>
      <c r="R146" s="2" t="s">
        <v>2</v>
      </c>
      <c r="S146" s="2" t="s">
        <v>2212</v>
      </c>
      <c r="T146" s="2" t="s">
        <v>187</v>
      </c>
      <c r="U146" s="2" t="s">
        <v>1</v>
      </c>
      <c r="V146" s="2" t="s">
        <v>1717</v>
      </c>
      <c r="W146" s="2" t="s">
        <v>187</v>
      </c>
      <c r="X146" s="2" t="s">
        <v>2</v>
      </c>
      <c r="Y146">
        <f t="shared" si="2"/>
        <v>640</v>
      </c>
    </row>
  </sheetData>
  <autoFilter ref="A1:Y146" xr:uid="{494C649E-8558-4B9B-96BE-8C7D0D92A86A}">
    <filterColumn colId="19">
      <filters blank="1"/>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84F63-B8AB-4E56-A548-DDB035CF3220}">
  <dimension ref="A1:Y1048576"/>
  <sheetViews>
    <sheetView workbookViewId="0">
      <selection activeCell="C2" sqref="C2"/>
    </sheetView>
  </sheetViews>
  <sheetFormatPr defaultRowHeight="15" x14ac:dyDescent="0.25"/>
  <cols>
    <col min="3" max="3" width="30.7109375" customWidth="1"/>
    <col min="4" max="4" width="51.85546875" customWidth="1"/>
    <col min="5" max="5" width="33.140625" style="2" customWidth="1"/>
    <col min="6" max="6" width="20.28515625" customWidth="1"/>
    <col min="7" max="7" width="22.140625" bestFit="1" customWidth="1"/>
    <col min="8" max="8" width="22.7109375" bestFit="1" customWidth="1"/>
    <col min="9" max="9" width="24.85546875" bestFit="1" customWidth="1"/>
    <col min="10" max="10" width="30.28515625" customWidth="1"/>
    <col min="11" max="11" width="30.7109375" customWidth="1"/>
    <col min="12" max="12" width="27.7109375" customWidth="1"/>
    <col min="13" max="13" width="29" style="2" customWidth="1"/>
    <col min="14" max="15" width="22.5703125" customWidth="1"/>
    <col min="16" max="16" width="27.42578125" customWidth="1"/>
    <col min="17" max="17" width="20" customWidth="1"/>
    <col min="18" max="18" width="31.7109375" customWidth="1"/>
    <col min="19" max="19" width="17.28515625" customWidth="1"/>
    <col min="20" max="20" width="19.140625" customWidth="1"/>
    <col min="21" max="21" width="21.42578125" customWidth="1"/>
    <col min="22" max="22" width="21.5703125" bestFit="1" customWidth="1"/>
    <col min="23" max="23" width="18.28515625" customWidth="1"/>
    <col min="24" max="24" width="20.7109375" customWidth="1"/>
    <col min="25" max="25" width="12.140625" customWidth="1"/>
  </cols>
  <sheetData>
    <row r="1" spans="1:25" ht="45" x14ac:dyDescent="0.25">
      <c r="A1" s="5" t="s">
        <v>4</v>
      </c>
      <c r="B1" s="5" t="s">
        <v>0</v>
      </c>
      <c r="C1" s="5" t="s">
        <v>7</v>
      </c>
      <c r="D1" s="1" t="s">
        <v>8</v>
      </c>
      <c r="E1" s="1" t="s">
        <v>9</v>
      </c>
      <c r="F1" s="1" t="s">
        <v>10</v>
      </c>
      <c r="G1" s="4" t="s">
        <v>379</v>
      </c>
      <c r="H1" s="4" t="s">
        <v>380</v>
      </c>
      <c r="I1" s="4" t="s">
        <v>1031</v>
      </c>
      <c r="J1" s="4" t="s">
        <v>12</v>
      </c>
      <c r="K1" s="4" t="s">
        <v>13</v>
      </c>
      <c r="L1" s="4" t="s">
        <v>361</v>
      </c>
      <c r="M1" s="4" t="s">
        <v>1069</v>
      </c>
      <c r="N1" s="4" t="s">
        <v>1070</v>
      </c>
      <c r="O1" s="4" t="s">
        <v>1071</v>
      </c>
      <c r="P1" s="4" t="s">
        <v>1035</v>
      </c>
      <c r="Q1" s="4" t="s">
        <v>1066</v>
      </c>
      <c r="R1" s="4" t="s">
        <v>1049</v>
      </c>
      <c r="S1" s="4" t="s">
        <v>1052</v>
      </c>
      <c r="T1" s="4" t="s">
        <v>1053</v>
      </c>
      <c r="U1" s="4" t="s">
        <v>1054</v>
      </c>
      <c r="V1" s="4" t="s">
        <v>1048</v>
      </c>
      <c r="W1" s="4" t="s">
        <v>1050</v>
      </c>
      <c r="X1" s="4" t="s">
        <v>1051</v>
      </c>
      <c r="Y1" s="17" t="s">
        <v>368</v>
      </c>
    </row>
    <row r="2" spans="1:25" ht="165" x14ac:dyDescent="0.25">
      <c r="A2" t="s">
        <v>15</v>
      </c>
      <c r="B2" t="s">
        <v>16</v>
      </c>
      <c r="C2" s="2" t="s">
        <v>1044</v>
      </c>
      <c r="D2" s="2" t="s">
        <v>1045</v>
      </c>
      <c r="E2" t="s">
        <v>176</v>
      </c>
      <c r="F2" s="2" t="s">
        <v>23</v>
      </c>
      <c r="G2" t="s">
        <v>23</v>
      </c>
      <c r="H2" s="8" t="s">
        <v>187</v>
      </c>
      <c r="I2" s="8" t="s">
        <v>1</v>
      </c>
      <c r="J2" t="s">
        <v>23</v>
      </c>
      <c r="K2" s="2" t="s">
        <v>187</v>
      </c>
      <c r="L2" s="2" t="s">
        <v>1</v>
      </c>
      <c r="M2" t="s">
        <v>23</v>
      </c>
      <c r="N2" s="8" t="s">
        <v>187</v>
      </c>
      <c r="O2" s="8" t="s">
        <v>1</v>
      </c>
      <c r="P2" t="s">
        <v>23</v>
      </c>
      <c r="Q2" s="8" t="s">
        <v>187</v>
      </c>
      <c r="R2" s="8" t="s">
        <v>1</v>
      </c>
      <c r="S2" t="s">
        <v>23</v>
      </c>
      <c r="T2" s="8" t="s">
        <v>187</v>
      </c>
      <c r="U2" s="8" t="s">
        <v>1</v>
      </c>
      <c r="V2" t="s">
        <v>23</v>
      </c>
      <c r="W2" s="8" t="s">
        <v>187</v>
      </c>
      <c r="X2" s="8" t="s">
        <v>1</v>
      </c>
      <c r="Y2">
        <f>LEN(D2)+LEN(E2)</f>
        <v>390</v>
      </c>
    </row>
    <row r="3" spans="1:25" ht="165" x14ac:dyDescent="0.25">
      <c r="A3" t="s">
        <v>15</v>
      </c>
      <c r="B3" t="s">
        <v>16</v>
      </c>
      <c r="C3" s="2" t="s">
        <v>1044</v>
      </c>
      <c r="D3" s="2" t="s">
        <v>1045</v>
      </c>
      <c r="E3" t="s">
        <v>177</v>
      </c>
      <c r="F3" s="2" t="s">
        <v>21</v>
      </c>
      <c r="G3" t="s">
        <v>21</v>
      </c>
      <c r="H3" s="2" t="s">
        <v>187</v>
      </c>
      <c r="I3" s="8" t="s">
        <v>1</v>
      </c>
      <c r="J3" t="s">
        <v>21</v>
      </c>
      <c r="K3" s="2" t="s">
        <v>187</v>
      </c>
      <c r="L3" s="2" t="s">
        <v>1</v>
      </c>
      <c r="M3" t="s">
        <v>21</v>
      </c>
      <c r="N3" s="8" t="s">
        <v>187</v>
      </c>
      <c r="O3" s="8" t="s">
        <v>1</v>
      </c>
      <c r="P3" t="s">
        <v>21</v>
      </c>
      <c r="Q3" s="8" t="s">
        <v>187</v>
      </c>
      <c r="R3" s="8" t="s">
        <v>1</v>
      </c>
      <c r="S3" t="s">
        <v>21</v>
      </c>
      <c r="T3" s="8" t="s">
        <v>187</v>
      </c>
      <c r="U3" s="8" t="s">
        <v>1</v>
      </c>
      <c r="V3" t="s">
        <v>21</v>
      </c>
      <c r="W3" s="8" t="s">
        <v>187</v>
      </c>
      <c r="X3" s="8" t="s">
        <v>1</v>
      </c>
      <c r="Y3">
        <f t="shared" ref="Y3:Y66" si="0">LEN(D3)+LEN(E3)</f>
        <v>384</v>
      </c>
    </row>
    <row r="4" spans="1:25" ht="165" x14ac:dyDescent="0.25">
      <c r="A4" t="s">
        <v>15</v>
      </c>
      <c r="B4" t="s">
        <v>16</v>
      </c>
      <c r="C4" s="2" t="s">
        <v>1044</v>
      </c>
      <c r="D4" s="2" t="s">
        <v>1045</v>
      </c>
      <c r="E4" t="s">
        <v>178</v>
      </c>
      <c r="F4" s="2" t="s">
        <v>18</v>
      </c>
      <c r="G4" t="s">
        <v>18</v>
      </c>
      <c r="H4" s="2" t="s">
        <v>187</v>
      </c>
      <c r="I4" s="8" t="s">
        <v>1</v>
      </c>
      <c r="J4" t="s">
        <v>18</v>
      </c>
      <c r="K4" s="2" t="s">
        <v>187</v>
      </c>
      <c r="L4" s="2" t="s">
        <v>1</v>
      </c>
      <c r="M4" t="s">
        <v>18</v>
      </c>
      <c r="N4" s="8" t="s">
        <v>187</v>
      </c>
      <c r="O4" s="8" t="s">
        <v>1</v>
      </c>
      <c r="P4" t="s">
        <v>18</v>
      </c>
      <c r="Q4" s="8" t="s">
        <v>187</v>
      </c>
      <c r="R4" s="8" t="s">
        <v>1</v>
      </c>
      <c r="S4" t="s">
        <v>18</v>
      </c>
      <c r="T4" s="8" t="s">
        <v>187</v>
      </c>
      <c r="U4" s="8" t="s">
        <v>1</v>
      </c>
      <c r="V4" t="s">
        <v>18</v>
      </c>
      <c r="W4" s="8" t="s">
        <v>187</v>
      </c>
      <c r="X4" s="8" t="s">
        <v>1</v>
      </c>
      <c r="Y4">
        <f t="shared" si="0"/>
        <v>386</v>
      </c>
    </row>
    <row r="5" spans="1:25" ht="165" x14ac:dyDescent="0.25">
      <c r="A5" t="s">
        <v>15</v>
      </c>
      <c r="B5" t="s">
        <v>16</v>
      </c>
      <c r="C5" s="2" t="s">
        <v>1044</v>
      </c>
      <c r="D5" s="2" t="s">
        <v>1045</v>
      </c>
      <c r="E5" t="s">
        <v>17</v>
      </c>
      <c r="F5" s="2" t="s">
        <v>18</v>
      </c>
      <c r="G5" t="s">
        <v>18</v>
      </c>
      <c r="H5" s="2" t="s">
        <v>187</v>
      </c>
      <c r="I5" s="8" t="s">
        <v>1</v>
      </c>
      <c r="J5" t="s">
        <v>18</v>
      </c>
      <c r="K5" s="2" t="s">
        <v>187</v>
      </c>
      <c r="L5" s="2" t="s">
        <v>1</v>
      </c>
      <c r="M5" t="s">
        <v>18</v>
      </c>
      <c r="N5" s="8" t="s">
        <v>187</v>
      </c>
      <c r="O5" s="8" t="s">
        <v>1</v>
      </c>
      <c r="P5" t="s">
        <v>18</v>
      </c>
      <c r="Q5" s="8" t="s">
        <v>187</v>
      </c>
      <c r="R5" s="8" t="s">
        <v>1</v>
      </c>
      <c r="S5" t="s">
        <v>18</v>
      </c>
      <c r="T5" s="8" t="s">
        <v>187</v>
      </c>
      <c r="U5" s="8" t="s">
        <v>1</v>
      </c>
      <c r="V5" t="s">
        <v>18</v>
      </c>
      <c r="W5" s="8" t="s">
        <v>187</v>
      </c>
      <c r="X5" s="8" t="s">
        <v>1</v>
      </c>
      <c r="Y5">
        <f t="shared" si="0"/>
        <v>389</v>
      </c>
    </row>
    <row r="6" spans="1:25" ht="165" x14ac:dyDescent="0.25">
      <c r="A6" t="s">
        <v>15</v>
      </c>
      <c r="B6" t="s">
        <v>16</v>
      </c>
      <c r="C6" s="2" t="s">
        <v>1044</v>
      </c>
      <c r="D6" s="2" t="s">
        <v>1045</v>
      </c>
      <c r="E6" t="s">
        <v>19</v>
      </c>
      <c r="F6" s="2" t="s">
        <v>18</v>
      </c>
      <c r="G6" t="s">
        <v>18</v>
      </c>
      <c r="H6" s="2" t="s">
        <v>187</v>
      </c>
      <c r="I6" s="8" t="s">
        <v>1</v>
      </c>
      <c r="J6" t="s">
        <v>21</v>
      </c>
      <c r="K6" s="2" t="s">
        <v>194</v>
      </c>
      <c r="L6" s="2" t="s">
        <v>1</v>
      </c>
      <c r="M6" t="s">
        <v>18</v>
      </c>
      <c r="N6" s="8" t="s">
        <v>187</v>
      </c>
      <c r="O6" s="8" t="s">
        <v>1</v>
      </c>
      <c r="P6" t="s">
        <v>21</v>
      </c>
      <c r="Q6" s="8" t="s">
        <v>194</v>
      </c>
      <c r="R6" s="8" t="s">
        <v>1</v>
      </c>
      <c r="S6" t="s">
        <v>18</v>
      </c>
      <c r="T6" s="8" t="s">
        <v>187</v>
      </c>
      <c r="U6" s="8" t="s">
        <v>1</v>
      </c>
      <c r="V6" t="s">
        <v>21</v>
      </c>
      <c r="W6" s="8" t="s">
        <v>194</v>
      </c>
      <c r="X6" s="8" t="s">
        <v>1</v>
      </c>
      <c r="Y6">
        <f t="shared" si="0"/>
        <v>394</v>
      </c>
    </row>
    <row r="7" spans="1:25" ht="165" x14ac:dyDescent="0.25">
      <c r="A7" t="s">
        <v>15</v>
      </c>
      <c r="B7" t="s">
        <v>16</v>
      </c>
      <c r="C7" s="2" t="s">
        <v>1044</v>
      </c>
      <c r="D7" s="2" t="s">
        <v>1045</v>
      </c>
      <c r="E7" t="s">
        <v>20</v>
      </c>
      <c r="F7" s="2" t="s">
        <v>21</v>
      </c>
      <c r="G7" t="s">
        <v>21</v>
      </c>
      <c r="H7" s="2" t="s">
        <v>187</v>
      </c>
      <c r="I7" s="8" t="s">
        <v>1</v>
      </c>
      <c r="J7" t="s">
        <v>21</v>
      </c>
      <c r="K7" s="2" t="s">
        <v>187</v>
      </c>
      <c r="L7" s="2" t="s">
        <v>1</v>
      </c>
      <c r="M7" t="s">
        <v>21</v>
      </c>
      <c r="N7" s="8" t="s">
        <v>187</v>
      </c>
      <c r="O7" s="8" t="s">
        <v>1</v>
      </c>
      <c r="P7" t="s">
        <v>21</v>
      </c>
      <c r="Q7" s="8" t="s">
        <v>187</v>
      </c>
      <c r="R7" s="8" t="s">
        <v>1</v>
      </c>
      <c r="S7" t="s">
        <v>21</v>
      </c>
      <c r="T7" s="8" t="s">
        <v>187</v>
      </c>
      <c r="U7" s="8" t="s">
        <v>1</v>
      </c>
      <c r="V7" t="s">
        <v>21</v>
      </c>
      <c r="W7" s="8" t="s">
        <v>187</v>
      </c>
      <c r="X7" s="8" t="s">
        <v>1</v>
      </c>
      <c r="Y7">
        <f t="shared" si="0"/>
        <v>401</v>
      </c>
    </row>
    <row r="8" spans="1:25" ht="165" x14ac:dyDescent="0.25">
      <c r="A8" t="s">
        <v>15</v>
      </c>
      <c r="B8" t="s">
        <v>16</v>
      </c>
      <c r="C8" s="2" t="s">
        <v>1044</v>
      </c>
      <c r="D8" s="2" t="s">
        <v>1045</v>
      </c>
      <c r="E8" t="s">
        <v>22</v>
      </c>
      <c r="F8" s="2" t="s">
        <v>23</v>
      </c>
      <c r="G8" t="s">
        <v>23</v>
      </c>
      <c r="H8" s="8" t="s">
        <v>187</v>
      </c>
      <c r="I8" s="8" t="s">
        <v>1</v>
      </c>
      <c r="J8" t="s">
        <v>21</v>
      </c>
      <c r="K8" s="2" t="s">
        <v>194</v>
      </c>
      <c r="L8" s="2" t="s">
        <v>1</v>
      </c>
      <c r="M8" t="s">
        <v>23</v>
      </c>
      <c r="N8" s="8" t="s">
        <v>187</v>
      </c>
      <c r="O8" s="8" t="s">
        <v>1</v>
      </c>
      <c r="P8" t="s">
        <v>21</v>
      </c>
      <c r="Q8" t="s">
        <v>194</v>
      </c>
      <c r="R8" s="8" t="s">
        <v>1</v>
      </c>
      <c r="S8" t="s">
        <v>23</v>
      </c>
      <c r="T8" s="8" t="s">
        <v>187</v>
      </c>
      <c r="U8" s="8" t="s">
        <v>1</v>
      </c>
      <c r="V8" t="s">
        <v>23</v>
      </c>
      <c r="W8" s="8" t="s">
        <v>187</v>
      </c>
      <c r="X8" s="8" t="s">
        <v>1</v>
      </c>
      <c r="Y8">
        <f t="shared" si="0"/>
        <v>392</v>
      </c>
    </row>
    <row r="9" spans="1:25" ht="165" x14ac:dyDescent="0.25">
      <c r="A9" t="s">
        <v>15</v>
      </c>
      <c r="B9" t="s">
        <v>16</v>
      </c>
      <c r="C9" s="2" t="s">
        <v>1044</v>
      </c>
      <c r="D9" s="2" t="s">
        <v>1045</v>
      </c>
      <c r="E9" t="s">
        <v>24</v>
      </c>
      <c r="F9" s="2" t="s">
        <v>18</v>
      </c>
      <c r="G9" t="s">
        <v>18</v>
      </c>
      <c r="H9" s="2" t="s">
        <v>187</v>
      </c>
      <c r="I9" s="8" t="s">
        <v>1</v>
      </c>
      <c r="J9" t="s">
        <v>18</v>
      </c>
      <c r="K9" s="2" t="s">
        <v>187</v>
      </c>
      <c r="L9" s="2" t="s">
        <v>1</v>
      </c>
      <c r="M9" t="s">
        <v>18</v>
      </c>
      <c r="N9" s="8" t="s">
        <v>187</v>
      </c>
      <c r="O9" s="8" t="s">
        <v>1</v>
      </c>
      <c r="P9" t="s">
        <v>18</v>
      </c>
      <c r="Q9" s="8" t="s">
        <v>187</v>
      </c>
      <c r="R9" s="8" t="s">
        <v>1</v>
      </c>
      <c r="S9" t="s">
        <v>18</v>
      </c>
      <c r="T9" s="8" t="s">
        <v>187</v>
      </c>
      <c r="U9" s="8" t="s">
        <v>1</v>
      </c>
      <c r="V9" t="s">
        <v>18</v>
      </c>
      <c r="W9" s="8" t="s">
        <v>187</v>
      </c>
      <c r="X9" s="8" t="s">
        <v>1</v>
      </c>
      <c r="Y9">
        <f t="shared" si="0"/>
        <v>395</v>
      </c>
    </row>
    <row r="10" spans="1:25" ht="165" x14ac:dyDescent="0.25">
      <c r="A10" t="s">
        <v>15</v>
      </c>
      <c r="B10" t="s">
        <v>16</v>
      </c>
      <c r="C10" s="2" t="s">
        <v>1044</v>
      </c>
      <c r="D10" s="2" t="s">
        <v>1045</v>
      </c>
      <c r="E10" t="s">
        <v>25</v>
      </c>
      <c r="F10" s="2" t="s">
        <v>21</v>
      </c>
      <c r="G10" t="s">
        <v>21</v>
      </c>
      <c r="H10" s="2" t="s">
        <v>187</v>
      </c>
      <c r="I10" s="8" t="s">
        <v>1</v>
      </c>
      <c r="J10" t="s">
        <v>21</v>
      </c>
      <c r="K10" s="2" t="s">
        <v>187</v>
      </c>
      <c r="L10" s="2" t="s">
        <v>1</v>
      </c>
      <c r="M10" t="s">
        <v>18</v>
      </c>
      <c r="N10" s="8" t="s">
        <v>194</v>
      </c>
      <c r="O10" s="8" t="s">
        <v>1</v>
      </c>
      <c r="P10" t="s">
        <v>21</v>
      </c>
      <c r="Q10" s="8" t="s">
        <v>187</v>
      </c>
      <c r="R10" s="8" t="s">
        <v>1</v>
      </c>
      <c r="S10" t="s">
        <v>21</v>
      </c>
      <c r="T10" s="8" t="s">
        <v>187</v>
      </c>
      <c r="U10" s="8" t="s">
        <v>1</v>
      </c>
      <c r="V10" t="s">
        <v>21</v>
      </c>
      <c r="W10" s="8" t="s">
        <v>187</v>
      </c>
      <c r="X10" s="8" t="s">
        <v>1</v>
      </c>
      <c r="Y10">
        <f t="shared" si="0"/>
        <v>395</v>
      </c>
    </row>
    <row r="11" spans="1:25" ht="165" x14ac:dyDescent="0.25">
      <c r="A11" t="s">
        <v>15</v>
      </c>
      <c r="B11" t="s">
        <v>16</v>
      </c>
      <c r="C11" s="2" t="s">
        <v>1044</v>
      </c>
      <c r="D11" s="2" t="s">
        <v>1045</v>
      </c>
      <c r="E11" t="s">
        <v>26</v>
      </c>
      <c r="F11" s="2" t="s">
        <v>23</v>
      </c>
      <c r="G11" t="s">
        <v>23</v>
      </c>
      <c r="H11" s="8" t="s">
        <v>187</v>
      </c>
      <c r="I11" s="8" t="s">
        <v>1</v>
      </c>
      <c r="J11" t="s">
        <v>21</v>
      </c>
      <c r="K11" s="2" t="s">
        <v>194</v>
      </c>
      <c r="L11" s="2" t="s">
        <v>1</v>
      </c>
      <c r="M11" t="s">
        <v>23</v>
      </c>
      <c r="N11" s="8" t="s">
        <v>187</v>
      </c>
      <c r="O11" s="8" t="s">
        <v>1</v>
      </c>
      <c r="P11" t="s">
        <v>21</v>
      </c>
      <c r="Q11" t="s">
        <v>194</v>
      </c>
      <c r="R11" s="8" t="s">
        <v>1</v>
      </c>
      <c r="S11" t="s">
        <v>23</v>
      </c>
      <c r="T11" s="8" t="s">
        <v>187</v>
      </c>
      <c r="U11" s="8" t="s">
        <v>1</v>
      </c>
      <c r="V11" t="s">
        <v>1055</v>
      </c>
      <c r="W11" s="8" t="s">
        <v>187</v>
      </c>
      <c r="X11" s="8" t="s">
        <v>2</v>
      </c>
      <c r="Y11">
        <f t="shared" si="0"/>
        <v>397</v>
      </c>
    </row>
    <row r="12" spans="1:25" ht="165" x14ac:dyDescent="0.25">
      <c r="A12" t="s">
        <v>15</v>
      </c>
      <c r="B12" t="s">
        <v>16</v>
      </c>
      <c r="C12" s="2" t="s">
        <v>1044</v>
      </c>
      <c r="D12" s="2" t="s">
        <v>1045</v>
      </c>
      <c r="E12" t="s">
        <v>27</v>
      </c>
      <c r="F12" s="2" t="s">
        <v>21</v>
      </c>
      <c r="G12" t="s">
        <v>21</v>
      </c>
      <c r="H12" s="2" t="s">
        <v>187</v>
      </c>
      <c r="I12" s="8" t="s">
        <v>1</v>
      </c>
      <c r="J12" t="s">
        <v>21</v>
      </c>
      <c r="K12" s="2" t="s">
        <v>187</v>
      </c>
      <c r="L12" s="2" t="s">
        <v>1</v>
      </c>
      <c r="M12" t="s">
        <v>21</v>
      </c>
      <c r="N12" s="8" t="s">
        <v>187</v>
      </c>
      <c r="O12" s="8" t="s">
        <v>1</v>
      </c>
      <c r="P12" t="s">
        <v>21</v>
      </c>
      <c r="Q12" s="8" t="s">
        <v>187</v>
      </c>
      <c r="R12" s="8" t="s">
        <v>1</v>
      </c>
      <c r="S12" t="s">
        <v>21</v>
      </c>
      <c r="T12" s="8" t="s">
        <v>187</v>
      </c>
      <c r="U12" s="8" t="s">
        <v>1</v>
      </c>
      <c r="V12" t="s">
        <v>21</v>
      </c>
      <c r="W12" s="8" t="s">
        <v>187</v>
      </c>
      <c r="X12" s="8" t="s">
        <v>1</v>
      </c>
      <c r="Y12">
        <f t="shared" si="0"/>
        <v>395</v>
      </c>
    </row>
    <row r="13" spans="1:25" ht="165" x14ac:dyDescent="0.25">
      <c r="A13" t="s">
        <v>15</v>
      </c>
      <c r="B13" t="s">
        <v>16</v>
      </c>
      <c r="C13" s="2" t="s">
        <v>1044</v>
      </c>
      <c r="D13" s="2" t="s">
        <v>1045</v>
      </c>
      <c r="E13" t="s">
        <v>28</v>
      </c>
      <c r="F13" s="2" t="s">
        <v>23</v>
      </c>
      <c r="G13" t="s">
        <v>23</v>
      </c>
      <c r="H13" s="8" t="s">
        <v>187</v>
      </c>
      <c r="I13" s="8" t="s">
        <v>1</v>
      </c>
      <c r="J13" t="s">
        <v>23</v>
      </c>
      <c r="K13" s="2" t="s">
        <v>187</v>
      </c>
      <c r="L13" s="2" t="s">
        <v>1</v>
      </c>
      <c r="M13" t="s">
        <v>23</v>
      </c>
      <c r="N13" s="8" t="s">
        <v>187</v>
      </c>
      <c r="O13" s="8" t="s">
        <v>1</v>
      </c>
      <c r="P13" t="s">
        <v>23</v>
      </c>
      <c r="Q13" s="8" t="s">
        <v>187</v>
      </c>
      <c r="R13" s="8" t="s">
        <v>1</v>
      </c>
      <c r="S13" t="s">
        <v>23</v>
      </c>
      <c r="T13" s="8" t="s">
        <v>187</v>
      </c>
      <c r="U13" s="8" t="s">
        <v>1</v>
      </c>
      <c r="V13" t="s">
        <v>1056</v>
      </c>
      <c r="W13" s="8" t="s">
        <v>187</v>
      </c>
      <c r="X13" s="8" t="s">
        <v>2</v>
      </c>
      <c r="Y13">
        <f t="shared" si="0"/>
        <v>394</v>
      </c>
    </row>
    <row r="14" spans="1:25" ht="165" x14ac:dyDescent="0.25">
      <c r="A14" t="s">
        <v>15</v>
      </c>
      <c r="B14" t="s">
        <v>16</v>
      </c>
      <c r="C14" s="2" t="s">
        <v>1044</v>
      </c>
      <c r="D14" s="2" t="s">
        <v>1045</v>
      </c>
      <c r="E14" t="s">
        <v>29</v>
      </c>
      <c r="F14" s="2" t="s">
        <v>18</v>
      </c>
      <c r="G14" t="s">
        <v>18</v>
      </c>
      <c r="H14" s="2" t="s">
        <v>187</v>
      </c>
      <c r="I14" s="8" t="s">
        <v>1</v>
      </c>
      <c r="J14" t="s">
        <v>18</v>
      </c>
      <c r="K14" s="2" t="s">
        <v>187</v>
      </c>
      <c r="L14" s="2" t="s">
        <v>1</v>
      </c>
      <c r="M14" t="s">
        <v>18</v>
      </c>
      <c r="N14" s="8" t="s">
        <v>187</v>
      </c>
      <c r="O14" s="8" t="s">
        <v>1</v>
      </c>
      <c r="P14" t="s">
        <v>18</v>
      </c>
      <c r="Q14" s="8" t="s">
        <v>187</v>
      </c>
      <c r="R14" s="8" t="s">
        <v>1</v>
      </c>
      <c r="S14" t="s">
        <v>18</v>
      </c>
      <c r="T14" s="8" t="s">
        <v>187</v>
      </c>
      <c r="U14" s="8" t="s">
        <v>1</v>
      </c>
      <c r="V14" t="s">
        <v>18</v>
      </c>
      <c r="W14" s="8" t="s">
        <v>187</v>
      </c>
      <c r="X14" s="8" t="s">
        <v>1</v>
      </c>
      <c r="Y14">
        <f t="shared" si="0"/>
        <v>388</v>
      </c>
    </row>
    <row r="15" spans="1:25" ht="165" x14ac:dyDescent="0.25">
      <c r="A15" t="s">
        <v>15</v>
      </c>
      <c r="B15" t="s">
        <v>16</v>
      </c>
      <c r="C15" s="2" t="s">
        <v>1044</v>
      </c>
      <c r="D15" s="2" t="s">
        <v>1045</v>
      </c>
      <c r="E15" t="s">
        <v>30</v>
      </c>
      <c r="F15" s="2" t="s">
        <v>18</v>
      </c>
      <c r="G15" t="s">
        <v>18</v>
      </c>
      <c r="H15" s="2" t="s">
        <v>187</v>
      </c>
      <c r="I15" s="8" t="s">
        <v>1</v>
      </c>
      <c r="J15" t="s">
        <v>18</v>
      </c>
      <c r="K15" s="2" t="s">
        <v>187</v>
      </c>
      <c r="L15" s="2" t="s">
        <v>1</v>
      </c>
      <c r="M15" t="s">
        <v>18</v>
      </c>
      <c r="N15" s="8" t="s">
        <v>187</v>
      </c>
      <c r="O15" s="8" t="s">
        <v>1</v>
      </c>
      <c r="P15" t="s">
        <v>18</v>
      </c>
      <c r="Q15" s="8" t="s">
        <v>187</v>
      </c>
      <c r="R15" s="8" t="s">
        <v>1</v>
      </c>
      <c r="S15" t="s">
        <v>18</v>
      </c>
      <c r="T15" s="8" t="s">
        <v>187</v>
      </c>
      <c r="U15" s="8" t="s">
        <v>1</v>
      </c>
      <c r="V15" t="s">
        <v>18</v>
      </c>
      <c r="W15" s="8" t="s">
        <v>187</v>
      </c>
      <c r="X15" s="8" t="s">
        <v>1</v>
      </c>
      <c r="Y15">
        <f t="shared" si="0"/>
        <v>389</v>
      </c>
    </row>
    <row r="16" spans="1:25" ht="165" x14ac:dyDescent="0.25">
      <c r="A16" t="s">
        <v>15</v>
      </c>
      <c r="B16" t="s">
        <v>16</v>
      </c>
      <c r="C16" s="2" t="s">
        <v>1044</v>
      </c>
      <c r="D16" s="2" t="s">
        <v>1045</v>
      </c>
      <c r="E16" t="s">
        <v>31</v>
      </c>
      <c r="F16" s="2" t="s">
        <v>21</v>
      </c>
      <c r="G16" t="s">
        <v>23</v>
      </c>
      <c r="H16" s="2" t="s">
        <v>194</v>
      </c>
      <c r="I16" s="8" t="s">
        <v>1</v>
      </c>
      <c r="J16" t="s">
        <v>21</v>
      </c>
      <c r="K16" s="2" t="s">
        <v>187</v>
      </c>
      <c r="L16" s="2" t="s">
        <v>1</v>
      </c>
      <c r="M16" t="s">
        <v>23</v>
      </c>
      <c r="N16" s="8" t="s">
        <v>194</v>
      </c>
      <c r="O16" s="8" t="s">
        <v>1</v>
      </c>
      <c r="P16" t="s">
        <v>21</v>
      </c>
      <c r="Q16" s="8" t="s">
        <v>187</v>
      </c>
      <c r="R16" s="8" t="s">
        <v>1</v>
      </c>
      <c r="S16" t="s">
        <v>21</v>
      </c>
      <c r="T16" s="8" t="s">
        <v>187</v>
      </c>
      <c r="U16" s="8" t="s">
        <v>1</v>
      </c>
      <c r="V16" t="s">
        <v>21</v>
      </c>
      <c r="W16" s="8" t="s">
        <v>187</v>
      </c>
      <c r="X16" s="8" t="s">
        <v>1</v>
      </c>
      <c r="Y16">
        <f t="shared" si="0"/>
        <v>390</v>
      </c>
    </row>
    <row r="17" spans="1:25" ht="165" x14ac:dyDescent="0.25">
      <c r="A17" t="s">
        <v>15</v>
      </c>
      <c r="B17" t="s">
        <v>16</v>
      </c>
      <c r="C17" s="2" t="s">
        <v>1044</v>
      </c>
      <c r="D17" s="2" t="s">
        <v>1045</v>
      </c>
      <c r="E17" t="s">
        <v>32</v>
      </c>
      <c r="F17" s="2" t="s">
        <v>18</v>
      </c>
      <c r="G17" t="s">
        <v>18</v>
      </c>
      <c r="H17" s="2" t="s">
        <v>187</v>
      </c>
      <c r="I17" s="8" t="s">
        <v>1</v>
      </c>
      <c r="J17" t="s">
        <v>21</v>
      </c>
      <c r="K17" s="2" t="s">
        <v>194</v>
      </c>
      <c r="L17" s="2" t="s">
        <v>1</v>
      </c>
      <c r="M17" t="s">
        <v>18</v>
      </c>
      <c r="N17" s="8" t="s">
        <v>187</v>
      </c>
      <c r="O17" s="8" t="s">
        <v>1</v>
      </c>
      <c r="P17" t="s">
        <v>18</v>
      </c>
      <c r="Q17" s="8" t="s">
        <v>187</v>
      </c>
      <c r="R17" s="8" t="s">
        <v>1</v>
      </c>
      <c r="S17" t="s">
        <v>18</v>
      </c>
      <c r="T17" s="8" t="s">
        <v>187</v>
      </c>
      <c r="U17" s="8" t="s">
        <v>1</v>
      </c>
      <c r="V17" t="s">
        <v>18</v>
      </c>
      <c r="W17" s="8" t="s">
        <v>187</v>
      </c>
      <c r="X17" s="8" t="s">
        <v>1</v>
      </c>
      <c r="Y17">
        <f t="shared" si="0"/>
        <v>394</v>
      </c>
    </row>
    <row r="18" spans="1:25" ht="165" x14ac:dyDescent="0.25">
      <c r="A18" t="s">
        <v>15</v>
      </c>
      <c r="B18" t="s">
        <v>16</v>
      </c>
      <c r="C18" s="2" t="s">
        <v>1044</v>
      </c>
      <c r="D18" s="2" t="s">
        <v>1045</v>
      </c>
      <c r="E18" t="s">
        <v>33</v>
      </c>
      <c r="F18" s="2" t="s">
        <v>21</v>
      </c>
      <c r="G18" t="s">
        <v>21</v>
      </c>
      <c r="H18" s="2" t="s">
        <v>187</v>
      </c>
      <c r="I18" s="8" t="s">
        <v>1</v>
      </c>
      <c r="J18" t="s">
        <v>21</v>
      </c>
      <c r="K18" s="2" t="s">
        <v>187</v>
      </c>
      <c r="L18" s="2" t="s">
        <v>1</v>
      </c>
      <c r="M18" t="s">
        <v>21</v>
      </c>
      <c r="N18" s="8" t="s">
        <v>187</v>
      </c>
      <c r="O18" s="8" t="s">
        <v>1</v>
      </c>
      <c r="P18" t="s">
        <v>21</v>
      </c>
      <c r="Q18" s="8" t="s">
        <v>187</v>
      </c>
      <c r="R18" s="8" t="s">
        <v>1</v>
      </c>
      <c r="S18" t="s">
        <v>21</v>
      </c>
      <c r="T18" s="8" t="s">
        <v>187</v>
      </c>
      <c r="U18" s="8" t="s">
        <v>1</v>
      </c>
      <c r="V18" t="s">
        <v>21</v>
      </c>
      <c r="W18" s="8" t="s">
        <v>187</v>
      </c>
      <c r="X18" s="8" t="s">
        <v>1</v>
      </c>
      <c r="Y18">
        <f t="shared" si="0"/>
        <v>397</v>
      </c>
    </row>
    <row r="19" spans="1:25" ht="165" x14ac:dyDescent="0.25">
      <c r="A19" t="s">
        <v>15</v>
      </c>
      <c r="B19" t="s">
        <v>16</v>
      </c>
      <c r="C19" s="2" t="s">
        <v>1044</v>
      </c>
      <c r="D19" s="2" t="s">
        <v>1045</v>
      </c>
      <c r="E19" t="s">
        <v>34</v>
      </c>
      <c r="F19" s="2" t="s">
        <v>21</v>
      </c>
      <c r="G19" t="s">
        <v>21</v>
      </c>
      <c r="H19" s="2" t="s">
        <v>187</v>
      </c>
      <c r="I19" s="8" t="s">
        <v>1</v>
      </c>
      <c r="J19" t="s">
        <v>21</v>
      </c>
      <c r="K19" s="2" t="s">
        <v>187</v>
      </c>
      <c r="L19" s="2" t="s">
        <v>1</v>
      </c>
      <c r="M19" t="s">
        <v>21</v>
      </c>
      <c r="N19" s="8" t="s">
        <v>187</v>
      </c>
      <c r="O19" s="8" t="s">
        <v>1</v>
      </c>
      <c r="P19" t="s">
        <v>21</v>
      </c>
      <c r="Q19" s="8" t="s">
        <v>187</v>
      </c>
      <c r="R19" s="8" t="s">
        <v>1</v>
      </c>
      <c r="S19" t="s">
        <v>21</v>
      </c>
      <c r="T19" s="8" t="s">
        <v>187</v>
      </c>
      <c r="U19" s="8" t="s">
        <v>1</v>
      </c>
      <c r="V19" t="s">
        <v>21</v>
      </c>
      <c r="W19" s="8" t="s">
        <v>187</v>
      </c>
      <c r="X19" s="8" t="s">
        <v>1</v>
      </c>
      <c r="Y19">
        <f t="shared" si="0"/>
        <v>401</v>
      </c>
    </row>
    <row r="20" spans="1:25" ht="165" x14ac:dyDescent="0.25">
      <c r="A20" t="s">
        <v>15</v>
      </c>
      <c r="B20" t="s">
        <v>16</v>
      </c>
      <c r="C20" s="2" t="s">
        <v>1044</v>
      </c>
      <c r="D20" s="2" t="s">
        <v>1045</v>
      </c>
      <c r="E20" t="s">
        <v>35</v>
      </c>
      <c r="F20" s="2" t="s">
        <v>21</v>
      </c>
      <c r="G20" t="s">
        <v>21</v>
      </c>
      <c r="H20" s="2" t="s">
        <v>187</v>
      </c>
      <c r="I20" s="8" t="s">
        <v>1</v>
      </c>
      <c r="J20" t="s">
        <v>21</v>
      </c>
      <c r="K20" s="2" t="s">
        <v>187</v>
      </c>
      <c r="L20" s="2" t="s">
        <v>1</v>
      </c>
      <c r="M20" t="s">
        <v>21</v>
      </c>
      <c r="N20" s="8" t="s">
        <v>187</v>
      </c>
      <c r="O20" s="8" t="s">
        <v>1</v>
      </c>
      <c r="P20" t="s">
        <v>21</v>
      </c>
      <c r="Q20" s="8" t="s">
        <v>187</v>
      </c>
      <c r="R20" s="8" t="s">
        <v>1</v>
      </c>
      <c r="S20" t="s">
        <v>21</v>
      </c>
      <c r="T20" s="8" t="s">
        <v>187</v>
      </c>
      <c r="U20" s="8" t="s">
        <v>1</v>
      </c>
      <c r="V20" t="s">
        <v>21</v>
      </c>
      <c r="W20" s="8" t="s">
        <v>187</v>
      </c>
      <c r="X20" s="8" t="s">
        <v>1</v>
      </c>
      <c r="Y20">
        <f t="shared" si="0"/>
        <v>395</v>
      </c>
    </row>
    <row r="21" spans="1:25" ht="165" x14ac:dyDescent="0.25">
      <c r="A21" t="s">
        <v>15</v>
      </c>
      <c r="B21" t="s">
        <v>16</v>
      </c>
      <c r="C21" s="2" t="s">
        <v>1044</v>
      </c>
      <c r="D21" s="2" t="s">
        <v>1045</v>
      </c>
      <c r="E21" t="s">
        <v>36</v>
      </c>
      <c r="F21" s="2" t="s">
        <v>23</v>
      </c>
      <c r="G21" t="s">
        <v>23</v>
      </c>
      <c r="H21" s="8" t="s">
        <v>187</v>
      </c>
      <c r="I21" s="8" t="s">
        <v>1</v>
      </c>
      <c r="J21" t="s">
        <v>21</v>
      </c>
      <c r="K21" s="2" t="s">
        <v>194</v>
      </c>
      <c r="L21" s="2" t="s">
        <v>1</v>
      </c>
      <c r="M21" t="s">
        <v>23</v>
      </c>
      <c r="N21" s="8" t="s">
        <v>187</v>
      </c>
      <c r="O21" s="8" t="s">
        <v>1</v>
      </c>
      <c r="P21" t="s">
        <v>21</v>
      </c>
      <c r="Q21" t="s">
        <v>194</v>
      </c>
      <c r="R21" s="8" t="s">
        <v>1</v>
      </c>
      <c r="S21" t="s">
        <v>23</v>
      </c>
      <c r="T21" s="8" t="s">
        <v>187</v>
      </c>
      <c r="U21" s="8" t="s">
        <v>1</v>
      </c>
      <c r="V21" t="s">
        <v>1057</v>
      </c>
      <c r="W21" s="8" t="s">
        <v>187</v>
      </c>
      <c r="X21" s="8" t="s">
        <v>2</v>
      </c>
      <c r="Y21">
        <f t="shared" si="0"/>
        <v>400</v>
      </c>
    </row>
    <row r="22" spans="1:25" ht="165" x14ac:dyDescent="0.25">
      <c r="A22" t="s">
        <v>15</v>
      </c>
      <c r="B22" t="s">
        <v>16</v>
      </c>
      <c r="C22" s="2" t="s">
        <v>1044</v>
      </c>
      <c r="D22" s="2" t="s">
        <v>1045</v>
      </c>
      <c r="E22" t="s">
        <v>37</v>
      </c>
      <c r="F22" s="2" t="s">
        <v>18</v>
      </c>
      <c r="G22" t="s">
        <v>18</v>
      </c>
      <c r="H22" s="2" t="s">
        <v>187</v>
      </c>
      <c r="I22" s="8" t="s">
        <v>1</v>
      </c>
      <c r="J22" t="s">
        <v>18</v>
      </c>
      <c r="K22" s="2" t="s">
        <v>187</v>
      </c>
      <c r="L22" s="2" t="s">
        <v>1</v>
      </c>
      <c r="M22" t="s">
        <v>18</v>
      </c>
      <c r="N22" s="8" t="s">
        <v>187</v>
      </c>
      <c r="O22" s="8" t="s">
        <v>1</v>
      </c>
      <c r="P22" t="s">
        <v>18</v>
      </c>
      <c r="Q22" s="8" t="s">
        <v>187</v>
      </c>
      <c r="R22" s="8" t="s">
        <v>1</v>
      </c>
      <c r="S22" t="s">
        <v>18</v>
      </c>
      <c r="T22" s="8" t="s">
        <v>187</v>
      </c>
      <c r="U22" s="8" t="s">
        <v>1</v>
      </c>
      <c r="V22" t="s">
        <v>18</v>
      </c>
      <c r="W22" s="8" t="s">
        <v>187</v>
      </c>
      <c r="X22" s="8" t="s">
        <v>1</v>
      </c>
      <c r="Y22">
        <f t="shared" si="0"/>
        <v>394</v>
      </c>
    </row>
    <row r="23" spans="1:25" ht="165" x14ac:dyDescent="0.25">
      <c r="A23" t="s">
        <v>15</v>
      </c>
      <c r="B23" t="s">
        <v>16</v>
      </c>
      <c r="C23" s="2" t="s">
        <v>1044</v>
      </c>
      <c r="D23" s="2" t="s">
        <v>1045</v>
      </c>
      <c r="E23" t="s">
        <v>38</v>
      </c>
      <c r="F23" s="2" t="s">
        <v>18</v>
      </c>
      <c r="G23" t="s">
        <v>18</v>
      </c>
      <c r="H23" s="2" t="s">
        <v>187</v>
      </c>
      <c r="I23" s="8" t="s">
        <v>1</v>
      </c>
      <c r="J23" t="s">
        <v>18</v>
      </c>
      <c r="K23" s="2" t="s">
        <v>187</v>
      </c>
      <c r="L23" s="2" t="s">
        <v>1</v>
      </c>
      <c r="M23" t="s">
        <v>18</v>
      </c>
      <c r="N23" s="8" t="s">
        <v>187</v>
      </c>
      <c r="O23" s="8" t="s">
        <v>1</v>
      </c>
      <c r="P23" t="s">
        <v>18</v>
      </c>
      <c r="Q23" s="8" t="s">
        <v>187</v>
      </c>
      <c r="R23" s="8" t="s">
        <v>1</v>
      </c>
      <c r="S23" t="s">
        <v>18</v>
      </c>
      <c r="T23" s="8" t="s">
        <v>187</v>
      </c>
      <c r="U23" s="8" t="s">
        <v>1</v>
      </c>
      <c r="V23" t="s">
        <v>18</v>
      </c>
      <c r="W23" s="8" t="s">
        <v>187</v>
      </c>
      <c r="X23" s="8" t="s">
        <v>1</v>
      </c>
      <c r="Y23">
        <f t="shared" si="0"/>
        <v>391</v>
      </c>
    </row>
    <row r="24" spans="1:25" ht="165" x14ac:dyDescent="0.25">
      <c r="A24" t="s">
        <v>15</v>
      </c>
      <c r="B24" t="s">
        <v>16</v>
      </c>
      <c r="C24" s="2" t="s">
        <v>1044</v>
      </c>
      <c r="D24" s="2" t="s">
        <v>1045</v>
      </c>
      <c r="E24" t="s">
        <v>39</v>
      </c>
      <c r="F24" s="2" t="s">
        <v>23</v>
      </c>
      <c r="G24" t="s">
        <v>23</v>
      </c>
      <c r="H24" s="8" t="s">
        <v>187</v>
      </c>
      <c r="I24" s="8" t="s">
        <v>1</v>
      </c>
      <c r="J24" t="s">
        <v>21</v>
      </c>
      <c r="K24" s="2" t="s">
        <v>194</v>
      </c>
      <c r="L24" s="2" t="s">
        <v>1</v>
      </c>
      <c r="M24" t="s">
        <v>23</v>
      </c>
      <c r="N24" s="8" t="s">
        <v>187</v>
      </c>
      <c r="O24" s="8" t="s">
        <v>1</v>
      </c>
      <c r="P24" t="s">
        <v>21</v>
      </c>
      <c r="Q24" t="s">
        <v>194</v>
      </c>
      <c r="R24" s="8" t="s">
        <v>1</v>
      </c>
      <c r="S24" t="s">
        <v>23</v>
      </c>
      <c r="T24" s="8" t="s">
        <v>187</v>
      </c>
      <c r="U24" s="8" t="s">
        <v>1</v>
      </c>
      <c r="V24" t="s">
        <v>21</v>
      </c>
      <c r="W24" s="8" t="s">
        <v>194</v>
      </c>
      <c r="X24" s="8" t="s">
        <v>1</v>
      </c>
      <c r="Y24">
        <f t="shared" si="0"/>
        <v>403</v>
      </c>
    </row>
    <row r="25" spans="1:25" ht="165" x14ac:dyDescent="0.25">
      <c r="A25" t="s">
        <v>15</v>
      </c>
      <c r="B25" t="s">
        <v>16</v>
      </c>
      <c r="C25" s="2" t="s">
        <v>1044</v>
      </c>
      <c r="D25" s="2" t="s">
        <v>1045</v>
      </c>
      <c r="E25" t="s">
        <v>40</v>
      </c>
      <c r="F25" s="2" t="s">
        <v>18</v>
      </c>
      <c r="G25" t="s">
        <v>18</v>
      </c>
      <c r="H25" s="2" t="s">
        <v>187</v>
      </c>
      <c r="I25" s="8" t="s">
        <v>1</v>
      </c>
      <c r="J25" t="s">
        <v>18</v>
      </c>
      <c r="K25" s="2" t="s">
        <v>187</v>
      </c>
      <c r="L25" s="2" t="s">
        <v>1</v>
      </c>
      <c r="M25" t="s">
        <v>18</v>
      </c>
      <c r="N25" s="8" t="s">
        <v>187</v>
      </c>
      <c r="O25" s="8" t="s">
        <v>1</v>
      </c>
      <c r="P25" t="s">
        <v>18</v>
      </c>
      <c r="Q25" s="8" t="s">
        <v>187</v>
      </c>
      <c r="R25" s="8" t="s">
        <v>1</v>
      </c>
      <c r="S25" t="s">
        <v>18</v>
      </c>
      <c r="T25" s="8" t="s">
        <v>187</v>
      </c>
      <c r="U25" s="8" t="s">
        <v>1</v>
      </c>
      <c r="V25" t="s">
        <v>18</v>
      </c>
      <c r="W25" s="8" t="s">
        <v>187</v>
      </c>
      <c r="X25" s="8" t="s">
        <v>1</v>
      </c>
      <c r="Y25">
        <f t="shared" si="0"/>
        <v>394</v>
      </c>
    </row>
    <row r="26" spans="1:25" ht="165" x14ac:dyDescent="0.25">
      <c r="A26" t="s">
        <v>15</v>
      </c>
      <c r="B26" t="s">
        <v>16</v>
      </c>
      <c r="C26" s="2" t="s">
        <v>1044</v>
      </c>
      <c r="D26" s="2" t="s">
        <v>1045</v>
      </c>
      <c r="E26" t="s">
        <v>41</v>
      </c>
      <c r="F26" s="2" t="s">
        <v>21</v>
      </c>
      <c r="G26" t="s">
        <v>21</v>
      </c>
      <c r="H26" s="2" t="s">
        <v>187</v>
      </c>
      <c r="I26" s="8" t="s">
        <v>1</v>
      </c>
      <c r="J26" t="s">
        <v>21</v>
      </c>
      <c r="K26" s="2" t="s">
        <v>187</v>
      </c>
      <c r="L26" s="2" t="s">
        <v>1</v>
      </c>
      <c r="M26" t="s">
        <v>21</v>
      </c>
      <c r="N26" s="8" t="s">
        <v>187</v>
      </c>
      <c r="O26" s="8" t="s">
        <v>1</v>
      </c>
      <c r="P26" t="s">
        <v>21</v>
      </c>
      <c r="Q26" s="8" t="s">
        <v>187</v>
      </c>
      <c r="R26" s="8" t="s">
        <v>1</v>
      </c>
      <c r="S26" t="s">
        <v>21</v>
      </c>
      <c r="T26" s="8" t="s">
        <v>187</v>
      </c>
      <c r="U26" s="8" t="s">
        <v>1</v>
      </c>
      <c r="V26" t="s">
        <v>21</v>
      </c>
      <c r="W26" s="8" t="s">
        <v>187</v>
      </c>
      <c r="X26" s="8" t="s">
        <v>1</v>
      </c>
      <c r="Y26">
        <f t="shared" si="0"/>
        <v>396</v>
      </c>
    </row>
    <row r="27" spans="1:25" ht="165" x14ac:dyDescent="0.25">
      <c r="A27" t="s">
        <v>15</v>
      </c>
      <c r="B27" t="s">
        <v>16</v>
      </c>
      <c r="C27" s="2" t="s">
        <v>1044</v>
      </c>
      <c r="D27" s="2" t="s">
        <v>1045</v>
      </c>
      <c r="E27" t="s">
        <v>42</v>
      </c>
      <c r="F27" s="2" t="s">
        <v>21</v>
      </c>
      <c r="G27" t="s">
        <v>21</v>
      </c>
      <c r="H27" s="2" t="s">
        <v>187</v>
      </c>
      <c r="I27" s="8" t="s">
        <v>1</v>
      </c>
      <c r="J27" t="s">
        <v>21</v>
      </c>
      <c r="K27" s="2" t="s">
        <v>187</v>
      </c>
      <c r="L27" s="2" t="s">
        <v>1</v>
      </c>
      <c r="M27" t="s">
        <v>21</v>
      </c>
      <c r="N27" s="8" t="s">
        <v>187</v>
      </c>
      <c r="O27" s="8" t="s">
        <v>1</v>
      </c>
      <c r="P27" t="s">
        <v>21</v>
      </c>
      <c r="Q27" s="8" t="s">
        <v>187</v>
      </c>
      <c r="R27" s="8" t="s">
        <v>1</v>
      </c>
      <c r="S27" t="s">
        <v>21</v>
      </c>
      <c r="T27" s="8" t="s">
        <v>187</v>
      </c>
      <c r="U27" s="8" t="s">
        <v>1</v>
      </c>
      <c r="V27" t="s">
        <v>21</v>
      </c>
      <c r="W27" s="8" t="s">
        <v>187</v>
      </c>
      <c r="X27" s="8" t="s">
        <v>1</v>
      </c>
      <c r="Y27">
        <f t="shared" si="0"/>
        <v>403</v>
      </c>
    </row>
    <row r="28" spans="1:25" ht="165" x14ac:dyDescent="0.25">
      <c r="A28" t="s">
        <v>15</v>
      </c>
      <c r="B28" t="s">
        <v>16</v>
      </c>
      <c r="C28" s="2" t="s">
        <v>1044</v>
      </c>
      <c r="D28" s="2" t="s">
        <v>1045</v>
      </c>
      <c r="E28" t="s">
        <v>43</v>
      </c>
      <c r="F28" s="2" t="s">
        <v>23</v>
      </c>
      <c r="G28" t="s">
        <v>23</v>
      </c>
      <c r="H28" s="8" t="s">
        <v>187</v>
      </c>
      <c r="I28" s="8" t="s">
        <v>1</v>
      </c>
      <c r="J28" t="s">
        <v>21</v>
      </c>
      <c r="K28" s="2" t="s">
        <v>194</v>
      </c>
      <c r="L28" s="2" t="s">
        <v>1</v>
      </c>
      <c r="M28" t="s">
        <v>23</v>
      </c>
      <c r="N28" s="8" t="s">
        <v>187</v>
      </c>
      <c r="O28" s="8" t="s">
        <v>1</v>
      </c>
      <c r="P28" t="s">
        <v>23</v>
      </c>
      <c r="Q28" s="8" t="s">
        <v>187</v>
      </c>
      <c r="R28" s="8" t="s">
        <v>1</v>
      </c>
      <c r="S28" t="s">
        <v>23</v>
      </c>
      <c r="T28" s="8" t="s">
        <v>187</v>
      </c>
      <c r="U28" s="8" t="s">
        <v>1</v>
      </c>
      <c r="V28" t="s">
        <v>21</v>
      </c>
      <c r="W28" s="8" t="s">
        <v>194</v>
      </c>
      <c r="X28" s="8" t="s">
        <v>1</v>
      </c>
      <c r="Y28">
        <f t="shared" si="0"/>
        <v>398</v>
      </c>
    </row>
    <row r="29" spans="1:25" ht="165" x14ac:dyDescent="0.25">
      <c r="A29" t="s">
        <v>15</v>
      </c>
      <c r="B29" t="s">
        <v>16</v>
      </c>
      <c r="C29" s="2" t="s">
        <v>1044</v>
      </c>
      <c r="D29" s="2" t="s">
        <v>1045</v>
      </c>
      <c r="E29" t="s">
        <v>44</v>
      </c>
      <c r="F29" s="2" t="s">
        <v>18</v>
      </c>
      <c r="G29" t="s">
        <v>18</v>
      </c>
      <c r="H29" s="2" t="s">
        <v>187</v>
      </c>
      <c r="I29" s="8" t="s">
        <v>1</v>
      </c>
      <c r="J29" t="s">
        <v>18</v>
      </c>
      <c r="K29" s="2" t="s">
        <v>187</v>
      </c>
      <c r="L29" s="2" t="s">
        <v>1</v>
      </c>
      <c r="M29" t="s">
        <v>18</v>
      </c>
      <c r="N29" s="8" t="s">
        <v>187</v>
      </c>
      <c r="O29" s="8" t="s">
        <v>1</v>
      </c>
      <c r="P29" t="s">
        <v>18</v>
      </c>
      <c r="Q29" s="8" t="s">
        <v>187</v>
      </c>
      <c r="R29" s="8" t="s">
        <v>1</v>
      </c>
      <c r="S29" t="s">
        <v>18</v>
      </c>
      <c r="T29" s="8" t="s">
        <v>187</v>
      </c>
      <c r="U29" s="8" t="s">
        <v>1</v>
      </c>
      <c r="V29" t="s">
        <v>18</v>
      </c>
      <c r="W29" s="8" t="s">
        <v>187</v>
      </c>
      <c r="X29" s="8" t="s">
        <v>1</v>
      </c>
      <c r="Y29">
        <f t="shared" si="0"/>
        <v>392</v>
      </c>
    </row>
    <row r="30" spans="1:25" ht="165" x14ac:dyDescent="0.25">
      <c r="A30" t="s">
        <v>15</v>
      </c>
      <c r="B30" t="s">
        <v>16</v>
      </c>
      <c r="C30" s="2" t="s">
        <v>1044</v>
      </c>
      <c r="D30" s="2" t="s">
        <v>1045</v>
      </c>
      <c r="E30" t="s">
        <v>45</v>
      </c>
      <c r="F30" s="2" t="s">
        <v>23</v>
      </c>
      <c r="G30" t="s">
        <v>23</v>
      </c>
      <c r="H30" s="8" t="s">
        <v>187</v>
      </c>
      <c r="I30" s="8" t="s">
        <v>1</v>
      </c>
      <c r="J30" t="s">
        <v>23</v>
      </c>
      <c r="K30" s="2" t="s">
        <v>187</v>
      </c>
      <c r="L30" s="2" t="s">
        <v>1</v>
      </c>
      <c r="M30" t="s">
        <v>23</v>
      </c>
      <c r="N30" s="8" t="s">
        <v>187</v>
      </c>
      <c r="O30" s="8" t="s">
        <v>1</v>
      </c>
      <c r="P30" t="s">
        <v>23</v>
      </c>
      <c r="Q30" s="8" t="s">
        <v>187</v>
      </c>
      <c r="R30" s="8" t="s">
        <v>1</v>
      </c>
      <c r="S30" t="s">
        <v>23</v>
      </c>
      <c r="T30" s="8" t="s">
        <v>187</v>
      </c>
      <c r="U30" s="8" t="s">
        <v>1</v>
      </c>
      <c r="V30" t="s">
        <v>23</v>
      </c>
      <c r="W30" s="8" t="s">
        <v>187</v>
      </c>
      <c r="X30" s="8" t="s">
        <v>1</v>
      </c>
      <c r="Y30">
        <f t="shared" si="0"/>
        <v>396</v>
      </c>
    </row>
    <row r="31" spans="1:25" ht="165" x14ac:dyDescent="0.25">
      <c r="A31" t="s">
        <v>15</v>
      </c>
      <c r="B31" t="s">
        <v>16</v>
      </c>
      <c r="C31" s="2" t="s">
        <v>1044</v>
      </c>
      <c r="D31" s="2" t="s">
        <v>1045</v>
      </c>
      <c r="E31" t="s">
        <v>46</v>
      </c>
      <c r="F31" s="2" t="s">
        <v>21</v>
      </c>
      <c r="G31" t="s">
        <v>21</v>
      </c>
      <c r="H31" s="2" t="s">
        <v>187</v>
      </c>
      <c r="I31" s="8" t="s">
        <v>1</v>
      </c>
      <c r="J31" t="s">
        <v>21</v>
      </c>
      <c r="K31" s="2" t="s">
        <v>187</v>
      </c>
      <c r="L31" s="2" t="s">
        <v>1</v>
      </c>
      <c r="M31" t="s">
        <v>21</v>
      </c>
      <c r="N31" s="8" t="s">
        <v>187</v>
      </c>
      <c r="O31" s="8" t="s">
        <v>1</v>
      </c>
      <c r="P31" t="s">
        <v>21</v>
      </c>
      <c r="Q31" s="8" t="s">
        <v>187</v>
      </c>
      <c r="R31" s="8" t="s">
        <v>1</v>
      </c>
      <c r="S31" t="s">
        <v>21</v>
      </c>
      <c r="T31" s="8" t="s">
        <v>187</v>
      </c>
      <c r="U31" s="8" t="s">
        <v>1</v>
      </c>
      <c r="V31" t="s">
        <v>21</v>
      </c>
      <c r="W31" s="8" t="s">
        <v>187</v>
      </c>
      <c r="X31" s="8" t="s">
        <v>1</v>
      </c>
      <c r="Y31">
        <f t="shared" si="0"/>
        <v>399</v>
      </c>
    </row>
    <row r="32" spans="1:25" ht="165" x14ac:dyDescent="0.25">
      <c r="A32" t="s">
        <v>15</v>
      </c>
      <c r="B32" t="s">
        <v>16</v>
      </c>
      <c r="C32" s="2" t="s">
        <v>1044</v>
      </c>
      <c r="D32" s="2" t="s">
        <v>1045</v>
      </c>
      <c r="E32" t="s">
        <v>47</v>
      </c>
      <c r="F32" s="2" t="s">
        <v>18</v>
      </c>
      <c r="G32" t="s">
        <v>18</v>
      </c>
      <c r="H32" s="2" t="s">
        <v>187</v>
      </c>
      <c r="I32" s="8" t="s">
        <v>1</v>
      </c>
      <c r="J32" t="s">
        <v>18</v>
      </c>
      <c r="K32" s="2" t="s">
        <v>187</v>
      </c>
      <c r="L32" s="2" t="s">
        <v>1</v>
      </c>
      <c r="M32" t="s">
        <v>18</v>
      </c>
      <c r="N32" s="8" t="s">
        <v>187</v>
      </c>
      <c r="O32" s="8" t="s">
        <v>1</v>
      </c>
      <c r="P32" t="s">
        <v>18</v>
      </c>
      <c r="Q32" s="8" t="s">
        <v>187</v>
      </c>
      <c r="R32" s="8" t="s">
        <v>1</v>
      </c>
      <c r="S32" t="s">
        <v>18</v>
      </c>
      <c r="T32" s="8" t="s">
        <v>187</v>
      </c>
      <c r="U32" s="8" t="s">
        <v>1</v>
      </c>
      <c r="V32" t="s">
        <v>18</v>
      </c>
      <c r="W32" s="8" t="s">
        <v>187</v>
      </c>
      <c r="X32" s="8" t="s">
        <v>1</v>
      </c>
      <c r="Y32">
        <f t="shared" si="0"/>
        <v>391</v>
      </c>
    </row>
    <row r="33" spans="1:25" ht="165" x14ac:dyDescent="0.25">
      <c r="A33" t="s">
        <v>15</v>
      </c>
      <c r="B33" t="s">
        <v>16</v>
      </c>
      <c r="C33" s="2" t="s">
        <v>1044</v>
      </c>
      <c r="D33" s="2" t="s">
        <v>1045</v>
      </c>
      <c r="E33" t="s">
        <v>48</v>
      </c>
      <c r="F33" s="2" t="s">
        <v>23</v>
      </c>
      <c r="G33" t="s">
        <v>23</v>
      </c>
      <c r="H33" s="8" t="s">
        <v>187</v>
      </c>
      <c r="I33" s="8" t="s">
        <v>1</v>
      </c>
      <c r="J33" t="s">
        <v>21</v>
      </c>
      <c r="K33" s="2" t="s">
        <v>194</v>
      </c>
      <c r="L33" s="2" t="s">
        <v>1</v>
      </c>
      <c r="M33" t="s">
        <v>23</v>
      </c>
      <c r="N33" s="8" t="s">
        <v>187</v>
      </c>
      <c r="O33" s="8" t="s">
        <v>1</v>
      </c>
      <c r="P33" t="s">
        <v>21</v>
      </c>
      <c r="Q33" t="s">
        <v>194</v>
      </c>
      <c r="R33" s="8" t="s">
        <v>1</v>
      </c>
      <c r="S33" t="s">
        <v>23</v>
      </c>
      <c r="T33" s="8" t="s">
        <v>187</v>
      </c>
      <c r="U33" s="8" t="s">
        <v>1</v>
      </c>
      <c r="V33" t="s">
        <v>21</v>
      </c>
      <c r="W33" s="8" t="s">
        <v>194</v>
      </c>
      <c r="X33" s="8" t="s">
        <v>1</v>
      </c>
      <c r="Y33">
        <f t="shared" si="0"/>
        <v>399</v>
      </c>
    </row>
    <row r="34" spans="1:25" ht="165" x14ac:dyDescent="0.25">
      <c r="A34" t="s">
        <v>15</v>
      </c>
      <c r="B34" t="s">
        <v>16</v>
      </c>
      <c r="C34" s="2" t="s">
        <v>1044</v>
      </c>
      <c r="D34" s="2" t="s">
        <v>1045</v>
      </c>
      <c r="E34" t="s">
        <v>49</v>
      </c>
      <c r="F34" s="2" t="s">
        <v>18</v>
      </c>
      <c r="G34" t="s">
        <v>18</v>
      </c>
      <c r="H34" s="2" t="s">
        <v>187</v>
      </c>
      <c r="I34" s="8" t="s">
        <v>1</v>
      </c>
      <c r="J34" t="s">
        <v>18</v>
      </c>
      <c r="K34" s="2" t="s">
        <v>187</v>
      </c>
      <c r="L34" s="2" t="s">
        <v>1</v>
      </c>
      <c r="M34" t="s">
        <v>18</v>
      </c>
      <c r="N34" s="8" t="s">
        <v>187</v>
      </c>
      <c r="O34" s="8" t="s">
        <v>1</v>
      </c>
      <c r="P34" t="s">
        <v>18</v>
      </c>
      <c r="Q34" s="8" t="s">
        <v>187</v>
      </c>
      <c r="R34" s="8" t="s">
        <v>1</v>
      </c>
      <c r="S34" t="s">
        <v>18</v>
      </c>
      <c r="T34" s="8" t="s">
        <v>187</v>
      </c>
      <c r="U34" s="8" t="s">
        <v>1</v>
      </c>
      <c r="V34" t="s">
        <v>18</v>
      </c>
      <c r="W34" s="8" t="s">
        <v>187</v>
      </c>
      <c r="X34" s="8" t="s">
        <v>1</v>
      </c>
      <c r="Y34">
        <f t="shared" si="0"/>
        <v>396</v>
      </c>
    </row>
    <row r="35" spans="1:25" ht="165" x14ac:dyDescent="0.25">
      <c r="A35" t="s">
        <v>15</v>
      </c>
      <c r="B35" t="s">
        <v>16</v>
      </c>
      <c r="C35" s="2" t="s">
        <v>1044</v>
      </c>
      <c r="D35" s="2" t="s">
        <v>1045</v>
      </c>
      <c r="E35" t="s">
        <v>50</v>
      </c>
      <c r="F35" s="2" t="s">
        <v>23</v>
      </c>
      <c r="G35" t="s">
        <v>23</v>
      </c>
      <c r="H35" s="8" t="s">
        <v>187</v>
      </c>
      <c r="I35" s="8" t="s">
        <v>1</v>
      </c>
      <c r="J35" t="s">
        <v>21</v>
      </c>
      <c r="K35" s="2" t="s">
        <v>194</v>
      </c>
      <c r="L35" s="2" t="s">
        <v>1</v>
      </c>
      <c r="M35" t="s">
        <v>23</v>
      </c>
      <c r="N35" s="8" t="s">
        <v>187</v>
      </c>
      <c r="O35" s="8" t="s">
        <v>1</v>
      </c>
      <c r="P35" t="s">
        <v>23</v>
      </c>
      <c r="Q35" s="8" t="s">
        <v>187</v>
      </c>
      <c r="R35" s="8" t="s">
        <v>1</v>
      </c>
      <c r="S35" t="s">
        <v>23</v>
      </c>
      <c r="T35" s="8" t="s">
        <v>187</v>
      </c>
      <c r="U35" s="8" t="s">
        <v>1</v>
      </c>
      <c r="V35" t="s">
        <v>21</v>
      </c>
      <c r="W35" s="8" t="s">
        <v>194</v>
      </c>
      <c r="X35" s="8" t="s">
        <v>1</v>
      </c>
      <c r="Y35">
        <f t="shared" si="0"/>
        <v>397</v>
      </c>
    </row>
    <row r="36" spans="1:25" ht="165" x14ac:dyDescent="0.25">
      <c r="A36" t="s">
        <v>15</v>
      </c>
      <c r="B36" t="s">
        <v>16</v>
      </c>
      <c r="C36" s="2" t="s">
        <v>1044</v>
      </c>
      <c r="D36" s="2" t="s">
        <v>1045</v>
      </c>
      <c r="E36" t="s">
        <v>51</v>
      </c>
      <c r="F36" s="2" t="s">
        <v>21</v>
      </c>
      <c r="G36" t="s">
        <v>21</v>
      </c>
      <c r="H36" s="2" t="s">
        <v>187</v>
      </c>
      <c r="I36" s="8" t="s">
        <v>1</v>
      </c>
      <c r="J36" t="s">
        <v>21</v>
      </c>
      <c r="K36" s="2" t="s">
        <v>187</v>
      </c>
      <c r="L36" s="2" t="s">
        <v>1</v>
      </c>
      <c r="M36" t="s">
        <v>21</v>
      </c>
      <c r="N36" s="8" t="s">
        <v>187</v>
      </c>
      <c r="O36" s="8" t="s">
        <v>1</v>
      </c>
      <c r="P36" t="s">
        <v>21</v>
      </c>
      <c r="Q36" s="8" t="s">
        <v>187</v>
      </c>
      <c r="R36" s="8" t="s">
        <v>1</v>
      </c>
      <c r="S36" t="s">
        <v>21</v>
      </c>
      <c r="T36" s="8" t="s">
        <v>187</v>
      </c>
      <c r="U36" s="8" t="s">
        <v>1</v>
      </c>
      <c r="V36" t="s">
        <v>21</v>
      </c>
      <c r="W36" s="8" t="s">
        <v>187</v>
      </c>
      <c r="X36" s="8" t="s">
        <v>1</v>
      </c>
      <c r="Y36">
        <f t="shared" si="0"/>
        <v>407</v>
      </c>
    </row>
    <row r="37" spans="1:25" ht="165" x14ac:dyDescent="0.25">
      <c r="A37" t="s">
        <v>15</v>
      </c>
      <c r="B37" t="s">
        <v>16</v>
      </c>
      <c r="C37" s="2" t="s">
        <v>1044</v>
      </c>
      <c r="D37" s="2" t="s">
        <v>1045</v>
      </c>
      <c r="E37" t="s">
        <v>52</v>
      </c>
      <c r="F37" s="2" t="s">
        <v>23</v>
      </c>
      <c r="G37" t="s">
        <v>23</v>
      </c>
      <c r="H37" s="8" t="s">
        <v>187</v>
      </c>
      <c r="I37" s="8" t="s">
        <v>1</v>
      </c>
      <c r="J37" t="s">
        <v>21</v>
      </c>
      <c r="K37" s="2" t="s">
        <v>194</v>
      </c>
      <c r="L37" s="2" t="s">
        <v>1</v>
      </c>
      <c r="M37" t="s">
        <v>23</v>
      </c>
      <c r="N37" s="8" t="s">
        <v>187</v>
      </c>
      <c r="O37" s="8" t="s">
        <v>1</v>
      </c>
      <c r="P37" t="s">
        <v>23</v>
      </c>
      <c r="Q37" s="8" t="s">
        <v>187</v>
      </c>
      <c r="R37" s="8" t="s">
        <v>1</v>
      </c>
      <c r="S37" t="s">
        <v>23</v>
      </c>
      <c r="T37" s="8" t="s">
        <v>187</v>
      </c>
      <c r="U37" s="8" t="s">
        <v>1</v>
      </c>
      <c r="V37" t="s">
        <v>1058</v>
      </c>
      <c r="W37" s="8" t="s">
        <v>187</v>
      </c>
      <c r="X37" s="8" t="s">
        <v>2</v>
      </c>
      <c r="Y37">
        <f t="shared" si="0"/>
        <v>387</v>
      </c>
    </row>
    <row r="38" spans="1:25" ht="165" x14ac:dyDescent="0.25">
      <c r="A38" t="s">
        <v>15</v>
      </c>
      <c r="B38" t="s">
        <v>16</v>
      </c>
      <c r="C38" s="2" t="s">
        <v>1044</v>
      </c>
      <c r="D38" s="2" t="s">
        <v>1045</v>
      </c>
      <c r="E38" t="s">
        <v>53</v>
      </c>
      <c r="F38" s="2" t="s">
        <v>23</v>
      </c>
      <c r="G38" t="s">
        <v>23</v>
      </c>
      <c r="H38" s="8" t="s">
        <v>187</v>
      </c>
      <c r="I38" s="8" t="s">
        <v>1</v>
      </c>
      <c r="J38" t="s">
        <v>21</v>
      </c>
      <c r="K38" s="2" t="s">
        <v>194</v>
      </c>
      <c r="L38" s="2" t="s">
        <v>1</v>
      </c>
      <c r="M38" t="s">
        <v>23</v>
      </c>
      <c r="N38" s="8" t="s">
        <v>187</v>
      </c>
      <c r="O38" s="8" t="s">
        <v>1</v>
      </c>
      <c r="P38" t="s">
        <v>21</v>
      </c>
      <c r="Q38" t="s">
        <v>194</v>
      </c>
      <c r="R38" s="8" t="s">
        <v>1</v>
      </c>
      <c r="S38" t="s">
        <v>23</v>
      </c>
      <c r="T38" s="8" t="s">
        <v>187</v>
      </c>
      <c r="U38" s="8" t="s">
        <v>1</v>
      </c>
      <c r="V38" t="s">
        <v>21</v>
      </c>
      <c r="W38" s="8" t="s">
        <v>194</v>
      </c>
      <c r="X38" s="8" t="s">
        <v>1</v>
      </c>
      <c r="Y38">
        <f t="shared" si="0"/>
        <v>391</v>
      </c>
    </row>
    <row r="39" spans="1:25" ht="165" x14ac:dyDescent="0.25">
      <c r="A39" t="s">
        <v>15</v>
      </c>
      <c r="B39" t="s">
        <v>16</v>
      </c>
      <c r="C39" s="2" t="s">
        <v>1044</v>
      </c>
      <c r="D39" s="2" t="s">
        <v>1045</v>
      </c>
      <c r="E39" t="s">
        <v>54</v>
      </c>
      <c r="F39" s="2" t="s">
        <v>18</v>
      </c>
      <c r="G39" t="s">
        <v>18</v>
      </c>
      <c r="H39" s="2" t="s">
        <v>187</v>
      </c>
      <c r="I39" s="8" t="s">
        <v>1</v>
      </c>
      <c r="J39" t="s">
        <v>18</v>
      </c>
      <c r="K39" s="2" t="s">
        <v>187</v>
      </c>
      <c r="L39" s="2" t="s">
        <v>1</v>
      </c>
      <c r="M39" t="s">
        <v>18</v>
      </c>
      <c r="N39" s="8" t="s">
        <v>187</v>
      </c>
      <c r="O39" s="8" t="s">
        <v>1</v>
      </c>
      <c r="P39" t="s">
        <v>18</v>
      </c>
      <c r="Q39" s="8" t="s">
        <v>187</v>
      </c>
      <c r="R39" s="8" t="s">
        <v>1</v>
      </c>
      <c r="S39" t="s">
        <v>18</v>
      </c>
      <c r="T39" s="8" t="s">
        <v>187</v>
      </c>
      <c r="U39" s="8" t="s">
        <v>1</v>
      </c>
      <c r="V39" t="s">
        <v>18</v>
      </c>
      <c r="W39" s="8" t="s">
        <v>187</v>
      </c>
      <c r="X39" s="8" t="s">
        <v>1</v>
      </c>
      <c r="Y39">
        <f t="shared" si="0"/>
        <v>395</v>
      </c>
    </row>
    <row r="40" spans="1:25" ht="165" x14ac:dyDescent="0.25">
      <c r="A40" t="s">
        <v>15</v>
      </c>
      <c r="B40" t="s">
        <v>16</v>
      </c>
      <c r="C40" s="2" t="s">
        <v>1044</v>
      </c>
      <c r="D40" s="2" t="s">
        <v>1045</v>
      </c>
      <c r="E40" t="s">
        <v>55</v>
      </c>
      <c r="F40" s="2" t="s">
        <v>21</v>
      </c>
      <c r="G40" t="s">
        <v>21</v>
      </c>
      <c r="H40" s="2" t="s">
        <v>187</v>
      </c>
      <c r="I40" s="8" t="s">
        <v>1</v>
      </c>
      <c r="J40" t="s">
        <v>21</v>
      </c>
      <c r="K40" s="2" t="s">
        <v>187</v>
      </c>
      <c r="L40" s="2" t="s">
        <v>1</v>
      </c>
      <c r="M40" t="s">
        <v>21</v>
      </c>
      <c r="N40" s="8" t="s">
        <v>187</v>
      </c>
      <c r="O40" s="8" t="s">
        <v>1</v>
      </c>
      <c r="P40" t="s">
        <v>21</v>
      </c>
      <c r="Q40" s="8" t="s">
        <v>187</v>
      </c>
      <c r="R40" s="8" t="s">
        <v>1</v>
      </c>
      <c r="S40" t="s">
        <v>21</v>
      </c>
      <c r="T40" s="8" t="s">
        <v>187</v>
      </c>
      <c r="U40" s="8" t="s">
        <v>1</v>
      </c>
      <c r="V40" t="s">
        <v>21</v>
      </c>
      <c r="W40" s="8" t="s">
        <v>187</v>
      </c>
      <c r="X40" s="8" t="s">
        <v>1</v>
      </c>
      <c r="Y40">
        <f t="shared" si="0"/>
        <v>402</v>
      </c>
    </row>
    <row r="41" spans="1:25" ht="165" x14ac:dyDescent="0.25">
      <c r="A41" t="s">
        <v>15</v>
      </c>
      <c r="B41" t="s">
        <v>16</v>
      </c>
      <c r="C41" s="2" t="s">
        <v>1044</v>
      </c>
      <c r="D41" s="2" t="s">
        <v>1045</v>
      </c>
      <c r="E41" t="s">
        <v>56</v>
      </c>
      <c r="F41" s="2" t="s">
        <v>18</v>
      </c>
      <c r="G41" t="s">
        <v>18</v>
      </c>
      <c r="H41" s="2" t="s">
        <v>187</v>
      </c>
      <c r="I41" s="8" t="s">
        <v>1</v>
      </c>
      <c r="J41" t="s">
        <v>18</v>
      </c>
      <c r="K41" s="2" t="s">
        <v>187</v>
      </c>
      <c r="L41" s="2" t="s">
        <v>1</v>
      </c>
      <c r="M41" t="s">
        <v>18</v>
      </c>
      <c r="N41" s="8" t="s">
        <v>187</v>
      </c>
      <c r="O41" s="8" t="s">
        <v>1</v>
      </c>
      <c r="P41" t="s">
        <v>18</v>
      </c>
      <c r="Q41" s="8" t="s">
        <v>187</v>
      </c>
      <c r="R41" s="8" t="s">
        <v>1</v>
      </c>
      <c r="S41" t="s">
        <v>18</v>
      </c>
      <c r="T41" s="8" t="s">
        <v>187</v>
      </c>
      <c r="U41" s="8" t="s">
        <v>1</v>
      </c>
      <c r="V41" t="s">
        <v>18</v>
      </c>
      <c r="W41" s="8" t="s">
        <v>187</v>
      </c>
      <c r="X41" s="8" t="s">
        <v>1</v>
      </c>
      <c r="Y41">
        <f t="shared" si="0"/>
        <v>388</v>
      </c>
    </row>
    <row r="42" spans="1:25" ht="165" x14ac:dyDescent="0.25">
      <c r="A42" t="s">
        <v>15</v>
      </c>
      <c r="B42" t="s">
        <v>16</v>
      </c>
      <c r="C42" s="2" t="s">
        <v>1044</v>
      </c>
      <c r="D42" s="2" t="s">
        <v>1045</v>
      </c>
      <c r="E42" t="s">
        <v>57</v>
      </c>
      <c r="F42" s="2" t="s">
        <v>21</v>
      </c>
      <c r="G42" t="s">
        <v>21</v>
      </c>
      <c r="H42" s="2" t="s">
        <v>187</v>
      </c>
      <c r="I42" s="8" t="s">
        <v>1</v>
      </c>
      <c r="J42" t="s">
        <v>21</v>
      </c>
      <c r="K42" s="2" t="s">
        <v>187</v>
      </c>
      <c r="L42" s="2" t="s">
        <v>1</v>
      </c>
      <c r="M42" t="s">
        <v>21</v>
      </c>
      <c r="N42" s="8" t="s">
        <v>187</v>
      </c>
      <c r="O42" s="8" t="s">
        <v>1</v>
      </c>
      <c r="P42" t="s">
        <v>21</v>
      </c>
      <c r="Q42" s="8" t="s">
        <v>187</v>
      </c>
      <c r="R42" s="8" t="s">
        <v>1</v>
      </c>
      <c r="S42" t="s">
        <v>21</v>
      </c>
      <c r="T42" s="8" t="s">
        <v>187</v>
      </c>
      <c r="U42" s="8" t="s">
        <v>1</v>
      </c>
      <c r="V42" t="s">
        <v>21</v>
      </c>
      <c r="W42" s="8" t="s">
        <v>187</v>
      </c>
      <c r="X42" s="8" t="s">
        <v>1</v>
      </c>
      <c r="Y42">
        <f t="shared" si="0"/>
        <v>396</v>
      </c>
    </row>
    <row r="43" spans="1:25" ht="165" x14ac:dyDescent="0.25">
      <c r="A43" t="s">
        <v>15</v>
      </c>
      <c r="B43" t="s">
        <v>16</v>
      </c>
      <c r="C43" s="2" t="s">
        <v>1044</v>
      </c>
      <c r="D43" s="2" t="s">
        <v>1045</v>
      </c>
      <c r="E43" t="s">
        <v>58</v>
      </c>
      <c r="F43" s="2" t="s">
        <v>21</v>
      </c>
      <c r="G43" t="s">
        <v>21</v>
      </c>
      <c r="H43" s="2" t="s">
        <v>187</v>
      </c>
      <c r="I43" s="8" t="s">
        <v>1</v>
      </c>
      <c r="J43" t="s">
        <v>21</v>
      </c>
      <c r="K43" s="2" t="s">
        <v>187</v>
      </c>
      <c r="L43" s="2" t="s">
        <v>1</v>
      </c>
      <c r="M43" t="s">
        <v>21</v>
      </c>
      <c r="N43" s="8" t="s">
        <v>187</v>
      </c>
      <c r="O43" s="8" t="s">
        <v>1</v>
      </c>
      <c r="P43" t="s">
        <v>21</v>
      </c>
      <c r="Q43" s="8" t="s">
        <v>187</v>
      </c>
      <c r="R43" s="8" t="s">
        <v>1</v>
      </c>
      <c r="S43" t="s">
        <v>21</v>
      </c>
      <c r="T43" s="8" t="s">
        <v>187</v>
      </c>
      <c r="U43" s="8" t="s">
        <v>1</v>
      </c>
      <c r="V43" t="s">
        <v>21</v>
      </c>
      <c r="W43" s="8" t="s">
        <v>187</v>
      </c>
      <c r="X43" s="8" t="s">
        <v>1</v>
      </c>
      <c r="Y43">
        <f t="shared" si="0"/>
        <v>402</v>
      </c>
    </row>
    <row r="44" spans="1:25" ht="165" x14ac:dyDescent="0.25">
      <c r="A44" t="s">
        <v>15</v>
      </c>
      <c r="B44" t="s">
        <v>16</v>
      </c>
      <c r="C44" s="2" t="s">
        <v>1044</v>
      </c>
      <c r="D44" s="2" t="s">
        <v>1045</v>
      </c>
      <c r="E44" t="s">
        <v>59</v>
      </c>
      <c r="F44" s="2" t="s">
        <v>21</v>
      </c>
      <c r="G44" t="s">
        <v>21</v>
      </c>
      <c r="H44" s="2" t="s">
        <v>187</v>
      </c>
      <c r="I44" s="8" t="s">
        <v>1</v>
      </c>
      <c r="J44" t="s">
        <v>21</v>
      </c>
      <c r="K44" s="2" t="s">
        <v>187</v>
      </c>
      <c r="L44" s="2" t="s">
        <v>1</v>
      </c>
      <c r="M44" t="s">
        <v>21</v>
      </c>
      <c r="N44" s="8" t="s">
        <v>187</v>
      </c>
      <c r="O44" s="8" t="s">
        <v>1</v>
      </c>
      <c r="P44" t="s">
        <v>21</v>
      </c>
      <c r="Q44" s="8" t="s">
        <v>187</v>
      </c>
      <c r="R44" s="8" t="s">
        <v>1</v>
      </c>
      <c r="S44" t="s">
        <v>21</v>
      </c>
      <c r="T44" s="8" t="s">
        <v>187</v>
      </c>
      <c r="U44" s="8" t="s">
        <v>1</v>
      </c>
      <c r="V44" t="s">
        <v>21</v>
      </c>
      <c r="W44" s="8" t="s">
        <v>187</v>
      </c>
      <c r="X44" s="8" t="s">
        <v>1</v>
      </c>
      <c r="Y44">
        <f t="shared" si="0"/>
        <v>399</v>
      </c>
    </row>
    <row r="45" spans="1:25" ht="165" x14ac:dyDescent="0.25">
      <c r="A45" t="s">
        <v>15</v>
      </c>
      <c r="B45" t="s">
        <v>16</v>
      </c>
      <c r="C45" s="2" t="s">
        <v>1044</v>
      </c>
      <c r="D45" s="2" t="s">
        <v>1045</v>
      </c>
      <c r="E45" t="s">
        <v>60</v>
      </c>
      <c r="F45" s="2" t="s">
        <v>23</v>
      </c>
      <c r="G45" t="s">
        <v>23</v>
      </c>
      <c r="H45" s="8" t="s">
        <v>187</v>
      </c>
      <c r="I45" s="8" t="s">
        <v>1</v>
      </c>
      <c r="J45" t="s">
        <v>21</v>
      </c>
      <c r="K45" s="2" t="s">
        <v>194</v>
      </c>
      <c r="L45" s="2" t="s">
        <v>1</v>
      </c>
      <c r="M45" t="s">
        <v>23</v>
      </c>
      <c r="N45" s="8" t="s">
        <v>187</v>
      </c>
      <c r="O45" s="8" t="s">
        <v>1</v>
      </c>
      <c r="P45" t="s">
        <v>23</v>
      </c>
      <c r="Q45" s="8" t="s">
        <v>187</v>
      </c>
      <c r="R45" s="8" t="s">
        <v>1</v>
      </c>
      <c r="S45" t="s">
        <v>23</v>
      </c>
      <c r="T45" s="8" t="s">
        <v>187</v>
      </c>
      <c r="U45" s="8" t="s">
        <v>1</v>
      </c>
      <c r="V45" t="s">
        <v>1059</v>
      </c>
      <c r="W45" s="8" t="s">
        <v>187</v>
      </c>
      <c r="X45" s="8" t="s">
        <v>2</v>
      </c>
      <c r="Y45">
        <f t="shared" si="0"/>
        <v>393</v>
      </c>
    </row>
    <row r="46" spans="1:25" ht="165" x14ac:dyDescent="0.25">
      <c r="A46" t="s">
        <v>15</v>
      </c>
      <c r="B46" t="s">
        <v>16</v>
      </c>
      <c r="C46" s="2" t="s">
        <v>1044</v>
      </c>
      <c r="D46" s="2" t="s">
        <v>1045</v>
      </c>
      <c r="E46" t="s">
        <v>61</v>
      </c>
      <c r="F46" s="2" t="s">
        <v>21</v>
      </c>
      <c r="G46" t="s">
        <v>21</v>
      </c>
      <c r="H46" s="2" t="s">
        <v>187</v>
      </c>
      <c r="I46" s="8" t="s">
        <v>1</v>
      </c>
      <c r="J46" t="s">
        <v>21</v>
      </c>
      <c r="K46" s="2" t="s">
        <v>187</v>
      </c>
      <c r="L46" s="2" t="s">
        <v>1</v>
      </c>
      <c r="M46" t="s">
        <v>21</v>
      </c>
      <c r="N46" s="8" t="s">
        <v>187</v>
      </c>
      <c r="O46" s="8" t="s">
        <v>1</v>
      </c>
      <c r="P46" t="s">
        <v>21</v>
      </c>
      <c r="Q46" s="8" t="s">
        <v>187</v>
      </c>
      <c r="R46" s="8" t="s">
        <v>1</v>
      </c>
      <c r="S46" t="s">
        <v>21</v>
      </c>
      <c r="T46" s="8" t="s">
        <v>187</v>
      </c>
      <c r="U46" s="8" t="s">
        <v>1</v>
      </c>
      <c r="V46" t="s">
        <v>21</v>
      </c>
      <c r="W46" s="8" t="s">
        <v>187</v>
      </c>
      <c r="X46" s="8" t="s">
        <v>1</v>
      </c>
      <c r="Y46">
        <f t="shared" si="0"/>
        <v>399</v>
      </c>
    </row>
    <row r="47" spans="1:25" ht="165" x14ac:dyDescent="0.25">
      <c r="A47" t="s">
        <v>15</v>
      </c>
      <c r="B47" t="s">
        <v>16</v>
      </c>
      <c r="C47" s="2" t="s">
        <v>1044</v>
      </c>
      <c r="D47" s="2" t="s">
        <v>1045</v>
      </c>
      <c r="E47" t="s">
        <v>62</v>
      </c>
      <c r="F47" s="2" t="s">
        <v>23</v>
      </c>
      <c r="G47" t="s">
        <v>23</v>
      </c>
      <c r="H47" s="8" t="s">
        <v>187</v>
      </c>
      <c r="I47" s="8" t="s">
        <v>1</v>
      </c>
      <c r="J47" t="s">
        <v>21</v>
      </c>
      <c r="K47" s="2" t="s">
        <v>194</v>
      </c>
      <c r="L47" s="2" t="s">
        <v>1</v>
      </c>
      <c r="M47" t="s">
        <v>23</v>
      </c>
      <c r="N47" s="8" t="s">
        <v>187</v>
      </c>
      <c r="O47" s="8" t="s">
        <v>1</v>
      </c>
      <c r="P47" t="s">
        <v>21</v>
      </c>
      <c r="Q47" t="s">
        <v>194</v>
      </c>
      <c r="R47" s="8" t="s">
        <v>1</v>
      </c>
      <c r="S47" t="s">
        <v>23</v>
      </c>
      <c r="T47" s="8" t="s">
        <v>187</v>
      </c>
      <c r="U47" s="8" t="s">
        <v>1</v>
      </c>
      <c r="V47" t="s">
        <v>1060</v>
      </c>
      <c r="W47" s="8" t="s">
        <v>187</v>
      </c>
      <c r="X47" s="8" t="s">
        <v>2</v>
      </c>
      <c r="Y47">
        <f t="shared" si="0"/>
        <v>404</v>
      </c>
    </row>
    <row r="48" spans="1:25" ht="165" x14ac:dyDescent="0.25">
      <c r="A48" t="s">
        <v>15</v>
      </c>
      <c r="B48" t="s">
        <v>16</v>
      </c>
      <c r="C48" s="2" t="s">
        <v>1044</v>
      </c>
      <c r="D48" s="2" t="s">
        <v>1045</v>
      </c>
      <c r="E48" t="s">
        <v>63</v>
      </c>
      <c r="F48" s="2" t="s">
        <v>21</v>
      </c>
      <c r="G48" t="s">
        <v>21</v>
      </c>
      <c r="H48" s="2" t="s">
        <v>187</v>
      </c>
      <c r="I48" s="8" t="s">
        <v>1</v>
      </c>
      <c r="J48" t="s">
        <v>21</v>
      </c>
      <c r="K48" s="2" t="s">
        <v>187</v>
      </c>
      <c r="L48" s="2" t="s">
        <v>1</v>
      </c>
      <c r="M48" t="s">
        <v>21</v>
      </c>
      <c r="N48" s="8" t="s">
        <v>187</v>
      </c>
      <c r="O48" s="8" t="s">
        <v>1</v>
      </c>
      <c r="P48" t="s">
        <v>21</v>
      </c>
      <c r="Q48" s="8" t="s">
        <v>187</v>
      </c>
      <c r="R48" s="8" t="s">
        <v>1</v>
      </c>
      <c r="S48" t="s">
        <v>21</v>
      </c>
      <c r="T48" s="8" t="s">
        <v>187</v>
      </c>
      <c r="U48" s="8" t="s">
        <v>1</v>
      </c>
      <c r="V48" t="s">
        <v>21</v>
      </c>
      <c r="W48" s="8" t="s">
        <v>187</v>
      </c>
      <c r="X48" s="8" t="s">
        <v>1</v>
      </c>
      <c r="Y48">
        <f t="shared" si="0"/>
        <v>402</v>
      </c>
    </row>
    <row r="49" spans="1:25" ht="165" x14ac:dyDescent="0.25">
      <c r="A49" t="s">
        <v>15</v>
      </c>
      <c r="B49" t="s">
        <v>16</v>
      </c>
      <c r="C49" s="2" t="s">
        <v>1044</v>
      </c>
      <c r="D49" s="2" t="s">
        <v>1045</v>
      </c>
      <c r="E49" t="s">
        <v>64</v>
      </c>
      <c r="F49" s="2" t="s">
        <v>18</v>
      </c>
      <c r="G49" t="s">
        <v>18</v>
      </c>
      <c r="H49" s="2" t="s">
        <v>187</v>
      </c>
      <c r="I49" s="8" t="s">
        <v>1</v>
      </c>
      <c r="J49" t="s">
        <v>18</v>
      </c>
      <c r="K49" s="2" t="s">
        <v>187</v>
      </c>
      <c r="L49" s="2" t="s">
        <v>1</v>
      </c>
      <c r="M49" t="s">
        <v>18</v>
      </c>
      <c r="N49" s="8" t="s">
        <v>187</v>
      </c>
      <c r="O49" s="8" t="s">
        <v>1</v>
      </c>
      <c r="P49" t="s">
        <v>18</v>
      </c>
      <c r="Q49" s="8" t="s">
        <v>187</v>
      </c>
      <c r="R49" s="8" t="s">
        <v>1</v>
      </c>
      <c r="S49" t="s">
        <v>18</v>
      </c>
      <c r="T49" s="8" t="s">
        <v>187</v>
      </c>
      <c r="U49" s="8" t="s">
        <v>1</v>
      </c>
      <c r="V49" t="s">
        <v>18</v>
      </c>
      <c r="W49" s="8" t="s">
        <v>187</v>
      </c>
      <c r="X49" s="8" t="s">
        <v>1</v>
      </c>
      <c r="Y49">
        <f t="shared" si="0"/>
        <v>395</v>
      </c>
    </row>
    <row r="50" spans="1:25" ht="165" x14ac:dyDescent="0.25">
      <c r="A50" t="s">
        <v>15</v>
      </c>
      <c r="B50" t="s">
        <v>16</v>
      </c>
      <c r="C50" s="2" t="s">
        <v>1044</v>
      </c>
      <c r="D50" s="2" t="s">
        <v>1045</v>
      </c>
      <c r="E50" t="s">
        <v>65</v>
      </c>
      <c r="F50" s="2" t="s">
        <v>23</v>
      </c>
      <c r="G50" t="s">
        <v>23</v>
      </c>
      <c r="H50" s="8" t="s">
        <v>187</v>
      </c>
      <c r="I50" s="8" t="s">
        <v>1</v>
      </c>
      <c r="J50" t="s">
        <v>21</v>
      </c>
      <c r="K50" s="2" t="s">
        <v>194</v>
      </c>
      <c r="L50" s="2" t="s">
        <v>1</v>
      </c>
      <c r="M50" t="s">
        <v>23</v>
      </c>
      <c r="N50" s="8" t="s">
        <v>187</v>
      </c>
      <c r="O50" s="8" t="s">
        <v>1</v>
      </c>
      <c r="P50" t="s">
        <v>23</v>
      </c>
      <c r="Q50" s="8" t="s">
        <v>187</v>
      </c>
      <c r="R50" s="8" t="s">
        <v>1</v>
      </c>
      <c r="S50" t="s">
        <v>23</v>
      </c>
      <c r="T50" s="8" t="s">
        <v>187</v>
      </c>
      <c r="U50" s="8" t="s">
        <v>1</v>
      </c>
      <c r="V50" t="s">
        <v>1061</v>
      </c>
      <c r="W50" s="8" t="s">
        <v>187</v>
      </c>
      <c r="X50" s="8" t="s">
        <v>2</v>
      </c>
      <c r="Y50">
        <f t="shared" si="0"/>
        <v>401</v>
      </c>
    </row>
    <row r="51" spans="1:25" ht="165" x14ac:dyDescent="0.25">
      <c r="A51" t="s">
        <v>15</v>
      </c>
      <c r="B51" t="s">
        <v>16</v>
      </c>
      <c r="C51" s="2" t="s">
        <v>1044</v>
      </c>
      <c r="D51" s="2" t="s">
        <v>1045</v>
      </c>
      <c r="E51" t="s">
        <v>66</v>
      </c>
      <c r="F51" s="2" t="s">
        <v>21</v>
      </c>
      <c r="G51" t="s">
        <v>21</v>
      </c>
      <c r="H51" s="2" t="s">
        <v>187</v>
      </c>
      <c r="I51" s="8" t="s">
        <v>1</v>
      </c>
      <c r="J51" t="s">
        <v>21</v>
      </c>
      <c r="K51" s="2" t="s">
        <v>187</v>
      </c>
      <c r="L51" s="2" t="s">
        <v>1</v>
      </c>
      <c r="M51" t="s">
        <v>21</v>
      </c>
      <c r="N51" s="8" t="s">
        <v>187</v>
      </c>
      <c r="O51" s="8" t="s">
        <v>1</v>
      </c>
      <c r="P51" t="s">
        <v>21</v>
      </c>
      <c r="Q51" s="8" t="s">
        <v>187</v>
      </c>
      <c r="R51" s="8" t="s">
        <v>1</v>
      </c>
      <c r="S51" t="s">
        <v>21</v>
      </c>
      <c r="T51" s="8" t="s">
        <v>187</v>
      </c>
      <c r="U51" s="8" t="s">
        <v>1</v>
      </c>
      <c r="V51" t="s">
        <v>21</v>
      </c>
      <c r="W51" s="8" t="s">
        <v>187</v>
      </c>
      <c r="X51" s="8" t="s">
        <v>1</v>
      </c>
      <c r="Y51">
        <f t="shared" si="0"/>
        <v>400</v>
      </c>
    </row>
    <row r="52" spans="1:25" ht="165" x14ac:dyDescent="0.25">
      <c r="A52" t="s">
        <v>15</v>
      </c>
      <c r="B52" t="s">
        <v>16</v>
      </c>
      <c r="C52" s="2" t="s">
        <v>1044</v>
      </c>
      <c r="D52" s="2" t="s">
        <v>1045</v>
      </c>
      <c r="E52" t="s">
        <v>67</v>
      </c>
      <c r="F52" s="2" t="s">
        <v>23</v>
      </c>
      <c r="G52" t="s">
        <v>23</v>
      </c>
      <c r="H52" s="8" t="s">
        <v>187</v>
      </c>
      <c r="I52" s="8" t="s">
        <v>1</v>
      </c>
      <c r="J52" t="s">
        <v>21</v>
      </c>
      <c r="K52" s="2" t="s">
        <v>194</v>
      </c>
      <c r="L52" s="2" t="s">
        <v>1</v>
      </c>
      <c r="M52" t="s">
        <v>23</v>
      </c>
      <c r="N52" s="8" t="s">
        <v>187</v>
      </c>
      <c r="O52" s="8" t="s">
        <v>1</v>
      </c>
      <c r="P52" t="s">
        <v>23</v>
      </c>
      <c r="Q52" s="8" t="s">
        <v>187</v>
      </c>
      <c r="R52" s="8" t="s">
        <v>1</v>
      </c>
      <c r="S52" t="s">
        <v>23</v>
      </c>
      <c r="T52" s="8" t="s">
        <v>187</v>
      </c>
      <c r="U52" s="8" t="s">
        <v>1</v>
      </c>
      <c r="V52" t="s">
        <v>1062</v>
      </c>
      <c r="W52" s="8" t="s">
        <v>187</v>
      </c>
      <c r="X52" s="8" t="s">
        <v>2</v>
      </c>
      <c r="Y52">
        <f t="shared" si="0"/>
        <v>389</v>
      </c>
    </row>
    <row r="53" spans="1:25" ht="165" x14ac:dyDescent="0.25">
      <c r="A53" t="s">
        <v>15</v>
      </c>
      <c r="B53" t="s">
        <v>16</v>
      </c>
      <c r="C53" s="2" t="s">
        <v>1044</v>
      </c>
      <c r="D53" s="2" t="s">
        <v>1045</v>
      </c>
      <c r="E53" t="s">
        <v>68</v>
      </c>
      <c r="F53" s="2" t="s">
        <v>21</v>
      </c>
      <c r="G53" t="s">
        <v>21</v>
      </c>
      <c r="H53" s="2" t="s">
        <v>187</v>
      </c>
      <c r="I53" s="8" t="s">
        <v>1</v>
      </c>
      <c r="J53" t="s">
        <v>21</v>
      </c>
      <c r="K53" s="2" t="s">
        <v>187</v>
      </c>
      <c r="L53" s="2" t="s">
        <v>1</v>
      </c>
      <c r="M53" t="s">
        <v>21</v>
      </c>
      <c r="N53" s="8" t="s">
        <v>187</v>
      </c>
      <c r="O53" s="8" t="s">
        <v>1</v>
      </c>
      <c r="P53" t="s">
        <v>21</v>
      </c>
      <c r="Q53" s="8" t="s">
        <v>187</v>
      </c>
      <c r="R53" s="8" t="s">
        <v>1</v>
      </c>
      <c r="S53" t="s">
        <v>21</v>
      </c>
      <c r="T53" s="8" t="s">
        <v>187</v>
      </c>
      <c r="U53" s="8" t="s">
        <v>1</v>
      </c>
      <c r="V53" t="s">
        <v>21</v>
      </c>
      <c r="W53" s="8" t="s">
        <v>187</v>
      </c>
      <c r="X53" s="8" t="s">
        <v>1</v>
      </c>
      <c r="Y53">
        <f t="shared" si="0"/>
        <v>396</v>
      </c>
    </row>
    <row r="54" spans="1:25" ht="165" x14ac:dyDescent="0.25">
      <c r="A54" t="s">
        <v>15</v>
      </c>
      <c r="B54" t="s">
        <v>16</v>
      </c>
      <c r="C54" s="2" t="s">
        <v>1044</v>
      </c>
      <c r="D54" s="2" t="s">
        <v>1045</v>
      </c>
      <c r="E54" t="s">
        <v>69</v>
      </c>
      <c r="F54" s="2" t="s">
        <v>18</v>
      </c>
      <c r="G54" t="s">
        <v>18</v>
      </c>
      <c r="H54" s="2" t="s">
        <v>187</v>
      </c>
      <c r="I54" s="8" t="s">
        <v>1</v>
      </c>
      <c r="J54" t="s">
        <v>21</v>
      </c>
      <c r="K54" s="2" t="s">
        <v>194</v>
      </c>
      <c r="L54" s="2" t="s">
        <v>1</v>
      </c>
      <c r="M54" t="s">
        <v>18</v>
      </c>
      <c r="N54" s="8" t="s">
        <v>187</v>
      </c>
      <c r="O54" s="8" t="s">
        <v>1</v>
      </c>
      <c r="P54" t="s">
        <v>18</v>
      </c>
      <c r="Q54" s="8" t="s">
        <v>187</v>
      </c>
      <c r="R54" s="8" t="s">
        <v>1</v>
      </c>
      <c r="S54" t="s">
        <v>18</v>
      </c>
      <c r="T54" s="8" t="s">
        <v>187</v>
      </c>
      <c r="U54" s="8" t="s">
        <v>1</v>
      </c>
      <c r="V54" t="s">
        <v>18</v>
      </c>
      <c r="W54" s="8" t="s">
        <v>187</v>
      </c>
      <c r="X54" s="8" t="s">
        <v>1</v>
      </c>
      <c r="Y54">
        <f t="shared" si="0"/>
        <v>387</v>
      </c>
    </row>
    <row r="55" spans="1:25" ht="165" x14ac:dyDescent="0.25">
      <c r="A55" t="s">
        <v>15</v>
      </c>
      <c r="B55" t="s">
        <v>70</v>
      </c>
      <c r="C55" s="2" t="s">
        <v>1044</v>
      </c>
      <c r="D55" s="2" t="s">
        <v>1046</v>
      </c>
      <c r="E55" s="2" t="s">
        <v>71</v>
      </c>
      <c r="F55" s="2" t="s">
        <v>23</v>
      </c>
      <c r="G55" t="s">
        <v>23</v>
      </c>
      <c r="H55" s="8" t="s">
        <v>187</v>
      </c>
      <c r="I55" s="8" t="s">
        <v>1</v>
      </c>
      <c r="J55" t="s">
        <v>21</v>
      </c>
      <c r="K55" s="2" t="s">
        <v>194</v>
      </c>
      <c r="L55" s="2" t="s">
        <v>1</v>
      </c>
      <c r="M55" t="s">
        <v>23</v>
      </c>
      <c r="N55" s="8" t="s">
        <v>187</v>
      </c>
      <c r="O55" s="8" t="s">
        <v>1</v>
      </c>
      <c r="P55" t="s">
        <v>21</v>
      </c>
      <c r="Q55" t="s">
        <v>194</v>
      </c>
      <c r="R55" s="8" t="s">
        <v>1</v>
      </c>
      <c r="S55" t="s">
        <v>23</v>
      </c>
      <c r="T55" s="8" t="s">
        <v>187</v>
      </c>
      <c r="U55" s="8" t="s">
        <v>1</v>
      </c>
      <c r="V55" t="s">
        <v>23</v>
      </c>
      <c r="W55" s="8" t="s">
        <v>187</v>
      </c>
      <c r="X55" s="8" t="s">
        <v>1</v>
      </c>
      <c r="Y55">
        <f t="shared" si="0"/>
        <v>426</v>
      </c>
    </row>
    <row r="56" spans="1:25" ht="165" x14ac:dyDescent="0.25">
      <c r="A56" t="s">
        <v>15</v>
      </c>
      <c r="B56" t="s">
        <v>70</v>
      </c>
      <c r="C56" s="2" t="s">
        <v>1044</v>
      </c>
      <c r="D56" s="2" t="s">
        <v>1046</v>
      </c>
      <c r="E56" t="s">
        <v>73</v>
      </c>
      <c r="F56" s="2" t="s">
        <v>23</v>
      </c>
      <c r="G56" t="s">
        <v>23</v>
      </c>
      <c r="H56" s="8" t="s">
        <v>187</v>
      </c>
      <c r="I56" s="8" t="s">
        <v>1</v>
      </c>
      <c r="J56" t="s">
        <v>21</v>
      </c>
      <c r="K56" s="2" t="s">
        <v>194</v>
      </c>
      <c r="L56" s="2" t="s">
        <v>1</v>
      </c>
      <c r="M56" t="s">
        <v>23</v>
      </c>
      <c r="N56" s="8" t="s">
        <v>187</v>
      </c>
      <c r="O56" s="8" t="s">
        <v>1</v>
      </c>
      <c r="P56" t="s">
        <v>359</v>
      </c>
      <c r="Q56" s="8" t="s">
        <v>3</v>
      </c>
      <c r="R56" s="8" t="s">
        <v>1</v>
      </c>
      <c r="S56" t="s">
        <v>23</v>
      </c>
      <c r="T56" s="8" t="s">
        <v>187</v>
      </c>
      <c r="U56" s="8" t="s">
        <v>1</v>
      </c>
      <c r="V56" t="s">
        <v>23</v>
      </c>
      <c r="W56" s="8" t="s">
        <v>187</v>
      </c>
      <c r="X56" s="8" t="s">
        <v>1</v>
      </c>
      <c r="Y56">
        <f t="shared" si="0"/>
        <v>430</v>
      </c>
    </row>
    <row r="57" spans="1:25" ht="165" x14ac:dyDescent="0.25">
      <c r="A57" t="s">
        <v>15</v>
      </c>
      <c r="B57" t="s">
        <v>70</v>
      </c>
      <c r="C57" s="2" t="s">
        <v>1044</v>
      </c>
      <c r="D57" s="2" t="s">
        <v>1046</v>
      </c>
      <c r="E57" t="s">
        <v>74</v>
      </c>
      <c r="F57" s="2" t="s">
        <v>23</v>
      </c>
      <c r="G57" t="s">
        <v>23</v>
      </c>
      <c r="H57" s="8" t="s">
        <v>187</v>
      </c>
      <c r="I57" s="8" t="s">
        <v>1</v>
      </c>
      <c r="J57" t="s">
        <v>21</v>
      </c>
      <c r="K57" s="2" t="s">
        <v>194</v>
      </c>
      <c r="L57" s="2" t="s">
        <v>1</v>
      </c>
      <c r="M57" t="s">
        <v>23</v>
      </c>
      <c r="N57" s="8" t="s">
        <v>187</v>
      </c>
      <c r="O57" s="8" t="s">
        <v>1</v>
      </c>
      <c r="P57" t="s">
        <v>21</v>
      </c>
      <c r="Q57" t="s">
        <v>194</v>
      </c>
      <c r="R57" s="8" t="s">
        <v>1</v>
      </c>
      <c r="S57" t="s">
        <v>23</v>
      </c>
      <c r="T57" s="8" t="s">
        <v>187</v>
      </c>
      <c r="U57" s="8" t="s">
        <v>1</v>
      </c>
      <c r="V57" t="s">
        <v>21</v>
      </c>
      <c r="W57" s="8" t="s">
        <v>194</v>
      </c>
      <c r="X57" s="8" t="s">
        <v>1</v>
      </c>
      <c r="Y57">
        <f t="shared" si="0"/>
        <v>421</v>
      </c>
    </row>
    <row r="58" spans="1:25" ht="165" x14ac:dyDescent="0.25">
      <c r="A58" t="s">
        <v>15</v>
      </c>
      <c r="B58" t="s">
        <v>70</v>
      </c>
      <c r="C58" s="2" t="s">
        <v>1044</v>
      </c>
      <c r="D58" s="2" t="s">
        <v>1046</v>
      </c>
      <c r="E58" t="s">
        <v>75</v>
      </c>
      <c r="F58" s="2" t="s">
        <v>23</v>
      </c>
      <c r="G58" t="s">
        <v>23</v>
      </c>
      <c r="H58" s="8" t="s">
        <v>187</v>
      </c>
      <c r="I58" s="8" t="s">
        <v>1</v>
      </c>
      <c r="J58" t="s">
        <v>21</v>
      </c>
      <c r="K58" s="2" t="s">
        <v>194</v>
      </c>
      <c r="L58" s="2" t="s">
        <v>1</v>
      </c>
      <c r="M58" t="s">
        <v>23</v>
      </c>
      <c r="N58" s="8" t="s">
        <v>187</v>
      </c>
      <c r="O58" s="8" t="s">
        <v>1</v>
      </c>
      <c r="P58" t="s">
        <v>23</v>
      </c>
      <c r="Q58" s="8" t="s">
        <v>187</v>
      </c>
      <c r="R58" s="8" t="s">
        <v>1</v>
      </c>
      <c r="S58" t="s">
        <v>23</v>
      </c>
      <c r="T58" s="8" t="s">
        <v>187</v>
      </c>
      <c r="U58" s="8" t="s">
        <v>1</v>
      </c>
      <c r="V58" t="s">
        <v>23</v>
      </c>
      <c r="W58" s="8" t="s">
        <v>187</v>
      </c>
      <c r="X58" s="8" t="s">
        <v>1</v>
      </c>
      <c r="Y58">
        <f t="shared" si="0"/>
        <v>436</v>
      </c>
    </row>
    <row r="59" spans="1:25" ht="165" x14ac:dyDescent="0.25">
      <c r="A59" t="s">
        <v>15</v>
      </c>
      <c r="B59" t="s">
        <v>70</v>
      </c>
      <c r="C59" s="2" t="s">
        <v>1044</v>
      </c>
      <c r="D59" s="2" t="s">
        <v>1046</v>
      </c>
      <c r="E59" t="s">
        <v>76</v>
      </c>
      <c r="F59" s="2" t="s">
        <v>23</v>
      </c>
      <c r="G59" t="s">
        <v>23</v>
      </c>
      <c r="H59" s="8" t="s">
        <v>187</v>
      </c>
      <c r="I59" s="8" t="s">
        <v>1</v>
      </c>
      <c r="J59" t="s">
        <v>1032</v>
      </c>
      <c r="K59" s="2" t="s">
        <v>3</v>
      </c>
      <c r="L59" s="2" t="s">
        <v>1</v>
      </c>
      <c r="M59" t="s">
        <v>23</v>
      </c>
      <c r="N59" s="8" t="s">
        <v>187</v>
      </c>
      <c r="O59" s="8" t="s">
        <v>1</v>
      </c>
      <c r="P59" t="s">
        <v>1036</v>
      </c>
      <c r="Q59" s="8" t="s">
        <v>187</v>
      </c>
      <c r="R59" s="8" t="s">
        <v>1</v>
      </c>
      <c r="S59" t="s">
        <v>23</v>
      </c>
      <c r="T59" s="8" t="s">
        <v>187</v>
      </c>
      <c r="U59" s="8" t="s">
        <v>1</v>
      </c>
      <c r="V59" t="s">
        <v>23</v>
      </c>
      <c r="W59" s="8" t="s">
        <v>187</v>
      </c>
      <c r="X59" s="8" t="s">
        <v>1</v>
      </c>
      <c r="Y59">
        <f t="shared" si="0"/>
        <v>427</v>
      </c>
    </row>
    <row r="60" spans="1:25" ht="165" x14ac:dyDescent="0.25">
      <c r="A60" t="s">
        <v>15</v>
      </c>
      <c r="B60" t="s">
        <v>70</v>
      </c>
      <c r="C60" s="2" t="s">
        <v>1044</v>
      </c>
      <c r="D60" s="2" t="s">
        <v>1046</v>
      </c>
      <c r="E60" t="s">
        <v>77</v>
      </c>
      <c r="F60" s="2" t="s">
        <v>23</v>
      </c>
      <c r="G60" t="s">
        <v>23</v>
      </c>
      <c r="H60" s="8" t="s">
        <v>187</v>
      </c>
      <c r="I60" s="8" t="s">
        <v>1</v>
      </c>
      <c r="J60" t="s">
        <v>21</v>
      </c>
      <c r="K60" s="2" t="s">
        <v>194</v>
      </c>
      <c r="L60" s="2" t="s">
        <v>1</v>
      </c>
      <c r="M60" t="s">
        <v>23</v>
      </c>
      <c r="N60" s="8" t="s">
        <v>187</v>
      </c>
      <c r="O60" s="8" t="s">
        <v>1</v>
      </c>
      <c r="P60" t="s">
        <v>359</v>
      </c>
      <c r="Q60" s="8" t="s">
        <v>3</v>
      </c>
      <c r="R60" s="8" t="s">
        <v>1</v>
      </c>
      <c r="S60" t="s">
        <v>23</v>
      </c>
      <c r="T60" s="8" t="s">
        <v>187</v>
      </c>
      <c r="U60" s="8" t="s">
        <v>1</v>
      </c>
      <c r="V60" t="s">
        <v>18</v>
      </c>
      <c r="W60" t="s">
        <v>194</v>
      </c>
      <c r="X60" t="s">
        <v>1</v>
      </c>
      <c r="Y60">
        <f t="shared" si="0"/>
        <v>452</v>
      </c>
    </row>
    <row r="61" spans="1:25" ht="165" x14ac:dyDescent="0.25">
      <c r="A61" t="s">
        <v>15</v>
      </c>
      <c r="B61" t="s">
        <v>70</v>
      </c>
      <c r="C61" s="2" t="s">
        <v>1044</v>
      </c>
      <c r="D61" s="2" t="s">
        <v>1046</v>
      </c>
      <c r="E61" t="s">
        <v>78</v>
      </c>
      <c r="F61" s="2" t="s">
        <v>23</v>
      </c>
      <c r="G61" t="s">
        <v>23</v>
      </c>
      <c r="H61" s="8" t="s">
        <v>187</v>
      </c>
      <c r="I61" s="8" t="s">
        <v>1</v>
      </c>
      <c r="J61" t="s">
        <v>21</v>
      </c>
      <c r="K61" s="2" t="s">
        <v>194</v>
      </c>
      <c r="L61" s="2" t="s">
        <v>1</v>
      </c>
      <c r="M61" t="s">
        <v>23</v>
      </c>
      <c r="N61" s="8" t="s">
        <v>187</v>
      </c>
      <c r="O61" s="8" t="s">
        <v>1</v>
      </c>
      <c r="P61" t="s">
        <v>21</v>
      </c>
      <c r="Q61" t="s">
        <v>194</v>
      </c>
      <c r="R61" s="8" t="s">
        <v>1</v>
      </c>
      <c r="S61" t="s">
        <v>23</v>
      </c>
      <c r="T61" s="8" t="s">
        <v>187</v>
      </c>
      <c r="U61" s="8" t="s">
        <v>1</v>
      </c>
      <c r="V61" t="s">
        <v>21</v>
      </c>
      <c r="W61" s="8" t="s">
        <v>194</v>
      </c>
      <c r="X61" s="8" t="s">
        <v>1</v>
      </c>
      <c r="Y61">
        <f t="shared" si="0"/>
        <v>429</v>
      </c>
    </row>
    <row r="62" spans="1:25" ht="165" x14ac:dyDescent="0.25">
      <c r="A62" t="s">
        <v>15</v>
      </c>
      <c r="B62" t="s">
        <v>70</v>
      </c>
      <c r="C62" s="2" t="s">
        <v>1044</v>
      </c>
      <c r="D62" s="2" t="s">
        <v>1046</v>
      </c>
      <c r="E62" t="s">
        <v>79</v>
      </c>
      <c r="F62" s="2" t="s">
        <v>21</v>
      </c>
      <c r="G62" t="s">
        <v>23</v>
      </c>
      <c r="H62" s="2" t="s">
        <v>194</v>
      </c>
      <c r="I62" s="8" t="s">
        <v>1</v>
      </c>
      <c r="J62" t="s">
        <v>21</v>
      </c>
      <c r="K62" s="2" t="s">
        <v>187</v>
      </c>
      <c r="L62" s="2" t="s">
        <v>1</v>
      </c>
      <c r="M62" t="s">
        <v>21</v>
      </c>
      <c r="N62" s="8" t="s">
        <v>187</v>
      </c>
      <c r="O62" s="8" t="s">
        <v>1</v>
      </c>
      <c r="P62" t="s">
        <v>1037</v>
      </c>
      <c r="Q62" s="8" t="s">
        <v>187</v>
      </c>
      <c r="R62" s="8" t="s">
        <v>1</v>
      </c>
      <c r="S62" t="s">
        <v>23</v>
      </c>
      <c r="T62" t="s">
        <v>194</v>
      </c>
      <c r="U62" t="s">
        <v>1</v>
      </c>
      <c r="V62" t="s">
        <v>21</v>
      </c>
      <c r="W62" s="8" t="s">
        <v>187</v>
      </c>
      <c r="X62" s="8" t="s">
        <v>1</v>
      </c>
      <c r="Y62">
        <f t="shared" si="0"/>
        <v>440</v>
      </c>
    </row>
    <row r="63" spans="1:25" ht="165" x14ac:dyDescent="0.25">
      <c r="A63" t="s">
        <v>15</v>
      </c>
      <c r="B63" t="s">
        <v>70</v>
      </c>
      <c r="C63" s="2" t="s">
        <v>1044</v>
      </c>
      <c r="D63" s="2" t="s">
        <v>1046</v>
      </c>
      <c r="E63" t="s">
        <v>80</v>
      </c>
      <c r="F63" s="2" t="s">
        <v>23</v>
      </c>
      <c r="G63" t="s">
        <v>18</v>
      </c>
      <c r="H63" s="8" t="s">
        <v>194</v>
      </c>
      <c r="I63" s="8" t="s">
        <v>1</v>
      </c>
      <c r="J63" t="s">
        <v>18</v>
      </c>
      <c r="K63" s="2" t="s">
        <v>194</v>
      </c>
      <c r="L63" s="2" t="s">
        <v>1</v>
      </c>
      <c r="M63" t="s">
        <v>18</v>
      </c>
      <c r="N63" s="8" t="s">
        <v>194</v>
      </c>
      <c r="O63" s="8" t="s">
        <v>1</v>
      </c>
      <c r="P63" t="s">
        <v>18</v>
      </c>
      <c r="Q63" t="s">
        <v>194</v>
      </c>
      <c r="R63" s="8" t="s">
        <v>1</v>
      </c>
      <c r="S63" t="s">
        <v>18</v>
      </c>
      <c r="T63" t="s">
        <v>194</v>
      </c>
      <c r="U63" t="s">
        <v>1</v>
      </c>
      <c r="V63" t="s">
        <v>18</v>
      </c>
      <c r="W63" t="s">
        <v>194</v>
      </c>
      <c r="X63" t="s">
        <v>1</v>
      </c>
      <c r="Y63">
        <f t="shared" si="0"/>
        <v>425</v>
      </c>
    </row>
    <row r="64" spans="1:25" ht="165" x14ac:dyDescent="0.25">
      <c r="A64" t="s">
        <v>15</v>
      </c>
      <c r="B64" t="s">
        <v>70</v>
      </c>
      <c r="C64" s="2" t="s">
        <v>1044</v>
      </c>
      <c r="D64" s="2" t="s">
        <v>1046</v>
      </c>
      <c r="E64" t="s">
        <v>81</v>
      </c>
      <c r="F64" s="2" t="s">
        <v>23</v>
      </c>
      <c r="G64" t="s">
        <v>21</v>
      </c>
      <c r="H64" s="8" t="s">
        <v>194</v>
      </c>
      <c r="I64" s="8" t="s">
        <v>1</v>
      </c>
      <c r="J64" t="s">
        <v>21</v>
      </c>
      <c r="K64" s="2" t="s">
        <v>187</v>
      </c>
      <c r="L64" s="2" t="s">
        <v>1</v>
      </c>
      <c r="M64" t="s">
        <v>21</v>
      </c>
      <c r="N64" s="8" t="s">
        <v>194</v>
      </c>
      <c r="O64" s="8" t="s">
        <v>1</v>
      </c>
      <c r="P64" t="s">
        <v>21</v>
      </c>
      <c r="Q64" t="s">
        <v>194</v>
      </c>
      <c r="R64" s="8" t="s">
        <v>1</v>
      </c>
      <c r="S64" t="s">
        <v>21</v>
      </c>
      <c r="T64" t="s">
        <v>194</v>
      </c>
      <c r="U64" t="s">
        <v>1</v>
      </c>
      <c r="V64" t="s">
        <v>18</v>
      </c>
      <c r="W64" t="s">
        <v>194</v>
      </c>
      <c r="X64" t="s">
        <v>1</v>
      </c>
      <c r="Y64">
        <f t="shared" si="0"/>
        <v>429</v>
      </c>
    </row>
    <row r="65" spans="1:25" ht="165" x14ac:dyDescent="0.25">
      <c r="A65" t="s">
        <v>15</v>
      </c>
      <c r="B65" t="s">
        <v>70</v>
      </c>
      <c r="C65" s="2" t="s">
        <v>1044</v>
      </c>
      <c r="D65" s="2" t="s">
        <v>1046</v>
      </c>
      <c r="E65" t="s">
        <v>82</v>
      </c>
      <c r="F65" s="2" t="s">
        <v>23</v>
      </c>
      <c r="G65" t="s">
        <v>23</v>
      </c>
      <c r="H65" s="8" t="s">
        <v>187</v>
      </c>
      <c r="I65" s="8" t="s">
        <v>1</v>
      </c>
      <c r="J65" t="s">
        <v>23</v>
      </c>
      <c r="K65" s="2" t="s">
        <v>187</v>
      </c>
      <c r="L65" s="2" t="s">
        <v>1</v>
      </c>
      <c r="M65" t="s">
        <v>23</v>
      </c>
      <c r="N65" s="8" t="s">
        <v>187</v>
      </c>
      <c r="O65" s="8" t="s">
        <v>1</v>
      </c>
      <c r="P65" t="s">
        <v>359</v>
      </c>
      <c r="Q65" s="8" t="s">
        <v>3</v>
      </c>
      <c r="R65" s="8" t="s">
        <v>1</v>
      </c>
      <c r="S65" t="s">
        <v>23</v>
      </c>
      <c r="T65" s="8" t="s">
        <v>187</v>
      </c>
      <c r="U65" s="8" t="s">
        <v>1</v>
      </c>
      <c r="V65" t="s">
        <v>23</v>
      </c>
      <c r="W65" s="8" t="s">
        <v>187</v>
      </c>
      <c r="X65" s="8" t="s">
        <v>1</v>
      </c>
      <c r="Y65">
        <f t="shared" si="0"/>
        <v>429</v>
      </c>
    </row>
    <row r="66" spans="1:25" ht="165" x14ac:dyDescent="0.25">
      <c r="A66" t="s">
        <v>15</v>
      </c>
      <c r="B66" t="s">
        <v>70</v>
      </c>
      <c r="C66" s="2" t="s">
        <v>1044</v>
      </c>
      <c r="D66" s="2" t="s">
        <v>1046</v>
      </c>
      <c r="E66" t="s">
        <v>83</v>
      </c>
      <c r="F66" s="2" t="s">
        <v>21</v>
      </c>
      <c r="G66" t="s">
        <v>23</v>
      </c>
      <c r="H66" s="2" t="s">
        <v>194</v>
      </c>
      <c r="I66" s="8" t="s">
        <v>1</v>
      </c>
      <c r="J66" t="s">
        <v>21</v>
      </c>
      <c r="K66" s="2" t="s">
        <v>187</v>
      </c>
      <c r="L66" s="2" t="s">
        <v>1</v>
      </c>
      <c r="M66" t="s">
        <v>23</v>
      </c>
      <c r="N66" s="8" t="s">
        <v>194</v>
      </c>
      <c r="O66" s="8" t="s">
        <v>1</v>
      </c>
      <c r="P66" t="s">
        <v>359</v>
      </c>
      <c r="Q66" t="s">
        <v>3</v>
      </c>
      <c r="R66" s="8" t="s">
        <v>1</v>
      </c>
      <c r="S66" t="s">
        <v>23</v>
      </c>
      <c r="T66" t="s">
        <v>194</v>
      </c>
      <c r="U66" t="s">
        <v>1</v>
      </c>
      <c r="V66" t="s">
        <v>21</v>
      </c>
      <c r="W66" s="8" t="s">
        <v>187</v>
      </c>
      <c r="X66" s="8" t="s">
        <v>1</v>
      </c>
      <c r="Y66">
        <f t="shared" si="0"/>
        <v>439</v>
      </c>
    </row>
    <row r="67" spans="1:25" ht="165" x14ac:dyDescent="0.25">
      <c r="A67" t="s">
        <v>15</v>
      </c>
      <c r="B67" t="s">
        <v>70</v>
      </c>
      <c r="C67" s="2" t="s">
        <v>1044</v>
      </c>
      <c r="D67" s="2" t="s">
        <v>1046</v>
      </c>
      <c r="E67" s="2" t="s">
        <v>84</v>
      </c>
      <c r="F67" s="2" t="s">
        <v>23</v>
      </c>
      <c r="G67" t="s">
        <v>23</v>
      </c>
      <c r="H67" s="8" t="s">
        <v>187</v>
      </c>
      <c r="I67" s="8" t="s">
        <v>1</v>
      </c>
      <c r="J67" t="s">
        <v>23</v>
      </c>
      <c r="K67" s="2" t="s">
        <v>187</v>
      </c>
      <c r="L67" s="2" t="s">
        <v>1</v>
      </c>
      <c r="M67" t="s">
        <v>23</v>
      </c>
      <c r="N67" s="8" t="s">
        <v>187</v>
      </c>
      <c r="O67" s="8" t="s">
        <v>1</v>
      </c>
      <c r="P67" t="s">
        <v>23</v>
      </c>
      <c r="Q67" s="8" t="s">
        <v>187</v>
      </c>
      <c r="R67" s="8" t="s">
        <v>1</v>
      </c>
      <c r="S67" t="s">
        <v>23</v>
      </c>
      <c r="T67" s="8" t="s">
        <v>187</v>
      </c>
      <c r="U67" s="8" t="s">
        <v>1</v>
      </c>
      <c r="V67" t="s">
        <v>23</v>
      </c>
      <c r="W67" s="8" t="s">
        <v>187</v>
      </c>
      <c r="X67" s="8" t="s">
        <v>1</v>
      </c>
      <c r="Y67">
        <f t="shared" ref="Y67:Y130" si="1">LEN(D67)+LEN(E67)</f>
        <v>434</v>
      </c>
    </row>
    <row r="68" spans="1:25" ht="165" x14ac:dyDescent="0.25">
      <c r="A68" t="s">
        <v>15</v>
      </c>
      <c r="B68" t="s">
        <v>70</v>
      </c>
      <c r="C68" s="2" t="s">
        <v>1044</v>
      </c>
      <c r="D68" s="2" t="s">
        <v>1046</v>
      </c>
      <c r="E68" t="s">
        <v>85</v>
      </c>
      <c r="F68" s="2" t="s">
        <v>23</v>
      </c>
      <c r="G68" t="s">
        <v>23</v>
      </c>
      <c r="H68" s="8" t="s">
        <v>187</v>
      </c>
      <c r="I68" s="8" t="s">
        <v>1</v>
      </c>
      <c r="J68" t="s">
        <v>23</v>
      </c>
      <c r="K68" s="2" t="s">
        <v>187</v>
      </c>
      <c r="L68" s="2" t="s">
        <v>1</v>
      </c>
      <c r="M68" t="s">
        <v>23</v>
      </c>
      <c r="N68" s="8" t="s">
        <v>187</v>
      </c>
      <c r="O68" s="8" t="s">
        <v>1</v>
      </c>
      <c r="P68" t="s">
        <v>359</v>
      </c>
      <c r="Q68" t="s">
        <v>3</v>
      </c>
      <c r="R68" s="8" t="s">
        <v>1</v>
      </c>
      <c r="S68" t="s">
        <v>23</v>
      </c>
      <c r="T68" t="s">
        <v>187</v>
      </c>
      <c r="U68" t="s">
        <v>1</v>
      </c>
      <c r="V68" t="s">
        <v>23</v>
      </c>
      <c r="W68" s="8" t="s">
        <v>187</v>
      </c>
      <c r="X68" s="8" t="s">
        <v>1</v>
      </c>
      <c r="Y68">
        <f t="shared" si="1"/>
        <v>439</v>
      </c>
    </row>
    <row r="69" spans="1:25" ht="165" x14ac:dyDescent="0.25">
      <c r="A69" t="s">
        <v>15</v>
      </c>
      <c r="B69" t="s">
        <v>70</v>
      </c>
      <c r="C69" s="2" t="s">
        <v>1044</v>
      </c>
      <c r="D69" s="2" t="s">
        <v>1046</v>
      </c>
      <c r="E69" t="s">
        <v>86</v>
      </c>
      <c r="F69" s="2" t="s">
        <v>18</v>
      </c>
      <c r="G69" t="s">
        <v>23</v>
      </c>
      <c r="H69" s="8" t="s">
        <v>194</v>
      </c>
      <c r="I69" s="8" t="s">
        <v>1</v>
      </c>
      <c r="J69" t="s">
        <v>18</v>
      </c>
      <c r="K69" s="2" t="s">
        <v>187</v>
      </c>
      <c r="L69" s="2" t="s">
        <v>1</v>
      </c>
      <c r="M69" t="s">
        <v>23</v>
      </c>
      <c r="N69" s="9" t="s">
        <v>194</v>
      </c>
      <c r="O69" s="9" t="s">
        <v>1</v>
      </c>
      <c r="P69" t="s">
        <v>1038</v>
      </c>
      <c r="Q69" t="s">
        <v>194</v>
      </c>
      <c r="R69" s="8" t="s">
        <v>1</v>
      </c>
      <c r="S69" t="s">
        <v>23</v>
      </c>
      <c r="T69" t="s">
        <v>194</v>
      </c>
      <c r="U69" t="s">
        <v>1</v>
      </c>
      <c r="V69" t="s">
        <v>23</v>
      </c>
      <c r="W69" s="8" t="s">
        <v>194</v>
      </c>
      <c r="X69" s="8" t="s">
        <v>1</v>
      </c>
      <c r="Y69">
        <f t="shared" si="1"/>
        <v>445</v>
      </c>
    </row>
    <row r="70" spans="1:25" ht="165" x14ac:dyDescent="0.25">
      <c r="A70" t="s">
        <v>15</v>
      </c>
      <c r="B70" t="s">
        <v>70</v>
      </c>
      <c r="C70" s="2" t="s">
        <v>1044</v>
      </c>
      <c r="D70" s="2" t="s">
        <v>1046</v>
      </c>
      <c r="E70" t="s">
        <v>87</v>
      </c>
      <c r="F70" s="2" t="s">
        <v>21</v>
      </c>
      <c r="G70" t="s">
        <v>18</v>
      </c>
      <c r="H70" s="2" t="s">
        <v>194</v>
      </c>
      <c r="I70" s="8" t="s">
        <v>1</v>
      </c>
      <c r="J70" t="s">
        <v>21</v>
      </c>
      <c r="K70" s="2" t="s">
        <v>187</v>
      </c>
      <c r="L70" s="2" t="s">
        <v>1</v>
      </c>
      <c r="M70" t="s">
        <v>21</v>
      </c>
      <c r="N70" s="8" t="s">
        <v>187</v>
      </c>
      <c r="O70" s="8" t="s">
        <v>1</v>
      </c>
      <c r="P70" t="s">
        <v>1039</v>
      </c>
      <c r="Q70" t="s">
        <v>3</v>
      </c>
      <c r="R70" s="8" t="s">
        <v>1</v>
      </c>
      <c r="S70" t="s">
        <v>18</v>
      </c>
      <c r="T70" t="s">
        <v>194</v>
      </c>
      <c r="U70" t="s">
        <v>1</v>
      </c>
      <c r="V70" t="s">
        <v>18</v>
      </c>
      <c r="W70" t="s">
        <v>194</v>
      </c>
      <c r="X70" t="s">
        <v>1</v>
      </c>
      <c r="Y70">
        <f t="shared" si="1"/>
        <v>425</v>
      </c>
    </row>
    <row r="71" spans="1:25" ht="165" x14ac:dyDescent="0.25">
      <c r="A71" t="s">
        <v>15</v>
      </c>
      <c r="B71" t="s">
        <v>70</v>
      </c>
      <c r="C71" s="2" t="s">
        <v>1044</v>
      </c>
      <c r="D71" s="2" t="s">
        <v>1046</v>
      </c>
      <c r="E71" t="s">
        <v>88</v>
      </c>
      <c r="F71" s="2" t="s">
        <v>21</v>
      </c>
      <c r="G71" t="s">
        <v>21</v>
      </c>
      <c r="H71" s="2" t="s">
        <v>187</v>
      </c>
      <c r="I71" s="8" t="s">
        <v>1</v>
      </c>
      <c r="J71" t="s">
        <v>21</v>
      </c>
      <c r="K71" s="2" t="s">
        <v>187</v>
      </c>
      <c r="L71" s="2" t="s">
        <v>1</v>
      </c>
      <c r="M71" t="s">
        <v>21</v>
      </c>
      <c r="N71" s="8" t="s">
        <v>187</v>
      </c>
      <c r="O71" s="8" t="s">
        <v>1</v>
      </c>
      <c r="P71" t="s">
        <v>21</v>
      </c>
      <c r="Q71" s="8" t="s">
        <v>187</v>
      </c>
      <c r="R71" s="8" t="s">
        <v>1</v>
      </c>
      <c r="S71" t="s">
        <v>21</v>
      </c>
      <c r="T71" s="8" t="s">
        <v>187</v>
      </c>
      <c r="U71" s="8" t="s">
        <v>1</v>
      </c>
      <c r="V71" t="s">
        <v>21</v>
      </c>
      <c r="W71" s="8" t="s">
        <v>187</v>
      </c>
      <c r="X71" s="8" t="s">
        <v>1</v>
      </c>
      <c r="Y71">
        <f t="shared" si="1"/>
        <v>428</v>
      </c>
    </row>
    <row r="72" spans="1:25" ht="165" x14ac:dyDescent="0.25">
      <c r="A72" t="s">
        <v>15</v>
      </c>
      <c r="B72" t="s">
        <v>70</v>
      </c>
      <c r="C72" s="2" t="s">
        <v>1044</v>
      </c>
      <c r="D72" s="2" t="s">
        <v>1046</v>
      </c>
      <c r="E72" t="s">
        <v>89</v>
      </c>
      <c r="F72" s="2" t="s">
        <v>21</v>
      </c>
      <c r="G72" t="s">
        <v>21</v>
      </c>
      <c r="H72" s="2" t="s">
        <v>187</v>
      </c>
      <c r="I72" s="8" t="s">
        <v>1</v>
      </c>
      <c r="J72" t="s">
        <v>21</v>
      </c>
      <c r="K72" s="2" t="s">
        <v>187</v>
      </c>
      <c r="L72" s="2" t="s">
        <v>1</v>
      </c>
      <c r="M72" t="s">
        <v>21</v>
      </c>
      <c r="N72" s="8" t="s">
        <v>187</v>
      </c>
      <c r="O72" s="8" t="s">
        <v>1</v>
      </c>
      <c r="P72" t="s">
        <v>21</v>
      </c>
      <c r="Q72" s="8" t="s">
        <v>187</v>
      </c>
      <c r="R72" s="8" t="s">
        <v>1</v>
      </c>
      <c r="S72" t="s">
        <v>21</v>
      </c>
      <c r="T72" s="8" t="s">
        <v>187</v>
      </c>
      <c r="U72" s="8" t="s">
        <v>1</v>
      </c>
      <c r="V72" t="s">
        <v>21</v>
      </c>
      <c r="W72" s="8" t="s">
        <v>187</v>
      </c>
      <c r="X72" s="8" t="s">
        <v>1</v>
      </c>
      <c r="Y72">
        <f t="shared" si="1"/>
        <v>438</v>
      </c>
    </row>
    <row r="73" spans="1:25" ht="165" x14ac:dyDescent="0.25">
      <c r="A73" t="s">
        <v>15</v>
      </c>
      <c r="B73" t="s">
        <v>70</v>
      </c>
      <c r="C73" s="2" t="s">
        <v>1044</v>
      </c>
      <c r="D73" s="2" t="s">
        <v>1046</v>
      </c>
      <c r="E73" t="s">
        <v>90</v>
      </c>
      <c r="F73" s="2" t="s">
        <v>21</v>
      </c>
      <c r="G73" t="s">
        <v>21</v>
      </c>
      <c r="H73" s="2" t="s">
        <v>187</v>
      </c>
      <c r="I73" s="8" t="s">
        <v>1</v>
      </c>
      <c r="J73" t="s">
        <v>21</v>
      </c>
      <c r="K73" s="2" t="s">
        <v>187</v>
      </c>
      <c r="L73" s="2" t="s">
        <v>1</v>
      </c>
      <c r="M73" t="s">
        <v>21</v>
      </c>
      <c r="N73" s="8" t="s">
        <v>187</v>
      </c>
      <c r="O73" s="8" t="s">
        <v>1</v>
      </c>
      <c r="P73" t="s">
        <v>21</v>
      </c>
      <c r="Q73" s="8" t="s">
        <v>187</v>
      </c>
      <c r="R73" s="8" t="s">
        <v>1</v>
      </c>
      <c r="S73" t="s">
        <v>21</v>
      </c>
      <c r="T73" s="8" t="s">
        <v>187</v>
      </c>
      <c r="U73" s="8" t="s">
        <v>1</v>
      </c>
      <c r="V73" t="s">
        <v>21</v>
      </c>
      <c r="W73" s="8" t="s">
        <v>187</v>
      </c>
      <c r="X73" s="8" t="s">
        <v>1</v>
      </c>
      <c r="Y73">
        <f t="shared" si="1"/>
        <v>439</v>
      </c>
    </row>
    <row r="74" spans="1:25" ht="165" x14ac:dyDescent="0.25">
      <c r="A74" t="s">
        <v>15</v>
      </c>
      <c r="B74" t="s">
        <v>70</v>
      </c>
      <c r="C74" s="2" t="s">
        <v>1044</v>
      </c>
      <c r="D74" s="2" t="s">
        <v>1046</v>
      </c>
      <c r="E74" t="s">
        <v>91</v>
      </c>
      <c r="F74" s="2" t="s">
        <v>18</v>
      </c>
      <c r="G74" t="s">
        <v>21</v>
      </c>
      <c r="H74" s="8" t="s">
        <v>194</v>
      </c>
      <c r="I74" s="8" t="s">
        <v>1</v>
      </c>
      <c r="J74" t="s">
        <v>21</v>
      </c>
      <c r="K74" s="2" t="s">
        <v>194</v>
      </c>
      <c r="L74" s="2" t="s">
        <v>1</v>
      </c>
      <c r="M74" t="s">
        <v>21</v>
      </c>
      <c r="N74" s="9" t="s">
        <v>194</v>
      </c>
      <c r="O74" s="9" t="s">
        <v>1</v>
      </c>
      <c r="P74" t="s">
        <v>21</v>
      </c>
      <c r="Q74" t="s">
        <v>194</v>
      </c>
      <c r="R74" s="8" t="s">
        <v>1</v>
      </c>
      <c r="S74" t="s">
        <v>21</v>
      </c>
      <c r="T74" t="s">
        <v>194</v>
      </c>
      <c r="U74" t="s">
        <v>1</v>
      </c>
      <c r="V74" t="s">
        <v>21</v>
      </c>
      <c r="W74" s="8" t="s">
        <v>194</v>
      </c>
      <c r="X74" s="8" t="s">
        <v>1</v>
      </c>
      <c r="Y74">
        <f t="shared" si="1"/>
        <v>436</v>
      </c>
    </row>
    <row r="75" spans="1:25" ht="165" x14ac:dyDescent="0.25">
      <c r="A75" t="s">
        <v>15</v>
      </c>
      <c r="B75" t="s">
        <v>70</v>
      </c>
      <c r="C75" s="2" t="s">
        <v>1044</v>
      </c>
      <c r="D75" s="2" t="s">
        <v>1046</v>
      </c>
      <c r="E75" t="s">
        <v>92</v>
      </c>
      <c r="F75" s="2" t="s">
        <v>21</v>
      </c>
      <c r="G75" t="s">
        <v>21</v>
      </c>
      <c r="H75" s="2" t="s">
        <v>187</v>
      </c>
      <c r="I75" s="8" t="s">
        <v>1</v>
      </c>
      <c r="J75" t="s">
        <v>21</v>
      </c>
      <c r="K75" s="2" t="s">
        <v>187</v>
      </c>
      <c r="L75" s="2" t="s">
        <v>1</v>
      </c>
      <c r="M75" t="s">
        <v>21</v>
      </c>
      <c r="N75" s="8" t="s">
        <v>187</v>
      </c>
      <c r="O75" s="8" t="s">
        <v>1</v>
      </c>
      <c r="P75" t="s">
        <v>18</v>
      </c>
      <c r="Q75" s="8" t="s">
        <v>194</v>
      </c>
      <c r="R75" s="8" t="s">
        <v>1</v>
      </c>
      <c r="S75" t="s">
        <v>21</v>
      </c>
      <c r="T75" s="8" t="s">
        <v>187</v>
      </c>
      <c r="U75" s="8" t="s">
        <v>1</v>
      </c>
      <c r="V75" t="s">
        <v>18</v>
      </c>
      <c r="W75" t="s">
        <v>194</v>
      </c>
      <c r="X75" t="s">
        <v>1</v>
      </c>
      <c r="Y75">
        <f t="shared" si="1"/>
        <v>440</v>
      </c>
    </row>
    <row r="76" spans="1:25" ht="165" x14ac:dyDescent="0.25">
      <c r="A76" t="s">
        <v>15</v>
      </c>
      <c r="B76" t="s">
        <v>70</v>
      </c>
      <c r="C76" s="2" t="s">
        <v>1044</v>
      </c>
      <c r="D76" s="2" t="s">
        <v>1046</v>
      </c>
      <c r="E76" t="s">
        <v>93</v>
      </c>
      <c r="F76" s="2" t="s">
        <v>18</v>
      </c>
      <c r="G76" t="s">
        <v>18</v>
      </c>
      <c r="H76" s="2" t="s">
        <v>187</v>
      </c>
      <c r="I76" s="8" t="s">
        <v>1</v>
      </c>
      <c r="J76" t="s">
        <v>21</v>
      </c>
      <c r="K76" s="2" t="s">
        <v>194</v>
      </c>
      <c r="L76" s="2" t="s">
        <v>1</v>
      </c>
      <c r="M76" t="s">
        <v>21</v>
      </c>
      <c r="N76" s="9" t="s">
        <v>194</v>
      </c>
      <c r="O76" s="9" t="s">
        <v>1</v>
      </c>
      <c r="P76" t="s">
        <v>21</v>
      </c>
      <c r="Q76" t="s">
        <v>194</v>
      </c>
      <c r="R76" s="8" t="s">
        <v>1</v>
      </c>
      <c r="S76" t="s">
        <v>23</v>
      </c>
      <c r="T76" t="s">
        <v>194</v>
      </c>
      <c r="U76" t="s">
        <v>1</v>
      </c>
      <c r="V76" t="s">
        <v>21</v>
      </c>
      <c r="W76" s="8" t="s">
        <v>194</v>
      </c>
      <c r="X76" s="8" t="s">
        <v>1</v>
      </c>
      <c r="Y76">
        <f t="shared" si="1"/>
        <v>437</v>
      </c>
    </row>
    <row r="77" spans="1:25" ht="165" x14ac:dyDescent="0.25">
      <c r="A77" t="s">
        <v>15</v>
      </c>
      <c r="B77" t="s">
        <v>70</v>
      </c>
      <c r="C77" s="2" t="s">
        <v>1044</v>
      </c>
      <c r="D77" s="2" t="s">
        <v>1046</v>
      </c>
      <c r="E77" t="s">
        <v>94</v>
      </c>
      <c r="F77" s="2" t="s">
        <v>21</v>
      </c>
      <c r="G77" t="s">
        <v>21</v>
      </c>
      <c r="H77" s="2" t="s">
        <v>187</v>
      </c>
      <c r="I77" s="8" t="s">
        <v>1</v>
      </c>
      <c r="J77" t="s">
        <v>21</v>
      </c>
      <c r="K77" s="2" t="s">
        <v>187</v>
      </c>
      <c r="L77" s="2" t="s">
        <v>1</v>
      </c>
      <c r="M77" t="s">
        <v>21</v>
      </c>
      <c r="N77" s="8" t="s">
        <v>187</v>
      </c>
      <c r="O77" s="8" t="s">
        <v>1</v>
      </c>
      <c r="P77" t="s">
        <v>21</v>
      </c>
      <c r="Q77" s="8" t="s">
        <v>187</v>
      </c>
      <c r="R77" s="8" t="s">
        <v>1</v>
      </c>
      <c r="S77" t="s">
        <v>21</v>
      </c>
      <c r="T77" s="8" t="s">
        <v>187</v>
      </c>
      <c r="U77" s="8" t="s">
        <v>1</v>
      </c>
      <c r="V77" t="s">
        <v>21</v>
      </c>
      <c r="W77" s="8" t="s">
        <v>187</v>
      </c>
      <c r="X77" s="8" t="s">
        <v>1</v>
      </c>
      <c r="Y77">
        <f t="shared" si="1"/>
        <v>440</v>
      </c>
    </row>
    <row r="78" spans="1:25" ht="165" x14ac:dyDescent="0.25">
      <c r="A78" t="s">
        <v>15</v>
      </c>
      <c r="B78" t="s">
        <v>70</v>
      </c>
      <c r="C78" s="2" t="s">
        <v>1044</v>
      </c>
      <c r="D78" s="2" t="s">
        <v>1046</v>
      </c>
      <c r="E78" s="2" t="s">
        <v>95</v>
      </c>
      <c r="F78" s="2" t="s">
        <v>18</v>
      </c>
      <c r="G78" t="s">
        <v>21</v>
      </c>
      <c r="H78" s="8" t="s">
        <v>194</v>
      </c>
      <c r="I78" s="8" t="s">
        <v>1</v>
      </c>
      <c r="J78" t="s">
        <v>21</v>
      </c>
      <c r="K78" s="2" t="s">
        <v>194</v>
      </c>
      <c r="L78" s="2" t="s">
        <v>1</v>
      </c>
      <c r="M78" t="s">
        <v>21</v>
      </c>
      <c r="N78" s="9" t="s">
        <v>194</v>
      </c>
      <c r="O78" s="9" t="s">
        <v>1</v>
      </c>
      <c r="P78" t="s">
        <v>21</v>
      </c>
      <c r="Q78" t="s">
        <v>194</v>
      </c>
      <c r="R78" s="8" t="s">
        <v>1</v>
      </c>
      <c r="S78" t="s">
        <v>23</v>
      </c>
      <c r="T78" t="s">
        <v>194</v>
      </c>
      <c r="U78" t="s">
        <v>1</v>
      </c>
      <c r="V78" t="s">
        <v>21</v>
      </c>
      <c r="W78" s="8" t="s">
        <v>194</v>
      </c>
      <c r="X78" s="8" t="s">
        <v>1</v>
      </c>
      <c r="Y78">
        <f t="shared" si="1"/>
        <v>442</v>
      </c>
    </row>
    <row r="79" spans="1:25" ht="165" x14ac:dyDescent="0.25">
      <c r="A79" t="s">
        <v>15</v>
      </c>
      <c r="B79" t="s">
        <v>70</v>
      </c>
      <c r="C79" s="2" t="s">
        <v>1044</v>
      </c>
      <c r="D79" s="2" t="s">
        <v>1046</v>
      </c>
      <c r="E79" t="s">
        <v>96</v>
      </c>
      <c r="F79" s="2" t="s">
        <v>23</v>
      </c>
      <c r="G79" t="s">
        <v>18</v>
      </c>
      <c r="H79" s="8" t="s">
        <v>194</v>
      </c>
      <c r="I79" s="8" t="s">
        <v>1</v>
      </c>
      <c r="J79" t="s">
        <v>23</v>
      </c>
      <c r="K79" s="2" t="s">
        <v>187</v>
      </c>
      <c r="L79" s="2" t="s">
        <v>1</v>
      </c>
      <c r="M79" t="s">
        <v>21</v>
      </c>
      <c r="N79" s="8" t="s">
        <v>194</v>
      </c>
      <c r="O79" s="8" t="s">
        <v>1</v>
      </c>
      <c r="P79" t="s">
        <v>23</v>
      </c>
      <c r="Q79" s="8" t="s">
        <v>187</v>
      </c>
      <c r="R79" s="8" t="s">
        <v>1</v>
      </c>
      <c r="S79" t="s">
        <v>23</v>
      </c>
      <c r="T79" s="8" t="s">
        <v>187</v>
      </c>
      <c r="U79" s="8" t="s">
        <v>1</v>
      </c>
      <c r="V79" t="s">
        <v>23</v>
      </c>
      <c r="W79" s="8" t="s">
        <v>187</v>
      </c>
      <c r="X79" s="8" t="s">
        <v>1</v>
      </c>
      <c r="Y79">
        <f t="shared" si="1"/>
        <v>435</v>
      </c>
    </row>
    <row r="80" spans="1:25" ht="165" x14ac:dyDescent="0.25">
      <c r="A80" t="s">
        <v>15</v>
      </c>
      <c r="B80" t="s">
        <v>70</v>
      </c>
      <c r="C80" s="2" t="s">
        <v>1044</v>
      </c>
      <c r="D80" s="2" t="s">
        <v>1046</v>
      </c>
      <c r="E80" t="s">
        <v>97</v>
      </c>
      <c r="F80" s="2" t="s">
        <v>21</v>
      </c>
      <c r="G80" t="s">
        <v>21</v>
      </c>
      <c r="H80" s="2" t="s">
        <v>187</v>
      </c>
      <c r="I80" s="8" t="s">
        <v>1</v>
      </c>
      <c r="J80" t="s">
        <v>21</v>
      </c>
      <c r="K80" s="2" t="s">
        <v>187</v>
      </c>
      <c r="L80" s="2" t="s">
        <v>1</v>
      </c>
      <c r="M80" t="s">
        <v>21</v>
      </c>
      <c r="N80" s="8" t="s">
        <v>187</v>
      </c>
      <c r="O80" s="8" t="s">
        <v>1</v>
      </c>
      <c r="P80" t="s">
        <v>21</v>
      </c>
      <c r="Q80" s="8" t="s">
        <v>187</v>
      </c>
      <c r="R80" s="8" t="s">
        <v>1</v>
      </c>
      <c r="S80" t="s">
        <v>21</v>
      </c>
      <c r="T80" s="8" t="s">
        <v>187</v>
      </c>
      <c r="U80" s="8" t="s">
        <v>1</v>
      </c>
      <c r="V80" t="s">
        <v>21</v>
      </c>
      <c r="W80" s="8" t="s">
        <v>187</v>
      </c>
      <c r="X80" s="8" t="s">
        <v>1</v>
      </c>
      <c r="Y80">
        <f t="shared" si="1"/>
        <v>430</v>
      </c>
    </row>
    <row r="81" spans="1:25" ht="165" x14ac:dyDescent="0.25">
      <c r="A81" t="s">
        <v>15</v>
      </c>
      <c r="B81" t="s">
        <v>70</v>
      </c>
      <c r="C81" s="2" t="s">
        <v>1044</v>
      </c>
      <c r="D81" s="2" t="s">
        <v>1046</v>
      </c>
      <c r="E81" t="s">
        <v>98</v>
      </c>
      <c r="F81" s="2" t="s">
        <v>21</v>
      </c>
      <c r="G81" t="s">
        <v>21</v>
      </c>
      <c r="H81" s="2" t="s">
        <v>187</v>
      </c>
      <c r="I81" s="8" t="s">
        <v>1</v>
      </c>
      <c r="J81" t="s">
        <v>21</v>
      </c>
      <c r="K81" s="2" t="s">
        <v>187</v>
      </c>
      <c r="L81" s="2" t="s">
        <v>1</v>
      </c>
      <c r="M81" t="s">
        <v>21</v>
      </c>
      <c r="N81" s="8" t="s">
        <v>187</v>
      </c>
      <c r="O81" s="8" t="s">
        <v>1</v>
      </c>
      <c r="P81" t="s">
        <v>21</v>
      </c>
      <c r="Q81" s="8" t="s">
        <v>187</v>
      </c>
      <c r="R81" s="8" t="s">
        <v>1</v>
      </c>
      <c r="S81" t="s">
        <v>21</v>
      </c>
      <c r="T81" s="8" t="s">
        <v>187</v>
      </c>
      <c r="U81" s="8" t="s">
        <v>1</v>
      </c>
      <c r="V81" t="s">
        <v>21</v>
      </c>
      <c r="W81" s="8" t="s">
        <v>187</v>
      </c>
      <c r="X81" s="8" t="s">
        <v>1</v>
      </c>
      <c r="Y81">
        <f t="shared" si="1"/>
        <v>428</v>
      </c>
    </row>
    <row r="82" spans="1:25" ht="165" x14ac:dyDescent="0.25">
      <c r="A82" t="s">
        <v>15</v>
      </c>
      <c r="B82" t="s">
        <v>70</v>
      </c>
      <c r="C82" s="2" t="s">
        <v>1044</v>
      </c>
      <c r="D82" s="2" t="s">
        <v>1046</v>
      </c>
      <c r="E82" t="s">
        <v>99</v>
      </c>
      <c r="F82" s="2" t="s">
        <v>23</v>
      </c>
      <c r="G82" t="s">
        <v>21</v>
      </c>
      <c r="H82" s="8" t="s">
        <v>194</v>
      </c>
      <c r="I82" s="8" t="s">
        <v>1</v>
      </c>
      <c r="J82" t="s">
        <v>21</v>
      </c>
      <c r="K82" s="2" t="s">
        <v>194</v>
      </c>
      <c r="L82" s="2" t="s">
        <v>1</v>
      </c>
      <c r="M82" t="s">
        <v>21</v>
      </c>
      <c r="N82" s="8" t="s">
        <v>194</v>
      </c>
      <c r="O82" s="8" t="s">
        <v>1</v>
      </c>
      <c r="P82" t="s">
        <v>18</v>
      </c>
      <c r="Q82" t="s">
        <v>194</v>
      </c>
      <c r="R82" s="8" t="s">
        <v>1</v>
      </c>
      <c r="S82" t="s">
        <v>21</v>
      </c>
      <c r="T82" t="s">
        <v>194</v>
      </c>
      <c r="U82" t="s">
        <v>1</v>
      </c>
      <c r="V82" t="s">
        <v>21</v>
      </c>
      <c r="W82" s="8" t="s">
        <v>194</v>
      </c>
      <c r="X82" s="8" t="s">
        <v>1</v>
      </c>
      <c r="Y82">
        <f t="shared" si="1"/>
        <v>433</v>
      </c>
    </row>
    <row r="83" spans="1:25" ht="165" x14ac:dyDescent="0.25">
      <c r="A83" t="s">
        <v>15</v>
      </c>
      <c r="B83" t="s">
        <v>70</v>
      </c>
      <c r="C83" s="2" t="s">
        <v>1044</v>
      </c>
      <c r="D83" s="2" t="s">
        <v>1046</v>
      </c>
      <c r="E83" s="2" t="s">
        <v>100</v>
      </c>
      <c r="F83" s="2" t="s">
        <v>18</v>
      </c>
      <c r="G83" t="s">
        <v>21</v>
      </c>
      <c r="H83" s="8" t="s">
        <v>194</v>
      </c>
      <c r="I83" s="8" t="s">
        <v>1</v>
      </c>
      <c r="J83" t="s">
        <v>21</v>
      </c>
      <c r="K83" s="2" t="s">
        <v>194</v>
      </c>
      <c r="L83" s="2" t="s">
        <v>1</v>
      </c>
      <c r="M83" t="s">
        <v>21</v>
      </c>
      <c r="N83" s="9" t="s">
        <v>194</v>
      </c>
      <c r="O83" s="9" t="s">
        <v>1</v>
      </c>
      <c r="P83" t="s">
        <v>18</v>
      </c>
      <c r="Q83" s="8" t="s">
        <v>187</v>
      </c>
      <c r="R83" s="8" t="s">
        <v>1</v>
      </c>
      <c r="S83" t="s">
        <v>23</v>
      </c>
      <c r="T83" t="s">
        <v>194</v>
      </c>
      <c r="U83" t="s">
        <v>1</v>
      </c>
      <c r="V83" t="s">
        <v>18</v>
      </c>
      <c r="W83" s="8" t="s">
        <v>187</v>
      </c>
      <c r="X83" s="8" t="s">
        <v>1</v>
      </c>
      <c r="Y83">
        <f t="shared" si="1"/>
        <v>433</v>
      </c>
    </row>
    <row r="84" spans="1:25" ht="165" x14ac:dyDescent="0.25">
      <c r="A84" t="s">
        <v>15</v>
      </c>
      <c r="B84" t="s">
        <v>70</v>
      </c>
      <c r="C84" s="2" t="s">
        <v>1044</v>
      </c>
      <c r="D84" s="2" t="s">
        <v>1046</v>
      </c>
      <c r="E84" t="s">
        <v>101</v>
      </c>
      <c r="F84" s="2" t="s">
        <v>21</v>
      </c>
      <c r="G84" t="s">
        <v>18</v>
      </c>
      <c r="H84" s="2" t="s">
        <v>194</v>
      </c>
      <c r="I84" s="8" t="s">
        <v>1</v>
      </c>
      <c r="J84" t="s">
        <v>21</v>
      </c>
      <c r="K84" s="2" t="s">
        <v>187</v>
      </c>
      <c r="L84" s="2" t="s">
        <v>1</v>
      </c>
      <c r="M84" t="s">
        <v>18</v>
      </c>
      <c r="N84" s="8" t="s">
        <v>194</v>
      </c>
      <c r="O84" s="8" t="s">
        <v>1</v>
      </c>
      <c r="P84" t="s">
        <v>21</v>
      </c>
      <c r="Q84" s="8" t="s">
        <v>187</v>
      </c>
      <c r="R84" s="8" t="s">
        <v>1</v>
      </c>
      <c r="S84" t="s">
        <v>18</v>
      </c>
      <c r="T84" t="s">
        <v>194</v>
      </c>
      <c r="U84" t="s">
        <v>1</v>
      </c>
      <c r="V84" t="s">
        <v>18</v>
      </c>
      <c r="W84" t="s">
        <v>194</v>
      </c>
      <c r="X84" t="s">
        <v>1</v>
      </c>
      <c r="Y84">
        <f t="shared" si="1"/>
        <v>433</v>
      </c>
    </row>
    <row r="85" spans="1:25" ht="165" x14ac:dyDescent="0.25">
      <c r="A85" t="s">
        <v>15</v>
      </c>
      <c r="B85" t="s">
        <v>70</v>
      </c>
      <c r="C85" s="2" t="s">
        <v>1044</v>
      </c>
      <c r="D85" s="2" t="s">
        <v>1046</v>
      </c>
      <c r="E85" t="s">
        <v>102</v>
      </c>
      <c r="F85" s="2" t="s">
        <v>21</v>
      </c>
      <c r="G85" t="s">
        <v>21</v>
      </c>
      <c r="H85" s="2" t="s">
        <v>187</v>
      </c>
      <c r="I85" s="8" t="s">
        <v>1</v>
      </c>
      <c r="J85" t="s">
        <v>21</v>
      </c>
      <c r="K85" s="2" t="s">
        <v>187</v>
      </c>
      <c r="L85" s="2" t="s">
        <v>1</v>
      </c>
      <c r="M85" t="s">
        <v>21</v>
      </c>
      <c r="N85" s="8" t="s">
        <v>187</v>
      </c>
      <c r="O85" s="8" t="s">
        <v>1</v>
      </c>
      <c r="P85" t="s">
        <v>21</v>
      </c>
      <c r="Q85" s="8" t="s">
        <v>187</v>
      </c>
      <c r="R85" s="8" t="s">
        <v>1</v>
      </c>
      <c r="S85" t="s">
        <v>21</v>
      </c>
      <c r="T85" s="8" t="s">
        <v>187</v>
      </c>
      <c r="U85" s="8" t="s">
        <v>1</v>
      </c>
      <c r="V85" t="s">
        <v>21</v>
      </c>
      <c r="W85" s="8" t="s">
        <v>187</v>
      </c>
      <c r="X85" s="8" t="s">
        <v>1</v>
      </c>
      <c r="Y85">
        <f t="shared" si="1"/>
        <v>421</v>
      </c>
    </row>
    <row r="86" spans="1:25" ht="165" x14ac:dyDescent="0.25">
      <c r="A86" t="s">
        <v>15</v>
      </c>
      <c r="B86" t="s">
        <v>70</v>
      </c>
      <c r="C86" s="2" t="s">
        <v>1044</v>
      </c>
      <c r="D86" s="2" t="s">
        <v>1046</v>
      </c>
      <c r="E86" s="2" t="s">
        <v>103</v>
      </c>
      <c r="F86" s="2" t="s">
        <v>21</v>
      </c>
      <c r="G86" t="s">
        <v>21</v>
      </c>
      <c r="H86" s="2" t="s">
        <v>187</v>
      </c>
      <c r="I86" s="8" t="s">
        <v>1</v>
      </c>
      <c r="J86" t="s">
        <v>21</v>
      </c>
      <c r="K86" s="2" t="s">
        <v>187</v>
      </c>
      <c r="L86" s="2" t="s">
        <v>1</v>
      </c>
      <c r="M86" t="s">
        <v>21</v>
      </c>
      <c r="N86" s="8" t="s">
        <v>187</v>
      </c>
      <c r="O86" s="8" t="s">
        <v>1</v>
      </c>
      <c r="P86" t="s">
        <v>21</v>
      </c>
      <c r="Q86" s="8" t="s">
        <v>187</v>
      </c>
      <c r="R86" s="8" t="s">
        <v>1</v>
      </c>
      <c r="S86" t="s">
        <v>21</v>
      </c>
      <c r="T86" s="8" t="s">
        <v>187</v>
      </c>
      <c r="U86" s="8" t="s">
        <v>1</v>
      </c>
      <c r="V86" t="s">
        <v>21</v>
      </c>
      <c r="W86" s="8" t="s">
        <v>187</v>
      </c>
      <c r="X86" s="8" t="s">
        <v>1</v>
      </c>
      <c r="Y86">
        <f t="shared" si="1"/>
        <v>425</v>
      </c>
    </row>
    <row r="87" spans="1:25" ht="165" x14ac:dyDescent="0.25">
      <c r="A87" t="s">
        <v>15</v>
      </c>
      <c r="B87" t="s">
        <v>70</v>
      </c>
      <c r="C87" s="2" t="s">
        <v>1044</v>
      </c>
      <c r="D87" s="2" t="s">
        <v>1046</v>
      </c>
      <c r="E87" t="s">
        <v>104</v>
      </c>
      <c r="F87" s="2" t="s">
        <v>21</v>
      </c>
      <c r="G87" t="s">
        <v>21</v>
      </c>
      <c r="H87" s="2" t="s">
        <v>187</v>
      </c>
      <c r="I87" s="8" t="s">
        <v>1</v>
      </c>
      <c r="J87" t="s">
        <v>21</v>
      </c>
      <c r="K87" s="2" t="s">
        <v>187</v>
      </c>
      <c r="L87" s="2" t="s">
        <v>1</v>
      </c>
      <c r="M87" t="s">
        <v>21</v>
      </c>
      <c r="N87" s="8" t="s">
        <v>187</v>
      </c>
      <c r="O87" s="8" t="s">
        <v>1</v>
      </c>
      <c r="P87" t="s">
        <v>21</v>
      </c>
      <c r="Q87" s="8" t="s">
        <v>187</v>
      </c>
      <c r="R87" s="8" t="s">
        <v>1</v>
      </c>
      <c r="S87" t="s">
        <v>21</v>
      </c>
      <c r="T87" s="8" t="s">
        <v>187</v>
      </c>
      <c r="U87" s="8" t="s">
        <v>1</v>
      </c>
      <c r="V87" t="s">
        <v>21</v>
      </c>
      <c r="W87" s="8" t="s">
        <v>187</v>
      </c>
      <c r="X87" s="8" t="s">
        <v>1</v>
      </c>
      <c r="Y87">
        <f t="shared" si="1"/>
        <v>418</v>
      </c>
    </row>
    <row r="88" spans="1:25" ht="165" x14ac:dyDescent="0.25">
      <c r="A88" t="s">
        <v>15</v>
      </c>
      <c r="B88" t="s">
        <v>70</v>
      </c>
      <c r="C88" s="2" t="s">
        <v>1044</v>
      </c>
      <c r="D88" s="2" t="s">
        <v>1046</v>
      </c>
      <c r="E88" t="s">
        <v>105</v>
      </c>
      <c r="F88" s="2" t="s">
        <v>21</v>
      </c>
      <c r="G88" t="s">
        <v>21</v>
      </c>
      <c r="H88" s="2" t="s">
        <v>187</v>
      </c>
      <c r="I88" s="8" t="s">
        <v>1</v>
      </c>
      <c r="J88" t="s">
        <v>21</v>
      </c>
      <c r="K88" s="2" t="s">
        <v>187</v>
      </c>
      <c r="L88" s="2" t="s">
        <v>1</v>
      </c>
      <c r="M88" t="s">
        <v>21</v>
      </c>
      <c r="N88" s="8" t="s">
        <v>187</v>
      </c>
      <c r="O88" s="8" t="s">
        <v>1</v>
      </c>
      <c r="P88" t="s">
        <v>21</v>
      </c>
      <c r="Q88" s="8" t="s">
        <v>187</v>
      </c>
      <c r="R88" s="8" t="s">
        <v>1</v>
      </c>
      <c r="S88" t="s">
        <v>21</v>
      </c>
      <c r="T88" s="8" t="s">
        <v>187</v>
      </c>
      <c r="U88" s="8" t="s">
        <v>1</v>
      </c>
      <c r="V88" t="s">
        <v>21</v>
      </c>
      <c r="W88" s="8" t="s">
        <v>187</v>
      </c>
      <c r="X88" s="8" t="s">
        <v>1</v>
      </c>
      <c r="Y88">
        <f t="shared" si="1"/>
        <v>425</v>
      </c>
    </row>
    <row r="89" spans="1:25" ht="165" x14ac:dyDescent="0.25">
      <c r="A89" t="s">
        <v>15</v>
      </c>
      <c r="B89" t="s">
        <v>70</v>
      </c>
      <c r="C89" s="2" t="s">
        <v>1044</v>
      </c>
      <c r="D89" s="2" t="s">
        <v>1046</v>
      </c>
      <c r="E89" t="s">
        <v>107</v>
      </c>
      <c r="F89" s="2" t="s">
        <v>18</v>
      </c>
      <c r="G89" t="s">
        <v>18</v>
      </c>
      <c r="H89" s="2" t="s">
        <v>187</v>
      </c>
      <c r="I89" s="8" t="s">
        <v>1</v>
      </c>
      <c r="J89" t="s">
        <v>18</v>
      </c>
      <c r="K89" s="2" t="s">
        <v>187</v>
      </c>
      <c r="L89" s="2" t="s">
        <v>1</v>
      </c>
      <c r="M89" t="s">
        <v>18</v>
      </c>
      <c r="N89" s="8" t="s">
        <v>187</v>
      </c>
      <c r="O89" s="8" t="s">
        <v>1</v>
      </c>
      <c r="P89" t="s">
        <v>18</v>
      </c>
      <c r="Q89" s="8" t="s">
        <v>187</v>
      </c>
      <c r="R89" s="8" t="s">
        <v>1</v>
      </c>
      <c r="S89" t="s">
        <v>18</v>
      </c>
      <c r="T89" s="8" t="s">
        <v>187</v>
      </c>
      <c r="U89" s="8" t="s">
        <v>1</v>
      </c>
      <c r="V89" t="s">
        <v>18</v>
      </c>
      <c r="W89" s="8" t="s">
        <v>187</v>
      </c>
      <c r="X89" s="8" t="s">
        <v>1</v>
      </c>
      <c r="Y89">
        <f t="shared" si="1"/>
        <v>430</v>
      </c>
    </row>
    <row r="90" spans="1:25" ht="165" x14ac:dyDescent="0.25">
      <c r="A90" t="s">
        <v>15</v>
      </c>
      <c r="B90" t="s">
        <v>70</v>
      </c>
      <c r="C90" s="2" t="s">
        <v>1044</v>
      </c>
      <c r="D90" s="2" t="s">
        <v>1046</v>
      </c>
      <c r="E90" t="s">
        <v>108</v>
      </c>
      <c r="F90" s="2" t="s">
        <v>18</v>
      </c>
      <c r="G90" t="s">
        <v>18</v>
      </c>
      <c r="H90" s="2" t="s">
        <v>187</v>
      </c>
      <c r="I90" s="8" t="s">
        <v>1</v>
      </c>
      <c r="J90" t="s">
        <v>18</v>
      </c>
      <c r="K90" s="2" t="s">
        <v>187</v>
      </c>
      <c r="L90" s="2" t="s">
        <v>1</v>
      </c>
      <c r="M90" t="s">
        <v>18</v>
      </c>
      <c r="N90" s="8" t="s">
        <v>187</v>
      </c>
      <c r="O90" s="8" t="s">
        <v>1</v>
      </c>
      <c r="P90" t="s">
        <v>18</v>
      </c>
      <c r="Q90" s="8" t="s">
        <v>187</v>
      </c>
      <c r="R90" s="8" t="s">
        <v>1</v>
      </c>
      <c r="S90" t="s">
        <v>18</v>
      </c>
      <c r="T90" s="8" t="s">
        <v>187</v>
      </c>
      <c r="U90" s="8" t="s">
        <v>1</v>
      </c>
      <c r="V90" t="s">
        <v>18</v>
      </c>
      <c r="W90" s="8" t="s">
        <v>187</v>
      </c>
      <c r="X90" s="8" t="s">
        <v>1</v>
      </c>
      <c r="Y90">
        <f t="shared" si="1"/>
        <v>431</v>
      </c>
    </row>
    <row r="91" spans="1:25" ht="165" x14ac:dyDescent="0.25">
      <c r="A91" t="s">
        <v>15</v>
      </c>
      <c r="B91" t="s">
        <v>70</v>
      </c>
      <c r="C91" s="2" t="s">
        <v>1044</v>
      </c>
      <c r="D91" s="2" t="s">
        <v>1046</v>
      </c>
      <c r="E91" t="s">
        <v>109</v>
      </c>
      <c r="F91" s="2" t="s">
        <v>23</v>
      </c>
      <c r="G91" t="s">
        <v>18</v>
      </c>
      <c r="H91" s="8" t="s">
        <v>194</v>
      </c>
      <c r="I91" s="8" t="s">
        <v>1</v>
      </c>
      <c r="J91" t="s">
        <v>21</v>
      </c>
      <c r="K91" s="2" t="s">
        <v>194</v>
      </c>
      <c r="L91" s="2" t="s">
        <v>1</v>
      </c>
      <c r="M91" t="s">
        <v>21</v>
      </c>
      <c r="N91" s="8" t="s">
        <v>194</v>
      </c>
      <c r="O91" s="8" t="s">
        <v>1</v>
      </c>
      <c r="P91" t="s">
        <v>1032</v>
      </c>
      <c r="Q91" s="8" t="s">
        <v>3</v>
      </c>
      <c r="R91" s="8" t="s">
        <v>1</v>
      </c>
      <c r="S91" t="s">
        <v>23</v>
      </c>
      <c r="T91" s="8" t="s">
        <v>187</v>
      </c>
      <c r="U91" s="8" t="s">
        <v>1</v>
      </c>
      <c r="V91" t="s">
        <v>21</v>
      </c>
      <c r="W91" s="8" t="s">
        <v>194</v>
      </c>
      <c r="X91" s="8" t="s">
        <v>1</v>
      </c>
      <c r="Y91">
        <f t="shared" si="1"/>
        <v>423</v>
      </c>
    </row>
    <row r="92" spans="1:25" ht="165" x14ac:dyDescent="0.25">
      <c r="A92" t="s">
        <v>15</v>
      </c>
      <c r="B92" t="s">
        <v>70</v>
      </c>
      <c r="C92" s="2" t="s">
        <v>1044</v>
      </c>
      <c r="D92" s="2" t="s">
        <v>1046</v>
      </c>
      <c r="E92" t="s">
        <v>110</v>
      </c>
      <c r="F92" s="2" t="s">
        <v>23</v>
      </c>
      <c r="G92" t="s">
        <v>18</v>
      </c>
      <c r="H92" s="8" t="s">
        <v>194</v>
      </c>
      <c r="I92" s="8" t="s">
        <v>1</v>
      </c>
      <c r="J92" t="s">
        <v>21</v>
      </c>
      <c r="K92" s="2" t="s">
        <v>194</v>
      </c>
      <c r="L92" s="2" t="s">
        <v>1</v>
      </c>
      <c r="M92" t="s">
        <v>21</v>
      </c>
      <c r="N92" s="8" t="s">
        <v>194</v>
      </c>
      <c r="O92" s="8" t="s">
        <v>1</v>
      </c>
      <c r="P92" t="s">
        <v>21</v>
      </c>
      <c r="Q92" t="s">
        <v>194</v>
      </c>
      <c r="R92" s="8" t="s">
        <v>1</v>
      </c>
      <c r="S92" t="s">
        <v>18</v>
      </c>
      <c r="T92" t="s">
        <v>194</v>
      </c>
      <c r="U92" t="s">
        <v>1</v>
      </c>
      <c r="V92" t="s">
        <v>21</v>
      </c>
      <c r="W92" s="8" t="s">
        <v>194</v>
      </c>
      <c r="X92" s="8" t="s">
        <v>1</v>
      </c>
      <c r="Y92">
        <f t="shared" si="1"/>
        <v>429</v>
      </c>
    </row>
    <row r="93" spans="1:25" ht="165" x14ac:dyDescent="0.25">
      <c r="A93" t="s">
        <v>15</v>
      </c>
      <c r="B93" t="s">
        <v>70</v>
      </c>
      <c r="C93" s="2" t="s">
        <v>1044</v>
      </c>
      <c r="D93" s="2" t="s">
        <v>1046</v>
      </c>
      <c r="E93" t="s">
        <v>111</v>
      </c>
      <c r="F93" s="2" t="s">
        <v>23</v>
      </c>
      <c r="G93" t="s">
        <v>18</v>
      </c>
      <c r="H93" s="8" t="s">
        <v>194</v>
      </c>
      <c r="I93" s="8" t="s">
        <v>1</v>
      </c>
      <c r="J93" t="s">
        <v>18</v>
      </c>
      <c r="K93" s="2" t="s">
        <v>194</v>
      </c>
      <c r="L93" s="2" t="s">
        <v>1</v>
      </c>
      <c r="M93" t="s">
        <v>18</v>
      </c>
      <c r="N93" s="8" t="s">
        <v>194</v>
      </c>
      <c r="O93" s="8" t="s">
        <v>1</v>
      </c>
      <c r="P93" t="s">
        <v>18</v>
      </c>
      <c r="Q93" t="s">
        <v>194</v>
      </c>
      <c r="R93" s="8" t="s">
        <v>1</v>
      </c>
      <c r="S93" t="s">
        <v>23</v>
      </c>
      <c r="T93" s="8" t="s">
        <v>187</v>
      </c>
      <c r="U93" s="8" t="s">
        <v>1</v>
      </c>
      <c r="V93" t="s">
        <v>18</v>
      </c>
      <c r="W93" t="s">
        <v>194</v>
      </c>
      <c r="X93" t="s">
        <v>1</v>
      </c>
      <c r="Y93">
        <f t="shared" si="1"/>
        <v>428</v>
      </c>
    </row>
    <row r="94" spans="1:25" ht="165" x14ac:dyDescent="0.25">
      <c r="A94" t="s">
        <v>15</v>
      </c>
      <c r="B94" t="s">
        <v>70</v>
      </c>
      <c r="C94" s="2" t="s">
        <v>1044</v>
      </c>
      <c r="D94" s="2" t="s">
        <v>1046</v>
      </c>
      <c r="E94" t="s">
        <v>112</v>
      </c>
      <c r="F94" s="2" t="s">
        <v>18</v>
      </c>
      <c r="G94" t="s">
        <v>18</v>
      </c>
      <c r="H94" s="2" t="s">
        <v>187</v>
      </c>
      <c r="I94" s="8" t="s">
        <v>1</v>
      </c>
      <c r="J94" t="s">
        <v>18</v>
      </c>
      <c r="K94" s="2" t="s">
        <v>187</v>
      </c>
      <c r="L94" s="2" t="s">
        <v>1</v>
      </c>
      <c r="M94" t="s">
        <v>18</v>
      </c>
      <c r="N94" s="8" t="s">
        <v>187</v>
      </c>
      <c r="O94" s="8" t="s">
        <v>1</v>
      </c>
      <c r="P94" t="s">
        <v>18</v>
      </c>
      <c r="Q94" s="8" t="s">
        <v>187</v>
      </c>
      <c r="R94" s="8" t="s">
        <v>1</v>
      </c>
      <c r="S94" t="s">
        <v>18</v>
      </c>
      <c r="T94" s="8" t="s">
        <v>187</v>
      </c>
      <c r="U94" s="8" t="s">
        <v>1</v>
      </c>
      <c r="V94" t="s">
        <v>18</v>
      </c>
      <c r="W94" s="8" t="s">
        <v>187</v>
      </c>
      <c r="X94" s="8" t="s">
        <v>1</v>
      </c>
      <c r="Y94">
        <f t="shared" si="1"/>
        <v>427</v>
      </c>
    </row>
    <row r="95" spans="1:25" ht="165" x14ac:dyDescent="0.25">
      <c r="A95" t="s">
        <v>15</v>
      </c>
      <c r="B95" t="s">
        <v>70</v>
      </c>
      <c r="C95" s="2" t="s">
        <v>1044</v>
      </c>
      <c r="D95" s="2" t="s">
        <v>1046</v>
      </c>
      <c r="E95" s="2" t="s">
        <v>113</v>
      </c>
      <c r="F95" s="2" t="s">
        <v>18</v>
      </c>
      <c r="G95" t="s">
        <v>18</v>
      </c>
      <c r="H95" s="2" t="s">
        <v>187</v>
      </c>
      <c r="I95" s="8" t="s">
        <v>1</v>
      </c>
      <c r="J95" t="s">
        <v>18</v>
      </c>
      <c r="K95" s="2" t="s">
        <v>187</v>
      </c>
      <c r="L95" s="2" t="s">
        <v>1</v>
      </c>
      <c r="M95" t="s">
        <v>18</v>
      </c>
      <c r="N95" s="8" t="s">
        <v>187</v>
      </c>
      <c r="O95" s="8" t="s">
        <v>1</v>
      </c>
      <c r="P95" t="s">
        <v>18</v>
      </c>
      <c r="Q95" s="8" t="s">
        <v>187</v>
      </c>
      <c r="R95" s="8" t="s">
        <v>1</v>
      </c>
      <c r="S95" t="s">
        <v>18</v>
      </c>
      <c r="T95" s="8" t="s">
        <v>187</v>
      </c>
      <c r="U95" s="8" t="s">
        <v>1</v>
      </c>
      <c r="V95" t="s">
        <v>18</v>
      </c>
      <c r="W95" s="8" t="s">
        <v>187</v>
      </c>
      <c r="X95" s="8" t="s">
        <v>1</v>
      </c>
      <c r="Y95">
        <f t="shared" si="1"/>
        <v>429</v>
      </c>
    </row>
    <row r="96" spans="1:25" ht="165" x14ac:dyDescent="0.25">
      <c r="A96" t="s">
        <v>15</v>
      </c>
      <c r="B96" t="s">
        <v>70</v>
      </c>
      <c r="C96" s="2" t="s">
        <v>1044</v>
      </c>
      <c r="D96" s="2" t="s">
        <v>1046</v>
      </c>
      <c r="E96" t="s">
        <v>114</v>
      </c>
      <c r="F96" s="2" t="s">
        <v>18</v>
      </c>
      <c r="G96" t="s">
        <v>18</v>
      </c>
      <c r="H96" s="2" t="s">
        <v>187</v>
      </c>
      <c r="I96" s="8" t="s">
        <v>1</v>
      </c>
      <c r="J96" t="s">
        <v>18</v>
      </c>
      <c r="K96" s="2" t="s">
        <v>187</v>
      </c>
      <c r="L96" s="2" t="s">
        <v>1</v>
      </c>
      <c r="M96" t="s">
        <v>18</v>
      </c>
      <c r="N96" s="8" t="s">
        <v>187</v>
      </c>
      <c r="O96" s="8" t="s">
        <v>1</v>
      </c>
      <c r="P96" t="s">
        <v>18</v>
      </c>
      <c r="Q96" s="8" t="s">
        <v>187</v>
      </c>
      <c r="R96" s="8" t="s">
        <v>1</v>
      </c>
      <c r="S96" t="s">
        <v>18</v>
      </c>
      <c r="T96" s="8" t="s">
        <v>187</v>
      </c>
      <c r="U96" s="8" t="s">
        <v>1</v>
      </c>
      <c r="V96" t="s">
        <v>18</v>
      </c>
      <c r="W96" s="8" t="s">
        <v>187</v>
      </c>
      <c r="X96" s="8" t="s">
        <v>1</v>
      </c>
      <c r="Y96">
        <f t="shared" si="1"/>
        <v>429</v>
      </c>
    </row>
    <row r="97" spans="1:25" ht="165" x14ac:dyDescent="0.25">
      <c r="A97" t="s">
        <v>15</v>
      </c>
      <c r="B97" t="s">
        <v>70</v>
      </c>
      <c r="C97" s="2" t="s">
        <v>1044</v>
      </c>
      <c r="D97" s="2" t="s">
        <v>1046</v>
      </c>
      <c r="E97" t="s">
        <v>115</v>
      </c>
      <c r="F97" s="2" t="s">
        <v>18</v>
      </c>
      <c r="G97" t="s">
        <v>18</v>
      </c>
      <c r="H97" s="2" t="s">
        <v>187</v>
      </c>
      <c r="I97" s="8" t="s">
        <v>1</v>
      </c>
      <c r="J97" t="s">
        <v>18</v>
      </c>
      <c r="K97" s="2" t="s">
        <v>187</v>
      </c>
      <c r="L97" s="2" t="s">
        <v>1</v>
      </c>
      <c r="M97" t="s">
        <v>18</v>
      </c>
      <c r="N97" s="8" t="s">
        <v>187</v>
      </c>
      <c r="O97" s="8" t="s">
        <v>1</v>
      </c>
      <c r="P97" t="s">
        <v>18</v>
      </c>
      <c r="Q97" s="8" t="s">
        <v>187</v>
      </c>
      <c r="R97" s="8" t="s">
        <v>1</v>
      </c>
      <c r="S97" t="s">
        <v>18</v>
      </c>
      <c r="T97" s="8" t="s">
        <v>187</v>
      </c>
      <c r="U97" s="8" t="s">
        <v>1</v>
      </c>
      <c r="V97" t="s">
        <v>18</v>
      </c>
      <c r="W97" s="8" t="s">
        <v>187</v>
      </c>
      <c r="X97" s="8" t="s">
        <v>1</v>
      </c>
      <c r="Y97">
        <f t="shared" si="1"/>
        <v>423</v>
      </c>
    </row>
    <row r="98" spans="1:25" ht="165" x14ac:dyDescent="0.25">
      <c r="A98" t="s">
        <v>15</v>
      </c>
      <c r="B98" t="s">
        <v>70</v>
      </c>
      <c r="C98" s="2" t="s">
        <v>1044</v>
      </c>
      <c r="D98" s="2" t="s">
        <v>1046</v>
      </c>
      <c r="E98" t="s">
        <v>116</v>
      </c>
      <c r="F98" s="2" t="s">
        <v>18</v>
      </c>
      <c r="G98" t="s">
        <v>18</v>
      </c>
      <c r="H98" s="2" t="s">
        <v>187</v>
      </c>
      <c r="I98" s="8" t="s">
        <v>1</v>
      </c>
      <c r="J98" t="s">
        <v>18</v>
      </c>
      <c r="K98" s="2" t="s">
        <v>187</v>
      </c>
      <c r="L98" s="2" t="s">
        <v>1</v>
      </c>
      <c r="M98" t="s">
        <v>18</v>
      </c>
      <c r="N98" s="8" t="s">
        <v>187</v>
      </c>
      <c r="O98" s="8" t="s">
        <v>1</v>
      </c>
      <c r="P98" t="s">
        <v>18</v>
      </c>
      <c r="Q98" s="8" t="s">
        <v>187</v>
      </c>
      <c r="R98" s="8" t="s">
        <v>1</v>
      </c>
      <c r="S98" t="s">
        <v>18</v>
      </c>
      <c r="T98" s="8" t="s">
        <v>187</v>
      </c>
      <c r="U98" s="8" t="s">
        <v>1</v>
      </c>
      <c r="V98" t="s">
        <v>18</v>
      </c>
      <c r="W98" s="8" t="s">
        <v>187</v>
      </c>
      <c r="X98" s="8" t="s">
        <v>1</v>
      </c>
      <c r="Y98">
        <f t="shared" si="1"/>
        <v>427</v>
      </c>
    </row>
    <row r="99" spans="1:25" ht="165" x14ac:dyDescent="0.25">
      <c r="A99" t="s">
        <v>15</v>
      </c>
      <c r="B99" t="s">
        <v>70</v>
      </c>
      <c r="C99" s="2" t="s">
        <v>1044</v>
      </c>
      <c r="D99" s="2" t="s">
        <v>1046</v>
      </c>
      <c r="E99" t="s">
        <v>117</v>
      </c>
      <c r="F99" s="2" t="s">
        <v>18</v>
      </c>
      <c r="G99" t="s">
        <v>18</v>
      </c>
      <c r="H99" s="2" t="s">
        <v>187</v>
      </c>
      <c r="I99" s="8" t="s">
        <v>1</v>
      </c>
      <c r="J99" t="s">
        <v>18</v>
      </c>
      <c r="K99" s="2" t="s">
        <v>187</v>
      </c>
      <c r="L99" s="2" t="s">
        <v>1</v>
      </c>
      <c r="M99" t="s">
        <v>18</v>
      </c>
      <c r="N99" s="8" t="s">
        <v>187</v>
      </c>
      <c r="O99" s="8" t="s">
        <v>1</v>
      </c>
      <c r="P99" t="s">
        <v>18</v>
      </c>
      <c r="Q99" s="8" t="s">
        <v>187</v>
      </c>
      <c r="R99" s="8" t="s">
        <v>1</v>
      </c>
      <c r="S99" t="s">
        <v>18</v>
      </c>
      <c r="T99" s="8" t="s">
        <v>187</v>
      </c>
      <c r="U99" s="8" t="s">
        <v>1</v>
      </c>
      <c r="V99" t="s">
        <v>18</v>
      </c>
      <c r="W99" s="8" t="s">
        <v>187</v>
      </c>
      <c r="X99" s="8" t="s">
        <v>1</v>
      </c>
      <c r="Y99">
        <f t="shared" si="1"/>
        <v>431</v>
      </c>
    </row>
    <row r="100" spans="1:25" ht="165" x14ac:dyDescent="0.25">
      <c r="A100" t="s">
        <v>15</v>
      </c>
      <c r="B100" t="s">
        <v>70</v>
      </c>
      <c r="C100" s="2" t="s">
        <v>1044</v>
      </c>
      <c r="D100" s="2" t="s">
        <v>1046</v>
      </c>
      <c r="E100" t="s">
        <v>118</v>
      </c>
      <c r="F100" s="2" t="s">
        <v>18</v>
      </c>
      <c r="G100" t="s">
        <v>18</v>
      </c>
      <c r="H100" s="2" t="s">
        <v>187</v>
      </c>
      <c r="I100" s="8" t="s">
        <v>1</v>
      </c>
      <c r="J100" t="s">
        <v>18</v>
      </c>
      <c r="K100" s="2" t="s">
        <v>187</v>
      </c>
      <c r="L100" s="2" t="s">
        <v>1</v>
      </c>
      <c r="M100" t="s">
        <v>18</v>
      </c>
      <c r="N100" s="8" t="s">
        <v>187</v>
      </c>
      <c r="O100" s="8" t="s">
        <v>1</v>
      </c>
      <c r="P100" t="s">
        <v>18</v>
      </c>
      <c r="Q100" s="8" t="s">
        <v>187</v>
      </c>
      <c r="R100" s="8" t="s">
        <v>1</v>
      </c>
      <c r="S100" t="s">
        <v>18</v>
      </c>
      <c r="T100" s="8" t="s">
        <v>187</v>
      </c>
      <c r="U100" s="8" t="s">
        <v>1</v>
      </c>
      <c r="V100" t="s">
        <v>18</v>
      </c>
      <c r="W100" s="8" t="s">
        <v>187</v>
      </c>
      <c r="X100" s="8" t="s">
        <v>1</v>
      </c>
      <c r="Y100">
        <f t="shared" si="1"/>
        <v>428</v>
      </c>
    </row>
    <row r="101" spans="1:25" ht="165" x14ac:dyDescent="0.25">
      <c r="A101" t="s">
        <v>15</v>
      </c>
      <c r="B101" t="s">
        <v>70</v>
      </c>
      <c r="C101" s="2" t="s">
        <v>1044</v>
      </c>
      <c r="D101" s="2" t="s">
        <v>1046</v>
      </c>
      <c r="E101" t="s">
        <v>119</v>
      </c>
      <c r="F101" s="2" t="s">
        <v>18</v>
      </c>
      <c r="G101" t="s">
        <v>18</v>
      </c>
      <c r="H101" s="2" t="s">
        <v>187</v>
      </c>
      <c r="I101" s="8" t="s">
        <v>1</v>
      </c>
      <c r="J101" t="s">
        <v>18</v>
      </c>
      <c r="K101" s="2" t="s">
        <v>187</v>
      </c>
      <c r="L101" s="2" t="s">
        <v>1</v>
      </c>
      <c r="M101" t="s">
        <v>18</v>
      </c>
      <c r="N101" s="8" t="s">
        <v>187</v>
      </c>
      <c r="O101" s="8" t="s">
        <v>1</v>
      </c>
      <c r="P101" t="s">
        <v>18</v>
      </c>
      <c r="Q101" s="8" t="s">
        <v>187</v>
      </c>
      <c r="R101" s="8" t="s">
        <v>1</v>
      </c>
      <c r="S101" t="s">
        <v>18</v>
      </c>
      <c r="T101" s="8" t="s">
        <v>187</v>
      </c>
      <c r="U101" s="8" t="s">
        <v>1</v>
      </c>
      <c r="V101" t="s">
        <v>18</v>
      </c>
      <c r="W101" s="8" t="s">
        <v>187</v>
      </c>
      <c r="X101" s="8" t="s">
        <v>1</v>
      </c>
      <c r="Y101">
        <f t="shared" si="1"/>
        <v>428</v>
      </c>
    </row>
    <row r="102" spans="1:25" ht="165" x14ac:dyDescent="0.25">
      <c r="A102" t="s">
        <v>15</v>
      </c>
      <c r="B102" t="s">
        <v>70</v>
      </c>
      <c r="C102" s="2" t="s">
        <v>1044</v>
      </c>
      <c r="D102" s="2" t="s">
        <v>1046</v>
      </c>
      <c r="E102" t="s">
        <v>120</v>
      </c>
      <c r="F102" s="2" t="s">
        <v>18</v>
      </c>
      <c r="G102" t="s">
        <v>18</v>
      </c>
      <c r="H102" s="2" t="s">
        <v>187</v>
      </c>
      <c r="I102" s="8" t="s">
        <v>1</v>
      </c>
      <c r="J102" t="s">
        <v>21</v>
      </c>
      <c r="K102" s="2" t="s">
        <v>194</v>
      </c>
      <c r="L102" s="2" t="s">
        <v>1</v>
      </c>
      <c r="M102" t="s">
        <v>21</v>
      </c>
      <c r="N102" s="9" t="s">
        <v>194</v>
      </c>
      <c r="O102" s="9" t="s">
        <v>1</v>
      </c>
      <c r="P102" t="s">
        <v>21</v>
      </c>
      <c r="Q102" s="9" t="s">
        <v>194</v>
      </c>
      <c r="R102" s="8" t="s">
        <v>1</v>
      </c>
      <c r="S102" t="s">
        <v>23</v>
      </c>
      <c r="T102" t="s">
        <v>194</v>
      </c>
      <c r="U102" t="s">
        <v>1</v>
      </c>
      <c r="V102" t="s">
        <v>21</v>
      </c>
      <c r="W102" s="8" t="s">
        <v>194</v>
      </c>
      <c r="X102" s="8" t="s">
        <v>1</v>
      </c>
      <c r="Y102">
        <f t="shared" si="1"/>
        <v>421</v>
      </c>
    </row>
    <row r="103" spans="1:25" ht="165" x14ac:dyDescent="0.25">
      <c r="A103" t="s">
        <v>15</v>
      </c>
      <c r="B103" t="s">
        <v>70</v>
      </c>
      <c r="C103" s="2" t="s">
        <v>1044</v>
      </c>
      <c r="D103" s="2" t="s">
        <v>1046</v>
      </c>
      <c r="E103" t="s">
        <v>121</v>
      </c>
      <c r="F103" s="2" t="s">
        <v>18</v>
      </c>
      <c r="G103" t="s">
        <v>18</v>
      </c>
      <c r="H103" s="2" t="s">
        <v>187</v>
      </c>
      <c r="I103" s="8" t="s">
        <v>1</v>
      </c>
      <c r="J103" t="s">
        <v>18</v>
      </c>
      <c r="K103" s="2" t="s">
        <v>187</v>
      </c>
      <c r="L103" s="2" t="s">
        <v>1</v>
      </c>
      <c r="M103" t="s">
        <v>18</v>
      </c>
      <c r="N103" s="8" t="s">
        <v>187</v>
      </c>
      <c r="O103" s="8" t="s">
        <v>1</v>
      </c>
      <c r="P103" t="s">
        <v>18</v>
      </c>
      <c r="Q103" s="8" t="s">
        <v>187</v>
      </c>
      <c r="R103" s="8" t="s">
        <v>1</v>
      </c>
      <c r="S103" t="s">
        <v>18</v>
      </c>
      <c r="T103" s="8" t="s">
        <v>187</v>
      </c>
      <c r="U103" s="8" t="s">
        <v>1</v>
      </c>
      <c r="V103" t="s">
        <v>18</v>
      </c>
      <c r="W103" s="8" t="s">
        <v>187</v>
      </c>
      <c r="X103" s="8" t="s">
        <v>1</v>
      </c>
      <c r="Y103">
        <f t="shared" si="1"/>
        <v>427</v>
      </c>
    </row>
    <row r="104" spans="1:25" ht="165" x14ac:dyDescent="0.25">
      <c r="A104" t="s">
        <v>15</v>
      </c>
      <c r="B104" t="s">
        <v>70</v>
      </c>
      <c r="C104" s="2" t="s">
        <v>1044</v>
      </c>
      <c r="D104" s="2" t="s">
        <v>1046</v>
      </c>
      <c r="E104" t="s">
        <v>122</v>
      </c>
      <c r="F104" s="2" t="s">
        <v>18</v>
      </c>
      <c r="G104" t="s">
        <v>18</v>
      </c>
      <c r="H104" s="2" t="s">
        <v>187</v>
      </c>
      <c r="I104" s="8" t="s">
        <v>1</v>
      </c>
      <c r="J104" t="s">
        <v>18</v>
      </c>
      <c r="K104" s="2" t="s">
        <v>187</v>
      </c>
      <c r="L104" s="2" t="s">
        <v>1</v>
      </c>
      <c r="M104" t="s">
        <v>18</v>
      </c>
      <c r="N104" s="8" t="s">
        <v>187</v>
      </c>
      <c r="O104" s="8" t="s">
        <v>1</v>
      </c>
      <c r="P104" t="s">
        <v>18</v>
      </c>
      <c r="Q104" s="8" t="s">
        <v>187</v>
      </c>
      <c r="R104" s="8" t="s">
        <v>1</v>
      </c>
      <c r="S104" t="s">
        <v>18</v>
      </c>
      <c r="T104" s="8" t="s">
        <v>187</v>
      </c>
      <c r="U104" s="8" t="s">
        <v>1</v>
      </c>
      <c r="V104" t="s">
        <v>18</v>
      </c>
      <c r="W104" s="8" t="s">
        <v>187</v>
      </c>
      <c r="X104" s="8" t="s">
        <v>1</v>
      </c>
      <c r="Y104">
        <f t="shared" si="1"/>
        <v>422</v>
      </c>
    </row>
    <row r="105" spans="1:25" ht="165" x14ac:dyDescent="0.25">
      <c r="A105" t="s">
        <v>15</v>
      </c>
      <c r="B105" t="s">
        <v>70</v>
      </c>
      <c r="C105" s="2" t="s">
        <v>1044</v>
      </c>
      <c r="D105" s="2" t="s">
        <v>1046</v>
      </c>
      <c r="E105" t="s">
        <v>123</v>
      </c>
      <c r="F105" s="2" t="s">
        <v>18</v>
      </c>
      <c r="G105" t="s">
        <v>18</v>
      </c>
      <c r="H105" s="2" t="s">
        <v>187</v>
      </c>
      <c r="I105" s="8" t="s">
        <v>1</v>
      </c>
      <c r="J105" t="s">
        <v>18</v>
      </c>
      <c r="K105" s="2" t="s">
        <v>187</v>
      </c>
      <c r="L105" s="2" t="s">
        <v>1</v>
      </c>
      <c r="M105" t="s">
        <v>18</v>
      </c>
      <c r="N105" s="8" t="s">
        <v>187</v>
      </c>
      <c r="O105" s="8" t="s">
        <v>1</v>
      </c>
      <c r="P105" t="s">
        <v>18</v>
      </c>
      <c r="Q105" s="8" t="s">
        <v>187</v>
      </c>
      <c r="R105" s="8" t="s">
        <v>1</v>
      </c>
      <c r="S105" t="s">
        <v>18</v>
      </c>
      <c r="T105" s="8" t="s">
        <v>187</v>
      </c>
      <c r="U105" s="8" t="s">
        <v>1</v>
      </c>
      <c r="V105" t="s">
        <v>18</v>
      </c>
      <c r="W105" s="8" t="s">
        <v>187</v>
      </c>
      <c r="X105" s="8" t="s">
        <v>1</v>
      </c>
      <c r="Y105">
        <f t="shared" si="1"/>
        <v>421</v>
      </c>
    </row>
    <row r="106" spans="1:25" ht="255" x14ac:dyDescent="0.25">
      <c r="A106" t="s">
        <v>15</v>
      </c>
      <c r="B106" t="s">
        <v>124</v>
      </c>
      <c r="C106" s="2" t="s">
        <v>1044</v>
      </c>
      <c r="D106" s="2" t="s">
        <v>1047</v>
      </c>
      <c r="E106" t="s">
        <v>125</v>
      </c>
      <c r="F106" s="2" t="s">
        <v>23</v>
      </c>
      <c r="G106" t="s">
        <v>23</v>
      </c>
      <c r="H106" s="8" t="s">
        <v>187</v>
      </c>
      <c r="I106" s="8" t="s">
        <v>1</v>
      </c>
      <c r="J106" t="s">
        <v>23</v>
      </c>
      <c r="K106" s="2" t="s">
        <v>187</v>
      </c>
      <c r="L106" s="2" t="s">
        <v>1</v>
      </c>
      <c r="M106" t="s">
        <v>23</v>
      </c>
      <c r="N106" s="8" t="s">
        <v>187</v>
      </c>
      <c r="O106" s="8" t="s">
        <v>1</v>
      </c>
      <c r="P106" t="s">
        <v>23</v>
      </c>
      <c r="Q106" s="8" t="s">
        <v>187</v>
      </c>
      <c r="R106" s="8" t="s">
        <v>1</v>
      </c>
      <c r="S106" t="s">
        <v>23</v>
      </c>
      <c r="T106" s="8" t="s">
        <v>187</v>
      </c>
      <c r="U106" s="8" t="s">
        <v>1</v>
      </c>
      <c r="V106" t="s">
        <v>23</v>
      </c>
      <c r="W106" s="8" t="s">
        <v>187</v>
      </c>
      <c r="X106" s="8" t="s">
        <v>1</v>
      </c>
      <c r="Y106">
        <f t="shared" si="1"/>
        <v>527</v>
      </c>
    </row>
    <row r="107" spans="1:25" ht="255" x14ac:dyDescent="0.25">
      <c r="A107" t="s">
        <v>15</v>
      </c>
      <c r="B107" t="s">
        <v>124</v>
      </c>
      <c r="C107" s="2" t="s">
        <v>1044</v>
      </c>
      <c r="D107" s="2" t="s">
        <v>1047</v>
      </c>
      <c r="E107" t="s">
        <v>126</v>
      </c>
      <c r="F107" s="2" t="s">
        <v>23</v>
      </c>
      <c r="G107" t="s">
        <v>23</v>
      </c>
      <c r="H107" s="8" t="s">
        <v>187</v>
      </c>
      <c r="I107" s="8" t="s">
        <v>1</v>
      </c>
      <c r="J107" t="s">
        <v>23</v>
      </c>
      <c r="K107" s="2" t="s">
        <v>187</v>
      </c>
      <c r="L107" s="2" t="s">
        <v>1</v>
      </c>
      <c r="M107" t="s">
        <v>23</v>
      </c>
      <c r="N107" s="8" t="s">
        <v>187</v>
      </c>
      <c r="O107" s="8" t="s">
        <v>1</v>
      </c>
      <c r="P107" t="s">
        <v>1040</v>
      </c>
      <c r="Q107" s="8" t="s">
        <v>187</v>
      </c>
      <c r="R107" s="8" t="s">
        <v>1</v>
      </c>
      <c r="S107" t="s">
        <v>23</v>
      </c>
      <c r="T107" s="8" t="s">
        <v>187</v>
      </c>
      <c r="U107" s="8" t="s">
        <v>1</v>
      </c>
      <c r="V107" t="s">
        <v>23</v>
      </c>
      <c r="W107" s="8" t="s">
        <v>187</v>
      </c>
      <c r="X107" s="8" t="s">
        <v>1</v>
      </c>
      <c r="Y107">
        <f t="shared" si="1"/>
        <v>524</v>
      </c>
    </row>
    <row r="108" spans="1:25" ht="255" x14ac:dyDescent="0.25">
      <c r="A108" t="s">
        <v>15</v>
      </c>
      <c r="B108" t="s">
        <v>124</v>
      </c>
      <c r="C108" s="2" t="s">
        <v>1044</v>
      </c>
      <c r="D108" s="2" t="s">
        <v>1047</v>
      </c>
      <c r="E108" t="s">
        <v>127</v>
      </c>
      <c r="F108" s="2" t="s">
        <v>23</v>
      </c>
      <c r="G108" t="s">
        <v>23</v>
      </c>
      <c r="H108" s="8" t="s">
        <v>187</v>
      </c>
      <c r="I108" s="8" t="s">
        <v>1</v>
      </c>
      <c r="J108" t="s">
        <v>23</v>
      </c>
      <c r="K108" s="2" t="s">
        <v>187</v>
      </c>
      <c r="L108" s="2" t="s">
        <v>1</v>
      </c>
      <c r="M108" t="s">
        <v>23</v>
      </c>
      <c r="N108" s="8" t="s">
        <v>187</v>
      </c>
      <c r="O108" s="8" t="s">
        <v>1</v>
      </c>
      <c r="P108" t="s">
        <v>23</v>
      </c>
      <c r="Q108" s="8" t="s">
        <v>187</v>
      </c>
      <c r="R108" s="8" t="s">
        <v>1</v>
      </c>
      <c r="S108" t="s">
        <v>23</v>
      </c>
      <c r="T108" s="8" t="s">
        <v>187</v>
      </c>
      <c r="U108" s="8" t="s">
        <v>1</v>
      </c>
      <c r="V108" t="s">
        <v>23</v>
      </c>
      <c r="W108" s="8" t="s">
        <v>187</v>
      </c>
      <c r="X108" s="8" t="s">
        <v>1</v>
      </c>
      <c r="Y108">
        <f t="shared" si="1"/>
        <v>540</v>
      </c>
    </row>
    <row r="109" spans="1:25" ht="255" x14ac:dyDescent="0.25">
      <c r="A109" t="s">
        <v>15</v>
      </c>
      <c r="B109" t="s">
        <v>124</v>
      </c>
      <c r="C109" s="2" t="s">
        <v>1044</v>
      </c>
      <c r="D109" s="2" t="s">
        <v>1047</v>
      </c>
      <c r="E109" t="s">
        <v>128</v>
      </c>
      <c r="F109" s="2" t="s">
        <v>23</v>
      </c>
      <c r="G109" t="s">
        <v>23</v>
      </c>
      <c r="H109" s="8" t="s">
        <v>187</v>
      </c>
      <c r="I109" s="8" t="s">
        <v>1</v>
      </c>
      <c r="J109" t="s">
        <v>23</v>
      </c>
      <c r="K109" s="2" t="s">
        <v>187</v>
      </c>
      <c r="L109" s="2" t="s">
        <v>1</v>
      </c>
      <c r="M109" t="s">
        <v>23</v>
      </c>
      <c r="N109" s="8" t="s">
        <v>187</v>
      </c>
      <c r="O109" s="8" t="s">
        <v>1</v>
      </c>
      <c r="P109" t="s">
        <v>182</v>
      </c>
      <c r="Q109" s="8" t="s">
        <v>187</v>
      </c>
      <c r="R109" s="8" t="s">
        <v>1</v>
      </c>
      <c r="S109" t="s">
        <v>23</v>
      </c>
      <c r="T109" s="8" t="s">
        <v>187</v>
      </c>
      <c r="U109" s="8" t="s">
        <v>1</v>
      </c>
      <c r="V109" t="s">
        <v>1063</v>
      </c>
      <c r="W109" s="8" t="s">
        <v>194</v>
      </c>
      <c r="X109" s="8" t="s">
        <v>1</v>
      </c>
      <c r="Y109">
        <f t="shared" si="1"/>
        <v>529</v>
      </c>
    </row>
    <row r="110" spans="1:25" ht="255" x14ac:dyDescent="0.25">
      <c r="A110" t="s">
        <v>15</v>
      </c>
      <c r="B110" t="s">
        <v>124</v>
      </c>
      <c r="C110" s="2" t="s">
        <v>1044</v>
      </c>
      <c r="D110" s="2" t="s">
        <v>1047</v>
      </c>
      <c r="E110" t="s">
        <v>129</v>
      </c>
      <c r="F110" s="2" t="s">
        <v>18</v>
      </c>
      <c r="G110" t="s">
        <v>23</v>
      </c>
      <c r="H110" s="8" t="s">
        <v>194</v>
      </c>
      <c r="I110" s="8" t="s">
        <v>1</v>
      </c>
      <c r="J110" t="s">
        <v>1033</v>
      </c>
      <c r="K110" s="2" t="s">
        <v>3</v>
      </c>
      <c r="L110" s="2" t="s">
        <v>1</v>
      </c>
      <c r="M110" t="s">
        <v>23</v>
      </c>
      <c r="N110" s="9" t="s">
        <v>194</v>
      </c>
      <c r="O110" s="9" t="s">
        <v>1</v>
      </c>
      <c r="P110" t="s">
        <v>1041</v>
      </c>
      <c r="Q110" s="8" t="s">
        <v>187</v>
      </c>
      <c r="R110" s="8" t="s">
        <v>1</v>
      </c>
      <c r="S110" t="s">
        <v>23</v>
      </c>
      <c r="T110" t="s">
        <v>194</v>
      </c>
      <c r="U110" t="s">
        <v>1</v>
      </c>
      <c r="V110" t="s">
        <v>23</v>
      </c>
      <c r="W110" s="8" t="s">
        <v>194</v>
      </c>
      <c r="X110" s="8" t="s">
        <v>1</v>
      </c>
      <c r="Y110">
        <f t="shared" si="1"/>
        <v>515</v>
      </c>
    </row>
    <row r="111" spans="1:25" ht="255" x14ac:dyDescent="0.25">
      <c r="A111" t="s">
        <v>15</v>
      </c>
      <c r="B111" t="s">
        <v>124</v>
      </c>
      <c r="C111" s="2" t="s">
        <v>1044</v>
      </c>
      <c r="D111" s="2" t="s">
        <v>1047</v>
      </c>
      <c r="E111" t="s">
        <v>130</v>
      </c>
      <c r="F111" s="2" t="s">
        <v>23</v>
      </c>
      <c r="G111" t="s">
        <v>23</v>
      </c>
      <c r="H111" s="8" t="s">
        <v>187</v>
      </c>
      <c r="I111" s="8" t="s">
        <v>1</v>
      </c>
      <c r="J111" t="s">
        <v>182</v>
      </c>
      <c r="K111" t="s">
        <v>187</v>
      </c>
      <c r="L111" s="2" t="s">
        <v>1</v>
      </c>
      <c r="M111" t="s">
        <v>23</v>
      </c>
      <c r="N111" s="8" t="s">
        <v>187</v>
      </c>
      <c r="O111" s="8" t="s">
        <v>1</v>
      </c>
      <c r="P111" t="s">
        <v>182</v>
      </c>
      <c r="Q111" s="8" t="s">
        <v>187</v>
      </c>
      <c r="R111" s="8" t="s">
        <v>1</v>
      </c>
      <c r="S111" t="s">
        <v>23</v>
      </c>
      <c r="T111" s="8" t="s">
        <v>187</v>
      </c>
      <c r="U111" s="8" t="s">
        <v>1</v>
      </c>
      <c r="V111" t="s">
        <v>23</v>
      </c>
      <c r="W111" s="8" t="s">
        <v>187</v>
      </c>
      <c r="X111" s="8" t="s">
        <v>1</v>
      </c>
      <c r="Y111">
        <f t="shared" si="1"/>
        <v>519</v>
      </c>
    </row>
    <row r="112" spans="1:25" ht="255" x14ac:dyDescent="0.25">
      <c r="A112" t="s">
        <v>15</v>
      </c>
      <c r="B112" t="s">
        <v>124</v>
      </c>
      <c r="C112" s="2" t="s">
        <v>1044</v>
      </c>
      <c r="D112" s="2" t="s">
        <v>1047</v>
      </c>
      <c r="E112" t="s">
        <v>131</v>
      </c>
      <c r="F112" s="2" t="s">
        <v>23</v>
      </c>
      <c r="G112" t="s">
        <v>23</v>
      </c>
      <c r="H112" s="8" t="s">
        <v>187</v>
      </c>
      <c r="I112" s="8" t="s">
        <v>1</v>
      </c>
      <c r="J112" t="s">
        <v>23</v>
      </c>
      <c r="K112" s="2" t="s">
        <v>187</v>
      </c>
      <c r="L112" s="2" t="s">
        <v>1</v>
      </c>
      <c r="M112" t="s">
        <v>23</v>
      </c>
      <c r="N112" s="8" t="s">
        <v>187</v>
      </c>
      <c r="O112" s="8" t="s">
        <v>1</v>
      </c>
      <c r="P112" t="s">
        <v>23</v>
      </c>
      <c r="Q112" s="8" t="s">
        <v>187</v>
      </c>
      <c r="R112" s="8" t="s">
        <v>1</v>
      </c>
      <c r="S112" t="s">
        <v>23</v>
      </c>
      <c r="T112" s="8" t="s">
        <v>187</v>
      </c>
      <c r="U112" s="8" t="s">
        <v>1</v>
      </c>
      <c r="V112" t="s">
        <v>23</v>
      </c>
      <c r="W112" s="8" t="s">
        <v>187</v>
      </c>
      <c r="X112" s="8" t="s">
        <v>1</v>
      </c>
      <c r="Y112">
        <f t="shared" si="1"/>
        <v>517</v>
      </c>
    </row>
    <row r="113" spans="1:25" ht="255" x14ac:dyDescent="0.25">
      <c r="A113" t="s">
        <v>15</v>
      </c>
      <c r="B113" t="s">
        <v>124</v>
      </c>
      <c r="C113" s="2" t="s">
        <v>1044</v>
      </c>
      <c r="D113" s="2" t="s">
        <v>1047</v>
      </c>
      <c r="E113" t="s">
        <v>132</v>
      </c>
      <c r="F113" s="2" t="s">
        <v>23</v>
      </c>
      <c r="G113" t="s">
        <v>23</v>
      </c>
      <c r="H113" s="8" t="s">
        <v>187</v>
      </c>
      <c r="I113" s="8" t="s">
        <v>1</v>
      </c>
      <c r="J113" t="s">
        <v>1034</v>
      </c>
      <c r="K113" s="2" t="s">
        <v>3</v>
      </c>
      <c r="L113" s="2" t="s">
        <v>1</v>
      </c>
      <c r="M113" t="s">
        <v>23</v>
      </c>
      <c r="N113" s="8" t="s">
        <v>187</v>
      </c>
      <c r="O113" s="8" t="s">
        <v>1</v>
      </c>
      <c r="P113" t="s">
        <v>182</v>
      </c>
      <c r="Q113" s="8" t="s">
        <v>187</v>
      </c>
      <c r="R113" s="8" t="s">
        <v>1</v>
      </c>
      <c r="S113" t="s">
        <v>23</v>
      </c>
      <c r="T113" s="8" t="s">
        <v>187</v>
      </c>
      <c r="U113" s="8" t="s">
        <v>1</v>
      </c>
      <c r="V113" t="s">
        <v>23</v>
      </c>
      <c r="W113" s="8" t="s">
        <v>187</v>
      </c>
      <c r="X113" s="8" t="s">
        <v>1</v>
      </c>
      <c r="Y113">
        <f t="shared" si="1"/>
        <v>518</v>
      </c>
    </row>
    <row r="114" spans="1:25" ht="255" x14ac:dyDescent="0.25">
      <c r="A114" t="s">
        <v>15</v>
      </c>
      <c r="B114" t="s">
        <v>124</v>
      </c>
      <c r="C114" s="2" t="s">
        <v>1044</v>
      </c>
      <c r="D114" s="2" t="s">
        <v>1047</v>
      </c>
      <c r="E114" t="s">
        <v>133</v>
      </c>
      <c r="F114" s="2" t="s">
        <v>23</v>
      </c>
      <c r="G114" t="s">
        <v>23</v>
      </c>
      <c r="H114" s="8" t="s">
        <v>187</v>
      </c>
      <c r="I114" s="8" t="s">
        <v>1</v>
      </c>
      <c r="J114" t="s">
        <v>182</v>
      </c>
      <c r="K114" s="2" t="s">
        <v>187</v>
      </c>
      <c r="L114" s="2" t="s">
        <v>1</v>
      </c>
      <c r="M114" t="s">
        <v>23</v>
      </c>
      <c r="N114" s="8" t="s">
        <v>187</v>
      </c>
      <c r="O114" s="8" t="s">
        <v>1</v>
      </c>
      <c r="P114" t="s">
        <v>182</v>
      </c>
      <c r="Q114" s="8" t="s">
        <v>187</v>
      </c>
      <c r="R114" s="8" t="s">
        <v>1</v>
      </c>
      <c r="S114" t="s">
        <v>23</v>
      </c>
      <c r="T114" s="8" t="s">
        <v>187</v>
      </c>
      <c r="U114" s="8" t="s">
        <v>1</v>
      </c>
      <c r="V114" t="s">
        <v>23</v>
      </c>
      <c r="W114" s="8" t="s">
        <v>187</v>
      </c>
      <c r="X114" s="8" t="s">
        <v>1</v>
      </c>
      <c r="Y114">
        <f t="shared" si="1"/>
        <v>524</v>
      </c>
    </row>
    <row r="115" spans="1:25" ht="255" x14ac:dyDescent="0.25">
      <c r="A115" t="s">
        <v>15</v>
      </c>
      <c r="B115" t="s">
        <v>124</v>
      </c>
      <c r="C115" s="2" t="s">
        <v>1044</v>
      </c>
      <c r="D115" s="2" t="s">
        <v>1047</v>
      </c>
      <c r="E115" t="s">
        <v>134</v>
      </c>
      <c r="F115" s="2" t="s">
        <v>23</v>
      </c>
      <c r="G115" t="s">
        <v>23</v>
      </c>
      <c r="H115" s="8" t="s">
        <v>187</v>
      </c>
      <c r="I115" s="8" t="s">
        <v>1</v>
      </c>
      <c r="J115" t="s">
        <v>23</v>
      </c>
      <c r="K115" s="2" t="s">
        <v>187</v>
      </c>
      <c r="L115" s="2" t="s">
        <v>1</v>
      </c>
      <c r="M115" t="s">
        <v>23</v>
      </c>
      <c r="N115" s="8" t="s">
        <v>187</v>
      </c>
      <c r="O115" s="8" t="s">
        <v>1</v>
      </c>
      <c r="P115" t="s">
        <v>23</v>
      </c>
      <c r="Q115" s="8" t="s">
        <v>187</v>
      </c>
      <c r="R115" s="8" t="s">
        <v>1</v>
      </c>
      <c r="S115" t="s">
        <v>23</v>
      </c>
      <c r="T115" s="8" t="s">
        <v>187</v>
      </c>
      <c r="U115" s="8" t="s">
        <v>1</v>
      </c>
      <c r="V115" t="s">
        <v>23</v>
      </c>
      <c r="W115" s="8" t="s">
        <v>187</v>
      </c>
      <c r="X115" s="8" t="s">
        <v>1</v>
      </c>
      <c r="Y115">
        <f t="shared" si="1"/>
        <v>521</v>
      </c>
    </row>
    <row r="116" spans="1:25" ht="255" x14ac:dyDescent="0.25">
      <c r="A116" t="s">
        <v>15</v>
      </c>
      <c r="B116" t="s">
        <v>124</v>
      </c>
      <c r="C116" s="2" t="s">
        <v>1044</v>
      </c>
      <c r="D116" s="2" t="s">
        <v>1047</v>
      </c>
      <c r="E116" t="s">
        <v>135</v>
      </c>
      <c r="F116" s="2" t="s">
        <v>23</v>
      </c>
      <c r="G116" t="s">
        <v>23</v>
      </c>
      <c r="H116" s="8" t="s">
        <v>187</v>
      </c>
      <c r="I116" s="8" t="s">
        <v>1</v>
      </c>
      <c r="J116" t="s">
        <v>23</v>
      </c>
      <c r="K116" s="2" t="s">
        <v>187</v>
      </c>
      <c r="L116" s="2" t="s">
        <v>1</v>
      </c>
      <c r="M116" t="s">
        <v>23</v>
      </c>
      <c r="N116" s="8" t="s">
        <v>187</v>
      </c>
      <c r="O116" s="8" t="s">
        <v>1</v>
      </c>
      <c r="P116" t="s">
        <v>1034</v>
      </c>
      <c r="Q116" s="8" t="s">
        <v>3</v>
      </c>
      <c r="R116" s="8" t="s">
        <v>1</v>
      </c>
      <c r="S116" t="s">
        <v>23</v>
      </c>
      <c r="T116" s="8" t="s">
        <v>187</v>
      </c>
      <c r="U116" s="8" t="s">
        <v>1</v>
      </c>
      <c r="V116" t="s">
        <v>23</v>
      </c>
      <c r="W116" s="8" t="s">
        <v>187</v>
      </c>
      <c r="X116" s="8" t="s">
        <v>1</v>
      </c>
      <c r="Y116">
        <f t="shared" si="1"/>
        <v>516</v>
      </c>
    </row>
    <row r="117" spans="1:25" ht="255" x14ac:dyDescent="0.25">
      <c r="A117" t="s">
        <v>15</v>
      </c>
      <c r="B117" t="s">
        <v>124</v>
      </c>
      <c r="C117" s="2" t="s">
        <v>1044</v>
      </c>
      <c r="D117" s="2" t="s">
        <v>1047</v>
      </c>
      <c r="E117" t="s">
        <v>136</v>
      </c>
      <c r="F117" s="2" t="s">
        <v>23</v>
      </c>
      <c r="G117" t="s">
        <v>23</v>
      </c>
      <c r="H117" s="8" t="s">
        <v>187</v>
      </c>
      <c r="I117" s="8" t="s">
        <v>1</v>
      </c>
      <c r="J117" t="s">
        <v>1034</v>
      </c>
      <c r="K117" s="2" t="s">
        <v>3</v>
      </c>
      <c r="L117" s="2" t="s">
        <v>1</v>
      </c>
      <c r="M117" t="s">
        <v>23</v>
      </c>
      <c r="N117" s="8" t="s">
        <v>187</v>
      </c>
      <c r="O117" s="8" t="s">
        <v>1</v>
      </c>
      <c r="P117" t="s">
        <v>182</v>
      </c>
      <c r="Q117" s="8" t="s">
        <v>187</v>
      </c>
      <c r="R117" s="8" t="s">
        <v>1</v>
      </c>
      <c r="S117" t="s">
        <v>23</v>
      </c>
      <c r="T117" s="8" t="s">
        <v>187</v>
      </c>
      <c r="U117" s="8" t="s">
        <v>1</v>
      </c>
      <c r="V117" t="s">
        <v>23</v>
      </c>
      <c r="W117" s="8" t="s">
        <v>187</v>
      </c>
      <c r="X117" s="8" t="s">
        <v>1</v>
      </c>
      <c r="Y117">
        <f t="shared" si="1"/>
        <v>527</v>
      </c>
    </row>
    <row r="118" spans="1:25" ht="255" x14ac:dyDescent="0.25">
      <c r="A118" t="s">
        <v>15</v>
      </c>
      <c r="B118" t="s">
        <v>124</v>
      </c>
      <c r="C118" s="2" t="s">
        <v>1044</v>
      </c>
      <c r="D118" s="2" t="s">
        <v>1047</v>
      </c>
      <c r="E118" t="s">
        <v>137</v>
      </c>
      <c r="F118" s="2" t="s">
        <v>23</v>
      </c>
      <c r="G118" t="s">
        <v>23</v>
      </c>
      <c r="H118" s="8" t="s">
        <v>187</v>
      </c>
      <c r="I118" s="8" t="s">
        <v>1</v>
      </c>
      <c r="J118" t="s">
        <v>23</v>
      </c>
      <c r="K118" s="2" t="s">
        <v>187</v>
      </c>
      <c r="L118" s="2" t="s">
        <v>1</v>
      </c>
      <c r="M118" t="s">
        <v>23</v>
      </c>
      <c r="N118" s="8" t="s">
        <v>187</v>
      </c>
      <c r="O118" s="8" t="s">
        <v>1</v>
      </c>
      <c r="P118" t="s">
        <v>1040</v>
      </c>
      <c r="Q118" s="8" t="s">
        <v>187</v>
      </c>
      <c r="R118" s="8" t="s">
        <v>1</v>
      </c>
      <c r="S118" t="s">
        <v>23</v>
      </c>
      <c r="T118" s="8" t="s">
        <v>187</v>
      </c>
      <c r="U118" s="8" t="s">
        <v>1</v>
      </c>
      <c r="V118" t="s">
        <v>23</v>
      </c>
      <c r="W118" s="8" t="s">
        <v>187</v>
      </c>
      <c r="X118" s="8" t="s">
        <v>1</v>
      </c>
      <c r="Y118">
        <f t="shared" si="1"/>
        <v>524</v>
      </c>
    </row>
    <row r="119" spans="1:25" ht="255" x14ac:dyDescent="0.25">
      <c r="A119" t="s">
        <v>15</v>
      </c>
      <c r="B119" t="s">
        <v>124</v>
      </c>
      <c r="C119" s="2" t="s">
        <v>1044</v>
      </c>
      <c r="D119" s="2" t="s">
        <v>1047</v>
      </c>
      <c r="E119" t="s">
        <v>138</v>
      </c>
      <c r="F119" s="2" t="s">
        <v>23</v>
      </c>
      <c r="G119" t="s">
        <v>23</v>
      </c>
      <c r="H119" s="8" t="s">
        <v>187</v>
      </c>
      <c r="I119" s="8" t="s">
        <v>1</v>
      </c>
      <c r="J119" t="s">
        <v>23</v>
      </c>
      <c r="K119" s="2" t="s">
        <v>187</v>
      </c>
      <c r="L119" s="2" t="s">
        <v>1</v>
      </c>
      <c r="M119" t="s">
        <v>23</v>
      </c>
      <c r="N119" s="8" t="s">
        <v>187</v>
      </c>
      <c r="O119" s="8" t="s">
        <v>1</v>
      </c>
      <c r="P119" t="s">
        <v>182</v>
      </c>
      <c r="Q119" s="8" t="s">
        <v>187</v>
      </c>
      <c r="R119" s="8" t="s">
        <v>1</v>
      </c>
      <c r="S119" t="s">
        <v>23</v>
      </c>
      <c r="T119" s="8" t="s">
        <v>187</v>
      </c>
      <c r="U119" s="8" t="s">
        <v>1</v>
      </c>
      <c r="V119" t="s">
        <v>23</v>
      </c>
      <c r="W119" s="8" t="s">
        <v>187</v>
      </c>
      <c r="X119" s="8" t="s">
        <v>1</v>
      </c>
      <c r="Y119">
        <f t="shared" si="1"/>
        <v>522</v>
      </c>
    </row>
    <row r="120" spans="1:25" ht="255" x14ac:dyDescent="0.25">
      <c r="A120" t="s">
        <v>15</v>
      </c>
      <c r="B120" t="s">
        <v>124</v>
      </c>
      <c r="C120" s="2" t="s">
        <v>1044</v>
      </c>
      <c r="D120" s="2" t="s">
        <v>1047</v>
      </c>
      <c r="E120" t="s">
        <v>139</v>
      </c>
      <c r="F120" s="2" t="s">
        <v>23</v>
      </c>
      <c r="G120" t="s">
        <v>23</v>
      </c>
      <c r="H120" s="8" t="s">
        <v>187</v>
      </c>
      <c r="I120" s="8" t="s">
        <v>1</v>
      </c>
      <c r="J120" t="s">
        <v>23</v>
      </c>
      <c r="K120" s="2" t="s">
        <v>187</v>
      </c>
      <c r="L120" s="2" t="s">
        <v>1</v>
      </c>
      <c r="M120" t="s">
        <v>23</v>
      </c>
      <c r="N120" s="8" t="s">
        <v>187</v>
      </c>
      <c r="O120" s="8" t="s">
        <v>1</v>
      </c>
      <c r="P120" t="s">
        <v>1042</v>
      </c>
      <c r="Q120" s="8" t="s">
        <v>187</v>
      </c>
      <c r="R120" s="8" t="s">
        <v>1</v>
      </c>
      <c r="S120" t="s">
        <v>23</v>
      </c>
      <c r="T120" s="8" t="s">
        <v>187</v>
      </c>
      <c r="U120" s="8" t="s">
        <v>1</v>
      </c>
      <c r="V120" t="s">
        <v>23</v>
      </c>
      <c r="W120" s="8" t="s">
        <v>187</v>
      </c>
      <c r="X120" s="8" t="s">
        <v>1</v>
      </c>
      <c r="Y120">
        <f t="shared" si="1"/>
        <v>508</v>
      </c>
    </row>
    <row r="121" spans="1:25" ht="255" x14ac:dyDescent="0.25">
      <c r="A121" t="s">
        <v>15</v>
      </c>
      <c r="B121" t="s">
        <v>124</v>
      </c>
      <c r="C121" s="2" t="s">
        <v>1044</v>
      </c>
      <c r="D121" s="2" t="s">
        <v>1047</v>
      </c>
      <c r="E121" t="s">
        <v>140</v>
      </c>
      <c r="F121" s="2" t="s">
        <v>18</v>
      </c>
      <c r="G121" t="s">
        <v>18</v>
      </c>
      <c r="H121" s="2" t="s">
        <v>187</v>
      </c>
      <c r="I121" s="8" t="s">
        <v>1</v>
      </c>
      <c r="J121" t="s">
        <v>18</v>
      </c>
      <c r="K121" s="2" t="s">
        <v>187</v>
      </c>
      <c r="L121" s="2" t="s">
        <v>1</v>
      </c>
      <c r="M121" t="s">
        <v>23</v>
      </c>
      <c r="N121" s="9" t="s">
        <v>194</v>
      </c>
      <c r="O121" s="9" t="s">
        <v>1</v>
      </c>
      <c r="P121" t="s">
        <v>18</v>
      </c>
      <c r="Q121" s="8" t="s">
        <v>187</v>
      </c>
      <c r="R121" s="8" t="s">
        <v>1</v>
      </c>
      <c r="S121" t="s">
        <v>18</v>
      </c>
      <c r="T121" s="8" t="s">
        <v>187</v>
      </c>
      <c r="U121" s="8" t="s">
        <v>1</v>
      </c>
      <c r="V121" t="s">
        <v>18</v>
      </c>
      <c r="W121" s="8" t="s">
        <v>187</v>
      </c>
      <c r="X121" s="8" t="s">
        <v>1</v>
      </c>
      <c r="Y121">
        <f t="shared" si="1"/>
        <v>511</v>
      </c>
    </row>
    <row r="122" spans="1:25" ht="255" x14ac:dyDescent="0.25">
      <c r="A122" t="s">
        <v>15</v>
      </c>
      <c r="B122" t="s">
        <v>124</v>
      </c>
      <c r="C122" s="2" t="s">
        <v>1044</v>
      </c>
      <c r="D122" s="2" t="s">
        <v>1047</v>
      </c>
      <c r="E122" t="s">
        <v>141</v>
      </c>
      <c r="F122" s="2" t="s">
        <v>21</v>
      </c>
      <c r="G122" t="s">
        <v>21</v>
      </c>
      <c r="H122" s="2" t="s">
        <v>187</v>
      </c>
      <c r="I122" s="8" t="s">
        <v>1</v>
      </c>
      <c r="J122" t="s">
        <v>358</v>
      </c>
      <c r="K122" s="2" t="s">
        <v>187</v>
      </c>
      <c r="L122" s="2" t="s">
        <v>1</v>
      </c>
      <c r="M122" t="s">
        <v>21</v>
      </c>
      <c r="N122" s="8" t="s">
        <v>187</v>
      </c>
      <c r="O122" s="8" t="s">
        <v>1</v>
      </c>
      <c r="P122" t="s">
        <v>358</v>
      </c>
      <c r="Q122" s="8" t="s">
        <v>187</v>
      </c>
      <c r="R122" s="8" t="s">
        <v>1</v>
      </c>
      <c r="S122" t="s">
        <v>21</v>
      </c>
      <c r="T122" s="8" t="s">
        <v>187</v>
      </c>
      <c r="U122" s="8" t="s">
        <v>1</v>
      </c>
      <c r="V122" t="s">
        <v>21</v>
      </c>
      <c r="W122" s="8" t="s">
        <v>187</v>
      </c>
      <c r="X122" s="8" t="s">
        <v>1</v>
      </c>
      <c r="Y122">
        <f t="shared" si="1"/>
        <v>521</v>
      </c>
    </row>
    <row r="123" spans="1:25" ht="255" x14ac:dyDescent="0.25">
      <c r="A123" t="s">
        <v>15</v>
      </c>
      <c r="B123" t="s">
        <v>124</v>
      </c>
      <c r="C123" s="2" t="s">
        <v>1044</v>
      </c>
      <c r="D123" s="2" t="s">
        <v>1047</v>
      </c>
      <c r="E123" t="s">
        <v>142</v>
      </c>
      <c r="F123" s="2" t="s">
        <v>21</v>
      </c>
      <c r="G123" t="s">
        <v>21</v>
      </c>
      <c r="H123" s="2" t="s">
        <v>187</v>
      </c>
      <c r="I123" s="8" t="s">
        <v>1</v>
      </c>
      <c r="J123" t="s">
        <v>21</v>
      </c>
      <c r="K123" s="2" t="s">
        <v>187</v>
      </c>
      <c r="L123" s="2" t="s">
        <v>1</v>
      </c>
      <c r="M123" t="s">
        <v>21</v>
      </c>
      <c r="N123" s="8" t="s">
        <v>187</v>
      </c>
      <c r="O123" s="8" t="s">
        <v>1</v>
      </c>
      <c r="P123" t="s">
        <v>21</v>
      </c>
      <c r="Q123" s="8" t="s">
        <v>187</v>
      </c>
      <c r="R123" s="8" t="s">
        <v>1</v>
      </c>
      <c r="S123" t="s">
        <v>21</v>
      </c>
      <c r="T123" s="8" t="s">
        <v>187</v>
      </c>
      <c r="U123" s="8" t="s">
        <v>1</v>
      </c>
      <c r="V123" t="s">
        <v>21</v>
      </c>
      <c r="W123" s="8" t="s">
        <v>187</v>
      </c>
      <c r="X123" s="8" t="s">
        <v>1</v>
      </c>
      <c r="Y123">
        <f t="shared" si="1"/>
        <v>525</v>
      </c>
    </row>
    <row r="124" spans="1:25" ht="255" x14ac:dyDescent="0.25">
      <c r="A124" t="s">
        <v>15</v>
      </c>
      <c r="B124" t="s">
        <v>124</v>
      </c>
      <c r="C124" s="2" t="s">
        <v>1044</v>
      </c>
      <c r="D124" s="2" t="s">
        <v>1047</v>
      </c>
      <c r="E124" t="s">
        <v>143</v>
      </c>
      <c r="F124" s="2" t="s">
        <v>21</v>
      </c>
      <c r="G124" t="s">
        <v>21</v>
      </c>
      <c r="H124" s="2" t="s">
        <v>187</v>
      </c>
      <c r="I124" s="8" t="s">
        <v>1</v>
      </c>
      <c r="J124" t="s">
        <v>21</v>
      </c>
      <c r="K124" s="2" t="s">
        <v>187</v>
      </c>
      <c r="L124" s="2" t="s">
        <v>1</v>
      </c>
      <c r="M124" t="s">
        <v>21</v>
      </c>
      <c r="N124" s="8" t="s">
        <v>187</v>
      </c>
      <c r="O124" s="8" t="s">
        <v>1</v>
      </c>
      <c r="P124" t="s">
        <v>21</v>
      </c>
      <c r="Q124" s="8" t="s">
        <v>187</v>
      </c>
      <c r="R124" s="8" t="s">
        <v>1</v>
      </c>
      <c r="S124" t="s">
        <v>21</v>
      </c>
      <c r="T124" s="8" t="s">
        <v>187</v>
      </c>
      <c r="U124" s="8" t="s">
        <v>1</v>
      </c>
      <c r="V124" t="s">
        <v>21</v>
      </c>
      <c r="W124" s="8" t="s">
        <v>187</v>
      </c>
      <c r="X124" s="8" t="s">
        <v>1</v>
      </c>
      <c r="Y124">
        <f t="shared" si="1"/>
        <v>510</v>
      </c>
    </row>
    <row r="125" spans="1:25" ht="255" x14ac:dyDescent="0.25">
      <c r="A125" t="s">
        <v>15</v>
      </c>
      <c r="B125" t="s">
        <v>124</v>
      </c>
      <c r="C125" s="2" t="s">
        <v>1044</v>
      </c>
      <c r="D125" s="2" t="s">
        <v>1047</v>
      </c>
      <c r="E125" t="s">
        <v>144</v>
      </c>
      <c r="F125" s="2" t="s">
        <v>21</v>
      </c>
      <c r="G125" t="s">
        <v>21</v>
      </c>
      <c r="H125" s="2" t="s">
        <v>187</v>
      </c>
      <c r="I125" s="8" t="s">
        <v>1</v>
      </c>
      <c r="J125" t="s">
        <v>21</v>
      </c>
      <c r="K125" s="2" t="s">
        <v>187</v>
      </c>
      <c r="L125" s="2" t="s">
        <v>1</v>
      </c>
      <c r="M125" t="s">
        <v>21</v>
      </c>
      <c r="N125" s="8" t="s">
        <v>187</v>
      </c>
      <c r="O125" s="8" t="s">
        <v>1</v>
      </c>
      <c r="P125" t="s">
        <v>21</v>
      </c>
      <c r="Q125" s="8" t="s">
        <v>187</v>
      </c>
      <c r="R125" s="8" t="s">
        <v>1</v>
      </c>
      <c r="S125" t="s">
        <v>21</v>
      </c>
      <c r="T125" s="8" t="s">
        <v>187</v>
      </c>
      <c r="U125" s="8" t="s">
        <v>1</v>
      </c>
      <c r="V125" t="s">
        <v>21</v>
      </c>
      <c r="W125" s="8" t="s">
        <v>187</v>
      </c>
      <c r="X125" s="8" t="s">
        <v>1</v>
      </c>
      <c r="Y125">
        <f t="shared" si="1"/>
        <v>522</v>
      </c>
    </row>
    <row r="126" spans="1:25" ht="255" x14ac:dyDescent="0.25">
      <c r="A126" t="s">
        <v>15</v>
      </c>
      <c r="B126" t="s">
        <v>124</v>
      </c>
      <c r="C126" s="2" t="s">
        <v>1044</v>
      </c>
      <c r="D126" s="2" t="s">
        <v>1047</v>
      </c>
      <c r="E126" t="s">
        <v>145</v>
      </c>
      <c r="F126" s="2" t="s">
        <v>21</v>
      </c>
      <c r="G126" t="s">
        <v>21</v>
      </c>
      <c r="H126" s="2" t="s">
        <v>187</v>
      </c>
      <c r="I126" s="8" t="s">
        <v>1</v>
      </c>
      <c r="J126" t="s">
        <v>21</v>
      </c>
      <c r="K126" s="2" t="s">
        <v>187</v>
      </c>
      <c r="L126" s="2" t="s">
        <v>1</v>
      </c>
      <c r="M126" t="s">
        <v>21</v>
      </c>
      <c r="N126" s="8" t="s">
        <v>187</v>
      </c>
      <c r="O126" s="8" t="s">
        <v>1</v>
      </c>
      <c r="P126" t="s">
        <v>1043</v>
      </c>
      <c r="Q126" s="8" t="s">
        <v>187</v>
      </c>
      <c r="R126" s="8" t="s">
        <v>1</v>
      </c>
      <c r="S126" t="s">
        <v>21</v>
      </c>
      <c r="T126" s="8" t="s">
        <v>187</v>
      </c>
      <c r="U126" s="8" t="s">
        <v>1</v>
      </c>
      <c r="V126" t="s">
        <v>21</v>
      </c>
      <c r="W126" s="8" t="s">
        <v>187</v>
      </c>
      <c r="X126" s="8" t="s">
        <v>1</v>
      </c>
      <c r="Y126">
        <f t="shared" si="1"/>
        <v>522</v>
      </c>
    </row>
    <row r="127" spans="1:25" ht="255" x14ac:dyDescent="0.25">
      <c r="A127" t="s">
        <v>15</v>
      </c>
      <c r="B127" t="s">
        <v>124</v>
      </c>
      <c r="C127" s="2" t="s">
        <v>1044</v>
      </c>
      <c r="D127" s="2" t="s">
        <v>1047</v>
      </c>
      <c r="E127" t="s">
        <v>146</v>
      </c>
      <c r="F127" s="2" t="s">
        <v>21</v>
      </c>
      <c r="G127" t="s">
        <v>21</v>
      </c>
      <c r="H127" s="2" t="s">
        <v>187</v>
      </c>
      <c r="I127" s="8" t="s">
        <v>1</v>
      </c>
      <c r="J127" t="s">
        <v>21</v>
      </c>
      <c r="K127" s="2" t="s">
        <v>187</v>
      </c>
      <c r="L127" s="2" t="s">
        <v>1</v>
      </c>
      <c r="M127" t="s">
        <v>21</v>
      </c>
      <c r="N127" s="8" t="s">
        <v>187</v>
      </c>
      <c r="O127" s="8" t="s">
        <v>1</v>
      </c>
      <c r="P127" t="s">
        <v>358</v>
      </c>
      <c r="Q127" s="8" t="s">
        <v>187</v>
      </c>
      <c r="R127" s="8" t="s">
        <v>1</v>
      </c>
      <c r="S127" t="s">
        <v>21</v>
      </c>
      <c r="T127" s="8" t="s">
        <v>187</v>
      </c>
      <c r="U127" s="8" t="s">
        <v>1</v>
      </c>
      <c r="V127" t="s">
        <v>21</v>
      </c>
      <c r="W127" s="8" t="s">
        <v>187</v>
      </c>
      <c r="X127" s="8" t="s">
        <v>1</v>
      </c>
      <c r="Y127">
        <f t="shared" si="1"/>
        <v>525</v>
      </c>
    </row>
    <row r="128" spans="1:25" ht="255" x14ac:dyDescent="0.25">
      <c r="A128" t="s">
        <v>15</v>
      </c>
      <c r="B128" t="s">
        <v>124</v>
      </c>
      <c r="C128" s="2" t="s">
        <v>1044</v>
      </c>
      <c r="D128" s="2" t="s">
        <v>1047</v>
      </c>
      <c r="E128" t="s">
        <v>147</v>
      </c>
      <c r="F128" s="2" t="s">
        <v>21</v>
      </c>
      <c r="G128" t="s">
        <v>21</v>
      </c>
      <c r="H128" s="2" t="s">
        <v>187</v>
      </c>
      <c r="I128" s="8" t="s">
        <v>1</v>
      </c>
      <c r="J128" t="s">
        <v>21</v>
      </c>
      <c r="K128" s="2" t="s">
        <v>187</v>
      </c>
      <c r="L128" s="2" t="s">
        <v>1</v>
      </c>
      <c r="M128" t="s">
        <v>21</v>
      </c>
      <c r="N128" s="8" t="s">
        <v>187</v>
      </c>
      <c r="O128" s="8" t="s">
        <v>1</v>
      </c>
      <c r="P128" t="s">
        <v>1043</v>
      </c>
      <c r="Q128" s="8" t="s">
        <v>187</v>
      </c>
      <c r="R128" s="8" t="s">
        <v>1</v>
      </c>
      <c r="S128" t="s">
        <v>21</v>
      </c>
      <c r="T128" s="8" t="s">
        <v>187</v>
      </c>
      <c r="U128" s="8" t="s">
        <v>1</v>
      </c>
      <c r="V128" t="s">
        <v>18</v>
      </c>
      <c r="W128" t="s">
        <v>194</v>
      </c>
      <c r="X128" t="s">
        <v>1</v>
      </c>
      <c r="Y128">
        <f t="shared" si="1"/>
        <v>512</v>
      </c>
    </row>
    <row r="129" spans="1:25" ht="255" x14ac:dyDescent="0.25">
      <c r="A129" t="s">
        <v>15</v>
      </c>
      <c r="B129" t="s">
        <v>124</v>
      </c>
      <c r="C129" s="2" t="s">
        <v>1044</v>
      </c>
      <c r="D129" s="2" t="s">
        <v>1047</v>
      </c>
      <c r="E129" t="s">
        <v>148</v>
      </c>
      <c r="F129" s="2" t="s">
        <v>21</v>
      </c>
      <c r="G129" t="s">
        <v>21</v>
      </c>
      <c r="H129" s="2" t="s">
        <v>187</v>
      </c>
      <c r="I129" s="8" t="s">
        <v>1</v>
      </c>
      <c r="J129" t="s">
        <v>21</v>
      </c>
      <c r="K129" s="2" t="s">
        <v>187</v>
      </c>
      <c r="L129" s="2" t="s">
        <v>1</v>
      </c>
      <c r="M129" t="s">
        <v>21</v>
      </c>
      <c r="N129" s="8" t="s">
        <v>187</v>
      </c>
      <c r="O129" s="8" t="s">
        <v>1</v>
      </c>
      <c r="P129" t="s">
        <v>21</v>
      </c>
      <c r="Q129" s="8" t="s">
        <v>187</v>
      </c>
      <c r="R129" s="8" t="s">
        <v>1</v>
      </c>
      <c r="S129" t="s">
        <v>21</v>
      </c>
      <c r="T129" s="8" t="s">
        <v>187</v>
      </c>
      <c r="U129" s="8" t="s">
        <v>1</v>
      </c>
      <c r="V129" t="s">
        <v>21</v>
      </c>
      <c r="W129" s="8" t="s">
        <v>187</v>
      </c>
      <c r="X129" s="8" t="s">
        <v>1</v>
      </c>
      <c r="Y129">
        <f t="shared" si="1"/>
        <v>521</v>
      </c>
    </row>
    <row r="130" spans="1:25" ht="255" x14ac:dyDescent="0.25">
      <c r="A130" t="s">
        <v>15</v>
      </c>
      <c r="B130" t="s">
        <v>124</v>
      </c>
      <c r="C130" s="2" t="s">
        <v>1044</v>
      </c>
      <c r="D130" s="2" t="s">
        <v>1047</v>
      </c>
      <c r="E130" t="s">
        <v>149</v>
      </c>
      <c r="F130" s="2" t="s">
        <v>21</v>
      </c>
      <c r="G130" t="s">
        <v>21</v>
      </c>
      <c r="H130" s="2" t="s">
        <v>187</v>
      </c>
      <c r="I130" s="8" t="s">
        <v>1</v>
      </c>
      <c r="J130" t="s">
        <v>1033</v>
      </c>
      <c r="K130" s="2" t="s">
        <v>3</v>
      </c>
      <c r="L130" s="2" t="s">
        <v>1</v>
      </c>
      <c r="M130" t="s">
        <v>21</v>
      </c>
      <c r="N130" s="8" t="s">
        <v>187</v>
      </c>
      <c r="O130" s="8" t="s">
        <v>1</v>
      </c>
      <c r="P130" t="s">
        <v>21</v>
      </c>
      <c r="Q130" s="8" t="s">
        <v>187</v>
      </c>
      <c r="R130" s="8" t="s">
        <v>1</v>
      </c>
      <c r="S130" t="s">
        <v>21</v>
      </c>
      <c r="T130" s="8" t="s">
        <v>187</v>
      </c>
      <c r="U130" s="8" t="s">
        <v>1</v>
      </c>
      <c r="V130" t="s">
        <v>18</v>
      </c>
      <c r="W130" t="s">
        <v>194</v>
      </c>
      <c r="X130" t="s">
        <v>1</v>
      </c>
      <c r="Y130">
        <f t="shared" si="1"/>
        <v>519</v>
      </c>
    </row>
    <row r="131" spans="1:25" ht="255" x14ac:dyDescent="0.25">
      <c r="A131" t="s">
        <v>15</v>
      </c>
      <c r="B131" t="s">
        <v>124</v>
      </c>
      <c r="C131" s="2" t="s">
        <v>1044</v>
      </c>
      <c r="D131" s="2" t="s">
        <v>1047</v>
      </c>
      <c r="E131" t="s">
        <v>150</v>
      </c>
      <c r="F131" s="2" t="s">
        <v>21</v>
      </c>
      <c r="G131" t="s">
        <v>21</v>
      </c>
      <c r="H131" s="2" t="s">
        <v>187</v>
      </c>
      <c r="I131" s="8" t="s">
        <v>1</v>
      </c>
      <c r="J131" t="s">
        <v>21</v>
      </c>
      <c r="K131" s="2" t="s">
        <v>187</v>
      </c>
      <c r="L131" s="2" t="s">
        <v>1</v>
      </c>
      <c r="M131" t="s">
        <v>21</v>
      </c>
      <c r="N131" s="8" t="s">
        <v>187</v>
      </c>
      <c r="O131" s="8" t="s">
        <v>1</v>
      </c>
      <c r="P131" t="s">
        <v>1043</v>
      </c>
      <c r="Q131" s="8" t="s">
        <v>187</v>
      </c>
      <c r="R131" s="8" t="s">
        <v>1</v>
      </c>
      <c r="S131" t="s">
        <v>21</v>
      </c>
      <c r="T131" s="8" t="s">
        <v>187</v>
      </c>
      <c r="U131" s="8" t="s">
        <v>1</v>
      </c>
      <c r="V131" t="s">
        <v>21</v>
      </c>
      <c r="W131" s="8" t="s">
        <v>187</v>
      </c>
      <c r="X131" s="8" t="s">
        <v>1</v>
      </c>
      <c r="Y131">
        <f t="shared" ref="Y131:Y156" si="2">LEN(D131)+LEN(E131)</f>
        <v>524</v>
      </c>
    </row>
    <row r="132" spans="1:25" ht="255" x14ac:dyDescent="0.25">
      <c r="A132" t="s">
        <v>15</v>
      </c>
      <c r="B132" t="s">
        <v>124</v>
      </c>
      <c r="C132" s="2" t="s">
        <v>1044</v>
      </c>
      <c r="D132" s="2" t="s">
        <v>1047</v>
      </c>
      <c r="E132" t="s">
        <v>151</v>
      </c>
      <c r="F132" s="2" t="s">
        <v>21</v>
      </c>
      <c r="G132" t="s">
        <v>21</v>
      </c>
      <c r="H132" s="2" t="s">
        <v>187</v>
      </c>
      <c r="I132" s="8" t="s">
        <v>1</v>
      </c>
      <c r="J132" t="s">
        <v>21</v>
      </c>
      <c r="K132" s="2" t="s">
        <v>187</v>
      </c>
      <c r="L132" s="2" t="s">
        <v>1</v>
      </c>
      <c r="M132" t="s">
        <v>21</v>
      </c>
      <c r="N132" s="8" t="s">
        <v>187</v>
      </c>
      <c r="O132" s="8" t="s">
        <v>1</v>
      </c>
      <c r="P132" t="s">
        <v>1043</v>
      </c>
      <c r="Q132" s="8" t="s">
        <v>187</v>
      </c>
      <c r="R132" s="8" t="s">
        <v>1</v>
      </c>
      <c r="S132" t="s">
        <v>21</v>
      </c>
      <c r="T132" s="8" t="s">
        <v>187</v>
      </c>
      <c r="U132" s="8" t="s">
        <v>1</v>
      </c>
      <c r="V132" t="s">
        <v>21</v>
      </c>
      <c r="W132" s="8" t="s">
        <v>187</v>
      </c>
      <c r="X132" s="8" t="s">
        <v>1</v>
      </c>
      <c r="Y132">
        <f t="shared" si="2"/>
        <v>519</v>
      </c>
    </row>
    <row r="133" spans="1:25" ht="255" x14ac:dyDescent="0.25">
      <c r="A133" t="s">
        <v>15</v>
      </c>
      <c r="B133" t="s">
        <v>124</v>
      </c>
      <c r="C133" s="2" t="s">
        <v>1044</v>
      </c>
      <c r="D133" s="2" t="s">
        <v>1047</v>
      </c>
      <c r="E133" t="s">
        <v>152</v>
      </c>
      <c r="F133" s="2" t="s">
        <v>21</v>
      </c>
      <c r="G133" t="s">
        <v>21</v>
      </c>
      <c r="H133" s="2" t="s">
        <v>187</v>
      </c>
      <c r="I133" s="8" t="s">
        <v>1</v>
      </c>
      <c r="J133" t="s">
        <v>21</v>
      </c>
      <c r="K133" s="2" t="s">
        <v>187</v>
      </c>
      <c r="L133" s="2" t="s">
        <v>1</v>
      </c>
      <c r="M133" t="s">
        <v>21</v>
      </c>
      <c r="N133" s="8" t="s">
        <v>187</v>
      </c>
      <c r="O133" s="8" t="s">
        <v>1</v>
      </c>
      <c r="P133" t="s">
        <v>1043</v>
      </c>
      <c r="Q133" s="8" t="s">
        <v>187</v>
      </c>
      <c r="R133" s="8" t="s">
        <v>1</v>
      </c>
      <c r="S133" t="s">
        <v>21</v>
      </c>
      <c r="T133" s="8" t="s">
        <v>187</v>
      </c>
      <c r="U133" s="8" t="s">
        <v>1</v>
      </c>
      <c r="V133" t="s">
        <v>21</v>
      </c>
      <c r="W133" s="8" t="s">
        <v>187</v>
      </c>
      <c r="X133" s="8" t="s">
        <v>1</v>
      </c>
      <c r="Y133">
        <f t="shared" si="2"/>
        <v>516</v>
      </c>
    </row>
    <row r="134" spans="1:25" ht="255" x14ac:dyDescent="0.25">
      <c r="A134" t="s">
        <v>15</v>
      </c>
      <c r="B134" t="s">
        <v>124</v>
      </c>
      <c r="C134" s="2" t="s">
        <v>1044</v>
      </c>
      <c r="D134" s="2" t="s">
        <v>1047</v>
      </c>
      <c r="E134" t="s">
        <v>153</v>
      </c>
      <c r="F134" s="2" t="s">
        <v>21</v>
      </c>
      <c r="G134" t="s">
        <v>21</v>
      </c>
      <c r="H134" s="2" t="s">
        <v>187</v>
      </c>
      <c r="I134" s="8" t="s">
        <v>1</v>
      </c>
      <c r="J134" t="s">
        <v>21</v>
      </c>
      <c r="K134" s="2" t="s">
        <v>187</v>
      </c>
      <c r="L134" s="2" t="s">
        <v>1</v>
      </c>
      <c r="M134" t="s">
        <v>21</v>
      </c>
      <c r="N134" s="8" t="s">
        <v>187</v>
      </c>
      <c r="O134" s="8" t="s">
        <v>1</v>
      </c>
      <c r="P134" t="s">
        <v>21</v>
      </c>
      <c r="Q134" s="8" t="s">
        <v>187</v>
      </c>
      <c r="R134" s="8" t="s">
        <v>1</v>
      </c>
      <c r="S134" t="s">
        <v>21</v>
      </c>
      <c r="T134" s="8" t="s">
        <v>187</v>
      </c>
      <c r="U134" s="8" t="s">
        <v>1</v>
      </c>
      <c r="V134" t="s">
        <v>21</v>
      </c>
      <c r="W134" s="8" t="s">
        <v>187</v>
      </c>
      <c r="X134" s="8" t="s">
        <v>1</v>
      </c>
      <c r="Y134">
        <f t="shared" si="2"/>
        <v>514</v>
      </c>
    </row>
    <row r="135" spans="1:25" ht="255" x14ac:dyDescent="0.25">
      <c r="A135" t="s">
        <v>15</v>
      </c>
      <c r="B135" t="s">
        <v>124</v>
      </c>
      <c r="C135" s="2" t="s">
        <v>1044</v>
      </c>
      <c r="D135" s="2" t="s">
        <v>1047</v>
      </c>
      <c r="E135" t="s">
        <v>154</v>
      </c>
      <c r="F135" s="2" t="s">
        <v>21</v>
      </c>
      <c r="G135" t="s">
        <v>21</v>
      </c>
      <c r="H135" s="2" t="s">
        <v>187</v>
      </c>
      <c r="I135" s="8" t="s">
        <v>1</v>
      </c>
      <c r="J135" t="s">
        <v>21</v>
      </c>
      <c r="K135" s="2" t="s">
        <v>187</v>
      </c>
      <c r="L135" s="2" t="s">
        <v>1</v>
      </c>
      <c r="M135" t="s">
        <v>21</v>
      </c>
      <c r="N135" s="8" t="s">
        <v>187</v>
      </c>
      <c r="O135" s="8" t="s">
        <v>1</v>
      </c>
      <c r="P135" t="s">
        <v>1043</v>
      </c>
      <c r="Q135" s="8" t="s">
        <v>187</v>
      </c>
      <c r="R135" s="8" t="s">
        <v>1</v>
      </c>
      <c r="S135" t="s">
        <v>21</v>
      </c>
      <c r="T135" s="8" t="s">
        <v>187</v>
      </c>
      <c r="U135" s="8" t="s">
        <v>1</v>
      </c>
      <c r="V135" t="s">
        <v>21</v>
      </c>
      <c r="W135" s="8" t="s">
        <v>187</v>
      </c>
      <c r="X135" s="8" t="s">
        <v>1</v>
      </c>
      <c r="Y135">
        <f t="shared" si="2"/>
        <v>527</v>
      </c>
    </row>
    <row r="136" spans="1:25" ht="255" x14ac:dyDescent="0.25">
      <c r="A136" t="s">
        <v>15</v>
      </c>
      <c r="B136" t="s">
        <v>124</v>
      </c>
      <c r="C136" s="2" t="s">
        <v>1044</v>
      </c>
      <c r="D136" s="2" t="s">
        <v>1047</v>
      </c>
      <c r="E136" t="s">
        <v>155</v>
      </c>
      <c r="F136" s="2" t="s">
        <v>21</v>
      </c>
      <c r="G136" t="s">
        <v>21</v>
      </c>
      <c r="H136" s="2" t="s">
        <v>187</v>
      </c>
      <c r="I136" s="8" t="s">
        <v>1</v>
      </c>
      <c r="J136" t="s">
        <v>21</v>
      </c>
      <c r="K136" s="2" t="s">
        <v>187</v>
      </c>
      <c r="L136" s="2" t="s">
        <v>1</v>
      </c>
      <c r="M136" t="s">
        <v>21</v>
      </c>
      <c r="N136" s="8" t="s">
        <v>187</v>
      </c>
      <c r="O136" s="8" t="s">
        <v>1</v>
      </c>
      <c r="P136" t="s">
        <v>21</v>
      </c>
      <c r="Q136" s="8" t="s">
        <v>187</v>
      </c>
      <c r="R136" s="8" t="s">
        <v>1</v>
      </c>
      <c r="S136" t="s">
        <v>21</v>
      </c>
      <c r="T136" s="8" t="s">
        <v>187</v>
      </c>
      <c r="U136" s="8" t="s">
        <v>1</v>
      </c>
      <c r="V136" t="s">
        <v>21</v>
      </c>
      <c r="W136" s="8" t="s">
        <v>187</v>
      </c>
      <c r="X136" s="8" t="s">
        <v>1</v>
      </c>
      <c r="Y136">
        <f t="shared" si="2"/>
        <v>518</v>
      </c>
    </row>
    <row r="137" spans="1:25" ht="255" x14ac:dyDescent="0.25">
      <c r="A137" t="s">
        <v>15</v>
      </c>
      <c r="B137" t="s">
        <v>124</v>
      </c>
      <c r="C137" s="2" t="s">
        <v>1044</v>
      </c>
      <c r="D137" s="2" t="s">
        <v>1047</v>
      </c>
      <c r="E137" t="s">
        <v>156</v>
      </c>
      <c r="F137" s="2" t="s">
        <v>18</v>
      </c>
      <c r="G137" t="s">
        <v>18</v>
      </c>
      <c r="H137" s="2" t="s">
        <v>187</v>
      </c>
      <c r="I137" s="8" t="s">
        <v>1</v>
      </c>
      <c r="J137" t="s">
        <v>362</v>
      </c>
      <c r="K137" s="2" t="s">
        <v>3</v>
      </c>
      <c r="L137" s="2" t="s">
        <v>1</v>
      </c>
      <c r="M137" t="s">
        <v>18</v>
      </c>
      <c r="N137" s="8" t="s">
        <v>187</v>
      </c>
      <c r="O137" s="8" t="s">
        <v>1</v>
      </c>
      <c r="P137" t="s">
        <v>362</v>
      </c>
      <c r="Q137" t="s">
        <v>3</v>
      </c>
      <c r="R137" s="8" t="s">
        <v>1</v>
      </c>
      <c r="S137" t="s">
        <v>18</v>
      </c>
      <c r="T137" s="8" t="s">
        <v>187</v>
      </c>
      <c r="U137" s="8" t="s">
        <v>1</v>
      </c>
      <c r="V137" t="s">
        <v>18</v>
      </c>
      <c r="W137" s="8" t="s">
        <v>187</v>
      </c>
      <c r="X137" s="8" t="s">
        <v>1</v>
      </c>
      <c r="Y137">
        <f t="shared" si="2"/>
        <v>522</v>
      </c>
    </row>
    <row r="138" spans="1:25" ht="255" x14ac:dyDescent="0.25">
      <c r="A138" t="s">
        <v>15</v>
      </c>
      <c r="B138" t="s">
        <v>124</v>
      </c>
      <c r="C138" s="2" t="s">
        <v>1044</v>
      </c>
      <c r="D138" s="2" t="s">
        <v>1047</v>
      </c>
      <c r="E138" t="s">
        <v>157</v>
      </c>
      <c r="F138" s="2" t="s">
        <v>18</v>
      </c>
      <c r="G138" t="s">
        <v>18</v>
      </c>
      <c r="H138" s="2" t="s">
        <v>187</v>
      </c>
      <c r="I138" s="8" t="s">
        <v>1</v>
      </c>
      <c r="J138" t="s">
        <v>362</v>
      </c>
      <c r="K138" s="2" t="s">
        <v>3</v>
      </c>
      <c r="L138" s="2" t="s">
        <v>1</v>
      </c>
      <c r="M138" t="s">
        <v>18</v>
      </c>
      <c r="N138" s="8" t="s">
        <v>187</v>
      </c>
      <c r="O138" s="8" t="s">
        <v>1</v>
      </c>
      <c r="P138" t="s">
        <v>362</v>
      </c>
      <c r="Q138" t="s">
        <v>3</v>
      </c>
      <c r="R138" s="8" t="s">
        <v>1</v>
      </c>
      <c r="S138" t="s">
        <v>18</v>
      </c>
      <c r="T138" s="8" t="s">
        <v>187</v>
      </c>
      <c r="U138" s="8" t="s">
        <v>1</v>
      </c>
      <c r="V138" t="s">
        <v>18</v>
      </c>
      <c r="W138" s="8" t="s">
        <v>187</v>
      </c>
      <c r="X138" s="8" t="s">
        <v>1</v>
      </c>
      <c r="Y138">
        <f t="shared" si="2"/>
        <v>518</v>
      </c>
    </row>
    <row r="139" spans="1:25" ht="255" x14ac:dyDescent="0.25">
      <c r="A139" t="s">
        <v>15</v>
      </c>
      <c r="B139" t="s">
        <v>124</v>
      </c>
      <c r="C139" s="2" t="s">
        <v>1044</v>
      </c>
      <c r="D139" s="2" t="s">
        <v>1047</v>
      </c>
      <c r="E139" t="s">
        <v>158</v>
      </c>
      <c r="F139" s="2" t="s">
        <v>18</v>
      </c>
      <c r="G139" t="s">
        <v>18</v>
      </c>
      <c r="H139" s="2" t="s">
        <v>187</v>
      </c>
      <c r="I139" s="8" t="s">
        <v>1</v>
      </c>
      <c r="J139" t="s">
        <v>362</v>
      </c>
      <c r="K139" s="2" t="s">
        <v>3</v>
      </c>
      <c r="L139" s="2" t="s">
        <v>1</v>
      </c>
      <c r="M139" t="s">
        <v>18</v>
      </c>
      <c r="N139" s="8" t="s">
        <v>187</v>
      </c>
      <c r="O139" s="8" t="s">
        <v>1</v>
      </c>
      <c r="P139" t="s">
        <v>362</v>
      </c>
      <c r="Q139" t="s">
        <v>3</v>
      </c>
      <c r="R139" s="8" t="s">
        <v>1</v>
      </c>
      <c r="S139" t="s">
        <v>18</v>
      </c>
      <c r="T139" s="8" t="s">
        <v>187</v>
      </c>
      <c r="U139" s="8" t="s">
        <v>1</v>
      </c>
      <c r="V139" t="s">
        <v>18</v>
      </c>
      <c r="W139" s="8" t="s">
        <v>187</v>
      </c>
      <c r="X139" s="8" t="s">
        <v>1</v>
      </c>
      <c r="Y139">
        <f t="shared" si="2"/>
        <v>517</v>
      </c>
    </row>
    <row r="140" spans="1:25" ht="255" x14ac:dyDescent="0.25">
      <c r="A140" t="s">
        <v>15</v>
      </c>
      <c r="B140" t="s">
        <v>124</v>
      </c>
      <c r="C140" s="2" t="s">
        <v>1044</v>
      </c>
      <c r="D140" s="2" t="s">
        <v>1047</v>
      </c>
      <c r="E140" t="s">
        <v>159</v>
      </c>
      <c r="F140" s="2" t="s">
        <v>18</v>
      </c>
      <c r="G140" t="s">
        <v>18</v>
      </c>
      <c r="H140" s="2" t="s">
        <v>187</v>
      </c>
      <c r="I140" s="8" t="s">
        <v>1</v>
      </c>
      <c r="J140" t="s">
        <v>18</v>
      </c>
      <c r="K140" s="2" t="s">
        <v>187</v>
      </c>
      <c r="L140" s="2" t="s">
        <v>1</v>
      </c>
      <c r="M140" t="s">
        <v>18</v>
      </c>
      <c r="N140" s="8" t="s">
        <v>187</v>
      </c>
      <c r="O140" s="8" t="s">
        <v>1</v>
      </c>
      <c r="P140" t="s">
        <v>362</v>
      </c>
      <c r="Q140" t="s">
        <v>3</v>
      </c>
      <c r="R140" s="8" t="s">
        <v>1</v>
      </c>
      <c r="S140" t="s">
        <v>18</v>
      </c>
      <c r="T140" s="8" t="s">
        <v>187</v>
      </c>
      <c r="U140" s="8" t="s">
        <v>1</v>
      </c>
      <c r="V140" t="s">
        <v>18</v>
      </c>
      <c r="W140" s="8" t="s">
        <v>187</v>
      </c>
      <c r="X140" s="8" t="s">
        <v>1</v>
      </c>
      <c r="Y140">
        <f t="shared" si="2"/>
        <v>525</v>
      </c>
    </row>
    <row r="141" spans="1:25" ht="255" x14ac:dyDescent="0.25">
      <c r="A141" t="s">
        <v>15</v>
      </c>
      <c r="B141" t="s">
        <v>124</v>
      </c>
      <c r="C141" s="2" t="s">
        <v>1044</v>
      </c>
      <c r="D141" s="2" t="s">
        <v>1047</v>
      </c>
      <c r="E141" t="s">
        <v>160</v>
      </c>
      <c r="F141" s="2" t="s">
        <v>18</v>
      </c>
      <c r="G141" t="s">
        <v>18</v>
      </c>
      <c r="H141" s="2" t="s">
        <v>187</v>
      </c>
      <c r="I141" s="8" t="s">
        <v>1</v>
      </c>
      <c r="J141" t="s">
        <v>18</v>
      </c>
      <c r="K141" s="2" t="s">
        <v>187</v>
      </c>
      <c r="L141" s="2" t="s">
        <v>1</v>
      </c>
      <c r="M141" t="s">
        <v>18</v>
      </c>
      <c r="N141" s="8" t="s">
        <v>187</v>
      </c>
      <c r="O141" s="8" t="s">
        <v>1</v>
      </c>
      <c r="P141" t="s">
        <v>362</v>
      </c>
      <c r="Q141" t="s">
        <v>3</v>
      </c>
      <c r="R141" s="8" t="s">
        <v>1</v>
      </c>
      <c r="S141" t="s">
        <v>18</v>
      </c>
      <c r="T141" s="8" t="s">
        <v>187</v>
      </c>
      <c r="U141" s="8" t="s">
        <v>1</v>
      </c>
      <c r="V141" t="s">
        <v>18</v>
      </c>
      <c r="W141" s="8" t="s">
        <v>187</v>
      </c>
      <c r="X141" s="8" t="s">
        <v>1</v>
      </c>
      <c r="Y141">
        <f t="shared" si="2"/>
        <v>521</v>
      </c>
    </row>
    <row r="142" spans="1:25" ht="255" x14ac:dyDescent="0.25">
      <c r="A142" t="s">
        <v>15</v>
      </c>
      <c r="B142" t="s">
        <v>124</v>
      </c>
      <c r="C142" s="2" t="s">
        <v>1044</v>
      </c>
      <c r="D142" s="2" t="s">
        <v>1047</v>
      </c>
      <c r="E142" t="s">
        <v>161</v>
      </c>
      <c r="F142" s="2" t="s">
        <v>18</v>
      </c>
      <c r="G142" t="s">
        <v>18</v>
      </c>
      <c r="H142" s="2" t="s">
        <v>187</v>
      </c>
      <c r="I142" s="8" t="s">
        <v>1</v>
      </c>
      <c r="J142" t="s">
        <v>18</v>
      </c>
      <c r="K142" s="2" t="s">
        <v>187</v>
      </c>
      <c r="L142" s="2" t="s">
        <v>1</v>
      </c>
      <c r="M142" t="s">
        <v>23</v>
      </c>
      <c r="N142" s="9" t="s">
        <v>194</v>
      </c>
      <c r="O142" s="9" t="s">
        <v>1</v>
      </c>
      <c r="P142" t="s">
        <v>362</v>
      </c>
      <c r="Q142" t="s">
        <v>3</v>
      </c>
      <c r="R142" s="8" t="s">
        <v>1</v>
      </c>
      <c r="S142" t="s">
        <v>18</v>
      </c>
      <c r="T142" s="8" t="s">
        <v>187</v>
      </c>
      <c r="U142" s="8" t="s">
        <v>1</v>
      </c>
      <c r="V142" t="s">
        <v>18</v>
      </c>
      <c r="W142" s="8" t="s">
        <v>187</v>
      </c>
      <c r="X142" s="8" t="s">
        <v>1</v>
      </c>
      <c r="Y142">
        <f t="shared" si="2"/>
        <v>517</v>
      </c>
    </row>
    <row r="143" spans="1:25" ht="255" x14ac:dyDescent="0.25">
      <c r="A143" t="s">
        <v>15</v>
      </c>
      <c r="B143" t="s">
        <v>124</v>
      </c>
      <c r="C143" s="2" t="s">
        <v>1044</v>
      </c>
      <c r="D143" s="2" t="s">
        <v>1047</v>
      </c>
      <c r="E143" t="s">
        <v>162</v>
      </c>
      <c r="F143" s="2" t="s">
        <v>18</v>
      </c>
      <c r="G143" t="s">
        <v>18</v>
      </c>
      <c r="H143" s="2" t="s">
        <v>187</v>
      </c>
      <c r="I143" s="8" t="s">
        <v>1</v>
      </c>
      <c r="J143" t="s">
        <v>21</v>
      </c>
      <c r="K143" s="2" t="s">
        <v>194</v>
      </c>
      <c r="L143" s="2" t="s">
        <v>1</v>
      </c>
      <c r="M143" t="s">
        <v>18</v>
      </c>
      <c r="N143" s="8" t="s">
        <v>187</v>
      </c>
      <c r="O143" s="8" t="s">
        <v>1</v>
      </c>
      <c r="P143" t="s">
        <v>362</v>
      </c>
      <c r="Q143" t="s">
        <v>3</v>
      </c>
      <c r="R143" s="8" t="s">
        <v>1</v>
      </c>
      <c r="S143" t="s">
        <v>18</v>
      </c>
      <c r="T143" s="8" t="s">
        <v>187</v>
      </c>
      <c r="U143" s="8" t="s">
        <v>1</v>
      </c>
      <c r="V143" t="s">
        <v>18</v>
      </c>
      <c r="W143" s="8" t="s">
        <v>187</v>
      </c>
      <c r="X143" s="8" t="s">
        <v>1</v>
      </c>
      <c r="Y143">
        <f t="shared" si="2"/>
        <v>525</v>
      </c>
    </row>
    <row r="144" spans="1:25" ht="255" x14ac:dyDescent="0.25">
      <c r="A144" t="s">
        <v>15</v>
      </c>
      <c r="B144" t="s">
        <v>124</v>
      </c>
      <c r="C144" s="2" t="s">
        <v>1044</v>
      </c>
      <c r="D144" s="2" t="s">
        <v>1047</v>
      </c>
      <c r="E144" t="s">
        <v>163</v>
      </c>
      <c r="F144" s="2" t="s">
        <v>18</v>
      </c>
      <c r="G144" t="s">
        <v>18</v>
      </c>
      <c r="H144" s="2" t="s">
        <v>187</v>
      </c>
      <c r="I144" s="8" t="s">
        <v>1</v>
      </c>
      <c r="J144" t="s">
        <v>362</v>
      </c>
      <c r="K144" s="2" t="s">
        <v>3</v>
      </c>
      <c r="L144" s="2" t="s">
        <v>1</v>
      </c>
      <c r="M144" t="s">
        <v>18</v>
      </c>
      <c r="N144" s="8" t="s">
        <v>187</v>
      </c>
      <c r="O144" s="8" t="s">
        <v>1</v>
      </c>
      <c r="P144" t="s">
        <v>362</v>
      </c>
      <c r="Q144" t="s">
        <v>3</v>
      </c>
      <c r="R144" s="8" t="s">
        <v>1</v>
      </c>
      <c r="S144" t="s">
        <v>18</v>
      </c>
      <c r="T144" s="8" t="s">
        <v>187</v>
      </c>
      <c r="U144" s="8" t="s">
        <v>1</v>
      </c>
      <c r="V144" t="s">
        <v>18</v>
      </c>
      <c r="W144" s="8" t="s">
        <v>187</v>
      </c>
      <c r="X144" s="8" t="s">
        <v>1</v>
      </c>
      <c r="Y144">
        <f t="shared" si="2"/>
        <v>517</v>
      </c>
    </row>
    <row r="145" spans="1:25" ht="255" x14ac:dyDescent="0.25">
      <c r="A145" t="s">
        <v>15</v>
      </c>
      <c r="B145" t="s">
        <v>124</v>
      </c>
      <c r="C145" s="2" t="s">
        <v>1044</v>
      </c>
      <c r="D145" s="2" t="s">
        <v>1047</v>
      </c>
      <c r="E145" t="s">
        <v>164</v>
      </c>
      <c r="F145" s="2" t="s">
        <v>18</v>
      </c>
      <c r="G145" t="s">
        <v>18</v>
      </c>
      <c r="H145" s="2" t="s">
        <v>187</v>
      </c>
      <c r="I145" s="8" t="s">
        <v>1</v>
      </c>
      <c r="J145" t="s">
        <v>362</v>
      </c>
      <c r="K145" s="2" t="s">
        <v>3</v>
      </c>
      <c r="L145" s="2" t="s">
        <v>1</v>
      </c>
      <c r="M145" t="s">
        <v>18</v>
      </c>
      <c r="N145" s="8" t="s">
        <v>187</v>
      </c>
      <c r="O145" s="8" t="s">
        <v>1</v>
      </c>
      <c r="P145" t="s">
        <v>362</v>
      </c>
      <c r="Q145" t="s">
        <v>3</v>
      </c>
      <c r="R145" s="8" t="s">
        <v>1</v>
      </c>
      <c r="S145" t="s">
        <v>18</v>
      </c>
      <c r="T145" s="8" t="s">
        <v>187</v>
      </c>
      <c r="U145" s="8" t="s">
        <v>1</v>
      </c>
      <c r="V145" t="s">
        <v>18</v>
      </c>
      <c r="W145" s="8" t="s">
        <v>187</v>
      </c>
      <c r="X145" s="8" t="s">
        <v>1</v>
      </c>
      <c r="Y145">
        <f t="shared" si="2"/>
        <v>518</v>
      </c>
    </row>
    <row r="146" spans="1:25" ht="255" x14ac:dyDescent="0.25">
      <c r="A146" t="s">
        <v>15</v>
      </c>
      <c r="B146" t="s">
        <v>124</v>
      </c>
      <c r="C146" s="2" t="s">
        <v>1044</v>
      </c>
      <c r="D146" s="2" t="s">
        <v>1047</v>
      </c>
      <c r="E146" t="s">
        <v>165</v>
      </c>
      <c r="F146" s="2" t="s">
        <v>18</v>
      </c>
      <c r="G146" t="s">
        <v>18</v>
      </c>
      <c r="H146" s="2" t="s">
        <v>187</v>
      </c>
      <c r="I146" s="8" t="s">
        <v>1</v>
      </c>
      <c r="J146" t="s">
        <v>21</v>
      </c>
      <c r="K146" s="2" t="s">
        <v>194</v>
      </c>
      <c r="L146" s="2" t="s">
        <v>1</v>
      </c>
      <c r="M146" t="s">
        <v>18</v>
      </c>
      <c r="N146" s="8" t="s">
        <v>187</v>
      </c>
      <c r="O146" s="8" t="s">
        <v>1</v>
      </c>
      <c r="P146" t="s">
        <v>362</v>
      </c>
      <c r="Q146" t="s">
        <v>3</v>
      </c>
      <c r="R146" s="8" t="s">
        <v>1</v>
      </c>
      <c r="S146" t="s">
        <v>18</v>
      </c>
      <c r="T146" s="8" t="s">
        <v>187</v>
      </c>
      <c r="U146" s="8" t="s">
        <v>1</v>
      </c>
      <c r="V146" t="s">
        <v>18</v>
      </c>
      <c r="W146" s="8" t="s">
        <v>187</v>
      </c>
      <c r="X146" s="8" t="s">
        <v>1</v>
      </c>
      <c r="Y146">
        <f t="shared" si="2"/>
        <v>517</v>
      </c>
    </row>
    <row r="147" spans="1:25" ht="255" x14ac:dyDescent="0.25">
      <c r="A147" t="s">
        <v>15</v>
      </c>
      <c r="B147" t="s">
        <v>124</v>
      </c>
      <c r="C147" s="2" t="s">
        <v>1044</v>
      </c>
      <c r="D147" s="2" t="s">
        <v>1047</v>
      </c>
      <c r="E147" t="s">
        <v>166</v>
      </c>
      <c r="F147" s="2" t="s">
        <v>18</v>
      </c>
      <c r="G147" t="s">
        <v>18</v>
      </c>
      <c r="H147" s="2" t="s">
        <v>187</v>
      </c>
      <c r="I147" s="8" t="s">
        <v>1</v>
      </c>
      <c r="J147" t="s">
        <v>18</v>
      </c>
      <c r="K147" s="2" t="s">
        <v>187</v>
      </c>
      <c r="L147" s="2" t="s">
        <v>1</v>
      </c>
      <c r="M147" t="s">
        <v>18</v>
      </c>
      <c r="N147" s="8" t="s">
        <v>187</v>
      </c>
      <c r="O147" s="8" t="s">
        <v>1</v>
      </c>
      <c r="P147" t="s">
        <v>362</v>
      </c>
      <c r="Q147" t="s">
        <v>3</v>
      </c>
      <c r="R147" s="8" t="s">
        <v>1</v>
      </c>
      <c r="S147" t="s">
        <v>18</v>
      </c>
      <c r="T147" s="8" t="s">
        <v>187</v>
      </c>
      <c r="U147" s="8" t="s">
        <v>1</v>
      </c>
      <c r="V147" t="s">
        <v>18</v>
      </c>
      <c r="W147" s="8" t="s">
        <v>187</v>
      </c>
      <c r="X147" s="8" t="s">
        <v>1</v>
      </c>
      <c r="Y147">
        <f t="shared" si="2"/>
        <v>526</v>
      </c>
    </row>
    <row r="148" spans="1:25" ht="255" x14ac:dyDescent="0.25">
      <c r="A148" t="s">
        <v>15</v>
      </c>
      <c r="B148" t="s">
        <v>124</v>
      </c>
      <c r="C148" s="2" t="s">
        <v>1044</v>
      </c>
      <c r="D148" s="2" t="s">
        <v>1047</v>
      </c>
      <c r="E148" t="s">
        <v>167</v>
      </c>
      <c r="F148" s="2" t="s">
        <v>18</v>
      </c>
      <c r="G148" t="s">
        <v>18</v>
      </c>
      <c r="H148" s="2" t="s">
        <v>187</v>
      </c>
      <c r="I148" s="8" t="s">
        <v>1</v>
      </c>
      <c r="J148" t="s">
        <v>23</v>
      </c>
      <c r="K148" s="2" t="s">
        <v>194</v>
      </c>
      <c r="L148" s="2" t="s">
        <v>1</v>
      </c>
      <c r="M148" t="s">
        <v>18</v>
      </c>
      <c r="N148" s="8" t="s">
        <v>187</v>
      </c>
      <c r="O148" s="8" t="s">
        <v>1</v>
      </c>
      <c r="P148" t="s">
        <v>362</v>
      </c>
      <c r="Q148" t="s">
        <v>3</v>
      </c>
      <c r="R148" s="8" t="s">
        <v>1</v>
      </c>
      <c r="S148" t="s">
        <v>18</v>
      </c>
      <c r="T148" s="8" t="s">
        <v>187</v>
      </c>
      <c r="U148" s="8" t="s">
        <v>1</v>
      </c>
      <c r="V148" t="s">
        <v>18</v>
      </c>
      <c r="W148" s="8" t="s">
        <v>187</v>
      </c>
      <c r="X148" s="8" t="s">
        <v>1</v>
      </c>
      <c r="Y148">
        <f t="shared" si="2"/>
        <v>523</v>
      </c>
    </row>
    <row r="149" spans="1:25" ht="255" x14ac:dyDescent="0.25">
      <c r="A149" t="s">
        <v>15</v>
      </c>
      <c r="B149" t="s">
        <v>124</v>
      </c>
      <c r="C149" s="2" t="s">
        <v>1044</v>
      </c>
      <c r="D149" s="2" t="s">
        <v>1047</v>
      </c>
      <c r="E149" t="s">
        <v>168</v>
      </c>
      <c r="F149" s="2" t="s">
        <v>18</v>
      </c>
      <c r="G149" t="s">
        <v>18</v>
      </c>
      <c r="H149" s="2" t="s">
        <v>187</v>
      </c>
      <c r="I149" s="8" t="s">
        <v>1</v>
      </c>
      <c r="J149" t="s">
        <v>1034</v>
      </c>
      <c r="K149" s="2" t="s">
        <v>3</v>
      </c>
      <c r="L149" s="2" t="s">
        <v>1</v>
      </c>
      <c r="M149" t="s">
        <v>18</v>
      </c>
      <c r="N149" s="8" t="s">
        <v>187</v>
      </c>
      <c r="O149" s="8" t="s">
        <v>1</v>
      </c>
      <c r="P149" t="s">
        <v>362</v>
      </c>
      <c r="Q149" t="s">
        <v>3</v>
      </c>
      <c r="R149" s="8" t="s">
        <v>1</v>
      </c>
      <c r="S149" t="s">
        <v>18</v>
      </c>
      <c r="T149" s="8" t="s">
        <v>187</v>
      </c>
      <c r="U149" s="8" t="s">
        <v>1</v>
      </c>
      <c r="V149" t="s">
        <v>18</v>
      </c>
      <c r="W149" s="8" t="s">
        <v>187</v>
      </c>
      <c r="X149" s="8" t="s">
        <v>1</v>
      </c>
      <c r="Y149">
        <f t="shared" si="2"/>
        <v>522</v>
      </c>
    </row>
    <row r="150" spans="1:25" ht="255" x14ac:dyDescent="0.25">
      <c r="A150" t="s">
        <v>15</v>
      </c>
      <c r="B150" t="s">
        <v>124</v>
      </c>
      <c r="C150" s="2" t="s">
        <v>1044</v>
      </c>
      <c r="D150" s="2" t="s">
        <v>1047</v>
      </c>
      <c r="E150" t="s">
        <v>169</v>
      </c>
      <c r="F150" s="2" t="s">
        <v>18</v>
      </c>
      <c r="G150" t="s">
        <v>18</v>
      </c>
      <c r="H150" s="2" t="s">
        <v>187</v>
      </c>
      <c r="I150" s="8" t="s">
        <v>1</v>
      </c>
      <c r="J150" t="s">
        <v>18</v>
      </c>
      <c r="K150" s="2" t="s">
        <v>187</v>
      </c>
      <c r="L150" s="2" t="s">
        <v>1</v>
      </c>
      <c r="M150" t="s">
        <v>18</v>
      </c>
      <c r="N150" s="8" t="s">
        <v>187</v>
      </c>
      <c r="O150" s="8" t="s">
        <v>1</v>
      </c>
      <c r="P150" t="s">
        <v>362</v>
      </c>
      <c r="Q150" t="s">
        <v>3</v>
      </c>
      <c r="R150" s="8" t="s">
        <v>1</v>
      </c>
      <c r="S150" t="s">
        <v>18</v>
      </c>
      <c r="T150" s="8" t="s">
        <v>187</v>
      </c>
      <c r="U150" s="8" t="s">
        <v>1</v>
      </c>
      <c r="V150" t="s">
        <v>18</v>
      </c>
      <c r="W150" s="8" t="s">
        <v>187</v>
      </c>
      <c r="X150" s="8" t="s">
        <v>1</v>
      </c>
      <c r="Y150">
        <f t="shared" si="2"/>
        <v>519</v>
      </c>
    </row>
    <row r="151" spans="1:25" ht="255" x14ac:dyDescent="0.25">
      <c r="A151" t="s">
        <v>15</v>
      </c>
      <c r="B151" t="s">
        <v>124</v>
      </c>
      <c r="C151" s="2" t="s">
        <v>1044</v>
      </c>
      <c r="D151" s="2" t="s">
        <v>1047</v>
      </c>
      <c r="E151" t="s">
        <v>170</v>
      </c>
      <c r="F151" s="2" t="s">
        <v>18</v>
      </c>
      <c r="G151" t="s">
        <v>18</v>
      </c>
      <c r="H151" s="2" t="s">
        <v>187</v>
      </c>
      <c r="I151" s="8" t="s">
        <v>1</v>
      </c>
      <c r="J151" t="s">
        <v>23</v>
      </c>
      <c r="K151" s="2" t="s">
        <v>194</v>
      </c>
      <c r="L151" s="2" t="s">
        <v>1</v>
      </c>
      <c r="M151" t="s">
        <v>23</v>
      </c>
      <c r="N151" s="9" t="s">
        <v>194</v>
      </c>
      <c r="O151" s="9" t="s">
        <v>1</v>
      </c>
      <c r="P151" t="s">
        <v>23</v>
      </c>
      <c r="Q151" t="s">
        <v>194</v>
      </c>
      <c r="R151" s="8" t="s">
        <v>1</v>
      </c>
      <c r="S151" t="s">
        <v>23</v>
      </c>
      <c r="T151" t="s">
        <v>194</v>
      </c>
      <c r="U151" t="s">
        <v>1</v>
      </c>
      <c r="V151" t="s">
        <v>23</v>
      </c>
      <c r="W151" s="8" t="s">
        <v>194</v>
      </c>
      <c r="X151" s="8" t="s">
        <v>1</v>
      </c>
      <c r="Y151">
        <f t="shared" si="2"/>
        <v>521</v>
      </c>
    </row>
    <row r="152" spans="1:25" ht="255" x14ac:dyDescent="0.25">
      <c r="A152" t="s">
        <v>15</v>
      </c>
      <c r="B152" t="s">
        <v>124</v>
      </c>
      <c r="C152" s="2" t="s">
        <v>1044</v>
      </c>
      <c r="D152" s="2" t="s">
        <v>1047</v>
      </c>
      <c r="E152" t="s">
        <v>171</v>
      </c>
      <c r="F152" s="2" t="s">
        <v>18</v>
      </c>
      <c r="G152" t="s">
        <v>18</v>
      </c>
      <c r="H152" s="2" t="s">
        <v>187</v>
      </c>
      <c r="I152" s="8" t="s">
        <v>1</v>
      </c>
      <c r="J152" t="s">
        <v>18</v>
      </c>
      <c r="K152" s="2" t="s">
        <v>187</v>
      </c>
      <c r="L152" s="2" t="s">
        <v>1</v>
      </c>
      <c r="M152" t="s">
        <v>21</v>
      </c>
      <c r="N152" s="9" t="s">
        <v>194</v>
      </c>
      <c r="O152" s="9" t="s">
        <v>1</v>
      </c>
      <c r="P152" t="s">
        <v>1041</v>
      </c>
      <c r="Q152" s="8" t="s">
        <v>187</v>
      </c>
      <c r="R152" s="8" t="s">
        <v>1</v>
      </c>
      <c r="S152" t="s">
        <v>18</v>
      </c>
      <c r="T152" s="8" t="s">
        <v>187</v>
      </c>
      <c r="U152" s="8" t="s">
        <v>1</v>
      </c>
      <c r="V152" t="s">
        <v>18</v>
      </c>
      <c r="W152" s="8" t="s">
        <v>187</v>
      </c>
      <c r="X152" s="8" t="s">
        <v>1</v>
      </c>
      <c r="Y152">
        <f t="shared" si="2"/>
        <v>550</v>
      </c>
    </row>
    <row r="153" spans="1:25" ht="255" x14ac:dyDescent="0.25">
      <c r="A153" t="s">
        <v>15</v>
      </c>
      <c r="B153" t="s">
        <v>124</v>
      </c>
      <c r="C153" s="2" t="s">
        <v>1044</v>
      </c>
      <c r="D153" s="2" t="s">
        <v>1047</v>
      </c>
      <c r="E153" t="s">
        <v>172</v>
      </c>
      <c r="F153" s="2" t="s">
        <v>18</v>
      </c>
      <c r="G153" t="s">
        <v>18</v>
      </c>
      <c r="H153" s="2" t="s">
        <v>187</v>
      </c>
      <c r="I153" s="8" t="s">
        <v>1</v>
      </c>
      <c r="J153" t="s">
        <v>18</v>
      </c>
      <c r="K153" s="2" t="s">
        <v>187</v>
      </c>
      <c r="L153" s="2" t="s">
        <v>1</v>
      </c>
      <c r="M153" t="s">
        <v>18</v>
      </c>
      <c r="N153" s="8" t="s">
        <v>187</v>
      </c>
      <c r="O153" s="8" t="s">
        <v>1</v>
      </c>
      <c r="P153" t="s">
        <v>18</v>
      </c>
      <c r="Q153" s="8" t="s">
        <v>187</v>
      </c>
      <c r="R153" s="8" t="s">
        <v>1</v>
      </c>
      <c r="S153" t="s">
        <v>18</v>
      </c>
      <c r="T153" s="8" t="s">
        <v>187</v>
      </c>
      <c r="U153" s="8" t="s">
        <v>1</v>
      </c>
      <c r="V153" t="s">
        <v>18</v>
      </c>
      <c r="W153" s="8" t="s">
        <v>187</v>
      </c>
      <c r="X153" s="8" t="s">
        <v>1</v>
      </c>
      <c r="Y153">
        <f t="shared" si="2"/>
        <v>538</v>
      </c>
    </row>
    <row r="154" spans="1:25" ht="255" x14ac:dyDescent="0.25">
      <c r="A154" t="s">
        <v>15</v>
      </c>
      <c r="B154" t="s">
        <v>124</v>
      </c>
      <c r="C154" s="2" t="s">
        <v>1044</v>
      </c>
      <c r="D154" s="2" t="s">
        <v>1047</v>
      </c>
      <c r="E154" t="s">
        <v>173</v>
      </c>
      <c r="F154" s="2" t="s">
        <v>18</v>
      </c>
      <c r="G154" t="s">
        <v>18</v>
      </c>
      <c r="H154" s="2" t="s">
        <v>187</v>
      </c>
      <c r="I154" s="8" t="s">
        <v>1</v>
      </c>
      <c r="J154" t="s">
        <v>18</v>
      </c>
      <c r="K154" s="2" t="s">
        <v>187</v>
      </c>
      <c r="L154" s="2" t="s">
        <v>1</v>
      </c>
      <c r="M154" t="s">
        <v>18</v>
      </c>
      <c r="N154" s="8" t="s">
        <v>187</v>
      </c>
      <c r="O154" s="8" t="s">
        <v>1</v>
      </c>
      <c r="P154" t="s">
        <v>18</v>
      </c>
      <c r="Q154" s="8" t="s">
        <v>187</v>
      </c>
      <c r="R154" s="8" t="s">
        <v>1</v>
      </c>
      <c r="S154" t="s">
        <v>23</v>
      </c>
      <c r="T154" t="s">
        <v>194</v>
      </c>
      <c r="U154" t="s">
        <v>1</v>
      </c>
      <c r="V154" t="s">
        <v>23</v>
      </c>
      <c r="W154" s="8" t="s">
        <v>194</v>
      </c>
      <c r="X154" s="8" t="s">
        <v>1</v>
      </c>
      <c r="Y154">
        <f t="shared" si="2"/>
        <v>549</v>
      </c>
    </row>
    <row r="155" spans="1:25" ht="255" x14ac:dyDescent="0.25">
      <c r="A155" t="s">
        <v>15</v>
      </c>
      <c r="B155" t="s">
        <v>124</v>
      </c>
      <c r="C155" s="2" t="s">
        <v>1044</v>
      </c>
      <c r="D155" s="2" t="s">
        <v>1047</v>
      </c>
      <c r="E155" t="s">
        <v>174</v>
      </c>
      <c r="F155" s="2" t="s">
        <v>21</v>
      </c>
      <c r="G155" t="s">
        <v>18</v>
      </c>
      <c r="H155" s="2" t="s">
        <v>194</v>
      </c>
      <c r="I155" s="8" t="s">
        <v>1</v>
      </c>
      <c r="J155" t="s">
        <v>21</v>
      </c>
      <c r="K155" s="2" t="s">
        <v>187</v>
      </c>
      <c r="L155" s="2" t="s">
        <v>1</v>
      </c>
      <c r="M155" t="s">
        <v>21</v>
      </c>
      <c r="N155" s="8" t="s">
        <v>187</v>
      </c>
      <c r="O155" s="8" t="s">
        <v>1</v>
      </c>
      <c r="P155" t="s">
        <v>18</v>
      </c>
      <c r="Q155" t="s">
        <v>194</v>
      </c>
      <c r="R155" s="8" t="s">
        <v>1</v>
      </c>
      <c r="S155" t="s">
        <v>18</v>
      </c>
      <c r="T155" t="s">
        <v>194</v>
      </c>
      <c r="U155" t="s">
        <v>1</v>
      </c>
      <c r="V155" t="s">
        <v>18</v>
      </c>
      <c r="W155" t="s">
        <v>194</v>
      </c>
      <c r="X155" t="s">
        <v>1</v>
      </c>
      <c r="Y155">
        <f t="shared" si="2"/>
        <v>579</v>
      </c>
    </row>
    <row r="156" spans="1:25" ht="255" x14ac:dyDescent="0.25">
      <c r="A156" t="s">
        <v>15</v>
      </c>
      <c r="B156" t="s">
        <v>124</v>
      </c>
      <c r="C156" s="2" t="s">
        <v>1044</v>
      </c>
      <c r="D156" s="2" t="s">
        <v>1047</v>
      </c>
      <c r="E156" t="s">
        <v>175</v>
      </c>
      <c r="F156" s="2" t="s">
        <v>18</v>
      </c>
      <c r="G156" t="s">
        <v>18</v>
      </c>
      <c r="H156" s="2" t="s">
        <v>187</v>
      </c>
      <c r="I156" s="8" t="s">
        <v>1</v>
      </c>
      <c r="J156" t="s">
        <v>18</v>
      </c>
      <c r="K156" s="2" t="s">
        <v>187</v>
      </c>
      <c r="L156" s="2" t="s">
        <v>1</v>
      </c>
      <c r="M156" t="s">
        <v>21</v>
      </c>
      <c r="N156" s="9" t="s">
        <v>194</v>
      </c>
      <c r="O156" s="9" t="s">
        <v>1</v>
      </c>
      <c r="P156" t="s">
        <v>18</v>
      </c>
      <c r="Q156" s="8" t="s">
        <v>187</v>
      </c>
      <c r="R156" s="8" t="s">
        <v>1</v>
      </c>
      <c r="S156" t="s">
        <v>18</v>
      </c>
      <c r="T156" s="8" t="s">
        <v>187</v>
      </c>
      <c r="U156" s="8" t="s">
        <v>1</v>
      </c>
      <c r="V156" t="s">
        <v>18</v>
      </c>
      <c r="W156" s="8" t="s">
        <v>187</v>
      </c>
      <c r="X156" s="8" t="s">
        <v>1</v>
      </c>
      <c r="Y156">
        <f t="shared" si="2"/>
        <v>554</v>
      </c>
    </row>
    <row r="157" spans="1:25" x14ac:dyDescent="0.25">
      <c r="C157" s="2"/>
      <c r="D157" s="2"/>
      <c r="F157" s="2"/>
      <c r="G157" s="2"/>
      <c r="H157" s="2"/>
      <c r="I157" s="2"/>
      <c r="J157" s="2"/>
    </row>
    <row r="158" spans="1:25" x14ac:dyDescent="0.25">
      <c r="C158" s="2"/>
      <c r="D158" s="2"/>
      <c r="F158" s="2"/>
      <c r="G158" s="2"/>
      <c r="H158" s="2"/>
      <c r="I158" s="2"/>
      <c r="J158" s="2"/>
    </row>
    <row r="159" spans="1:25" x14ac:dyDescent="0.25">
      <c r="C159" s="2"/>
      <c r="D159" s="2"/>
      <c r="F159" s="2"/>
      <c r="G159" s="2"/>
      <c r="H159" s="2"/>
      <c r="I159" s="2"/>
      <c r="J159" s="2"/>
    </row>
    <row r="160" spans="1:25" x14ac:dyDescent="0.25">
      <c r="C160" s="2"/>
      <c r="D160" s="2"/>
      <c r="F160" s="2"/>
      <c r="G160" s="2"/>
      <c r="H160" s="2"/>
      <c r="I160" s="2"/>
      <c r="J160" s="2"/>
    </row>
    <row r="161" spans="3:10" x14ac:dyDescent="0.25">
      <c r="C161" s="2"/>
      <c r="D161" s="2"/>
      <c r="F161" s="2"/>
      <c r="G161" s="2"/>
      <c r="H161" s="2"/>
      <c r="I161" s="2"/>
      <c r="J161" s="2"/>
    </row>
    <row r="162" spans="3:10" x14ac:dyDescent="0.25">
      <c r="C162" s="2"/>
      <c r="D162" s="2"/>
      <c r="F162" s="2"/>
      <c r="G162" s="2"/>
      <c r="H162" s="2"/>
      <c r="I162" s="2"/>
      <c r="J162" s="2"/>
    </row>
    <row r="163" spans="3:10" x14ac:dyDescent="0.25">
      <c r="C163" s="2"/>
      <c r="D163" s="2"/>
      <c r="F163" s="2"/>
      <c r="G163" s="2"/>
      <c r="H163" s="2"/>
      <c r="I163" s="2"/>
      <c r="J163" s="2"/>
    </row>
    <row r="164" spans="3:10" x14ac:dyDescent="0.25">
      <c r="C164" s="2"/>
      <c r="D164" s="2"/>
      <c r="F164" s="2"/>
      <c r="G164" s="2"/>
      <c r="H164" s="2"/>
      <c r="I164" s="2"/>
      <c r="J164" s="2"/>
    </row>
    <row r="165" spans="3:10" x14ac:dyDescent="0.25">
      <c r="C165" s="2"/>
      <c r="D165" s="2"/>
      <c r="F165" s="2"/>
      <c r="G165" s="2"/>
      <c r="H165" s="2"/>
      <c r="I165" s="2"/>
      <c r="J165" s="2"/>
    </row>
    <row r="166" spans="3:10" x14ac:dyDescent="0.25">
      <c r="C166" s="2"/>
      <c r="D166" s="2"/>
      <c r="F166" s="2"/>
      <c r="G166" s="2"/>
      <c r="H166" s="2"/>
      <c r="I166" s="2"/>
      <c r="J166" s="2"/>
    </row>
    <row r="167" spans="3:10" x14ac:dyDescent="0.25">
      <c r="C167" s="2"/>
      <c r="D167" s="2"/>
      <c r="F167" s="2"/>
      <c r="G167" s="2"/>
      <c r="H167" s="2"/>
      <c r="I167" s="2"/>
      <c r="J167" s="2"/>
    </row>
    <row r="168" spans="3:10" x14ac:dyDescent="0.25">
      <c r="C168" s="2"/>
      <c r="D168" s="2"/>
      <c r="F168" s="2"/>
      <c r="G168" s="2"/>
      <c r="H168" s="2"/>
      <c r="I168" s="2"/>
      <c r="J168" s="2"/>
    </row>
    <row r="169" spans="3:10" x14ac:dyDescent="0.25">
      <c r="C169" s="2"/>
      <c r="D169" s="2"/>
      <c r="F169" s="2"/>
      <c r="G169" s="2"/>
      <c r="H169" s="2"/>
      <c r="I169" s="2"/>
      <c r="J169" s="2"/>
    </row>
    <row r="170" spans="3:10" x14ac:dyDescent="0.25">
      <c r="C170" s="2"/>
      <c r="D170" s="2"/>
      <c r="F170" s="2"/>
      <c r="G170" s="2"/>
      <c r="H170" s="2"/>
      <c r="I170" s="2"/>
      <c r="J170" s="2"/>
    </row>
    <row r="171" spans="3:10" x14ac:dyDescent="0.25">
      <c r="C171" s="2"/>
      <c r="D171" s="2"/>
      <c r="F171" s="2"/>
      <c r="G171" s="2"/>
      <c r="H171" s="2"/>
      <c r="I171" s="2"/>
      <c r="J171" s="2"/>
    </row>
    <row r="172" spans="3:10" x14ac:dyDescent="0.25">
      <c r="C172" s="2"/>
      <c r="D172" s="2"/>
      <c r="F172" s="2"/>
      <c r="G172" s="2"/>
      <c r="H172" s="2"/>
      <c r="I172" s="2"/>
      <c r="J172" s="2"/>
    </row>
    <row r="173" spans="3:10" x14ac:dyDescent="0.25">
      <c r="C173" s="2"/>
      <c r="D173" s="2"/>
      <c r="F173" s="2"/>
      <c r="G173" s="2"/>
      <c r="H173" s="2"/>
      <c r="I173" s="2"/>
      <c r="J173" s="2"/>
    </row>
    <row r="174" spans="3:10" x14ac:dyDescent="0.25">
      <c r="C174" s="2"/>
      <c r="D174" s="2"/>
      <c r="F174" s="2"/>
      <c r="G174" s="2"/>
      <c r="H174" s="2"/>
      <c r="I174" s="2"/>
      <c r="J174" s="2"/>
    </row>
    <row r="175" spans="3:10" x14ac:dyDescent="0.25">
      <c r="C175" s="2"/>
      <c r="D175" s="2"/>
      <c r="F175" s="2"/>
      <c r="G175" s="2"/>
      <c r="H175" s="2"/>
      <c r="I175" s="2"/>
      <c r="J175" s="2"/>
    </row>
    <row r="176" spans="3:10" x14ac:dyDescent="0.25">
      <c r="C176" s="2"/>
      <c r="D176" s="2"/>
      <c r="F176" s="2"/>
      <c r="G176" s="2"/>
      <c r="H176" s="2"/>
      <c r="I176" s="2"/>
      <c r="J176" s="2"/>
    </row>
    <row r="177" spans="3:10" x14ac:dyDescent="0.25">
      <c r="C177" s="2"/>
      <c r="D177" s="2"/>
      <c r="F177" s="2"/>
      <c r="G177" s="2"/>
      <c r="H177" s="2"/>
      <c r="I177" s="2"/>
      <c r="J177" s="2"/>
    </row>
    <row r="178" spans="3:10" x14ac:dyDescent="0.25">
      <c r="C178" s="2"/>
      <c r="D178" s="2"/>
      <c r="F178" s="2"/>
      <c r="G178" s="2"/>
      <c r="H178" s="2"/>
      <c r="I178" s="2"/>
      <c r="J178" s="2"/>
    </row>
    <row r="179" spans="3:10" x14ac:dyDescent="0.25">
      <c r="C179" s="2"/>
      <c r="D179" s="2"/>
      <c r="F179" s="2"/>
      <c r="G179" s="2"/>
      <c r="H179" s="2"/>
      <c r="I179" s="2"/>
      <c r="J179" s="2"/>
    </row>
    <row r="180" spans="3:10" x14ac:dyDescent="0.25">
      <c r="C180" s="2"/>
      <c r="D180" s="2"/>
      <c r="F180" s="2"/>
      <c r="G180" s="2"/>
      <c r="H180" s="2"/>
      <c r="I180" s="2"/>
      <c r="J180" s="2"/>
    </row>
    <row r="181" spans="3:10" x14ac:dyDescent="0.25">
      <c r="C181" s="2"/>
      <c r="D181" s="2"/>
      <c r="F181" s="2"/>
      <c r="G181" s="2"/>
      <c r="H181" s="2"/>
      <c r="I181" s="2"/>
      <c r="J181" s="2"/>
    </row>
    <row r="182" spans="3:10" x14ac:dyDescent="0.25">
      <c r="C182" s="2"/>
      <c r="D182" s="2"/>
      <c r="F182" s="2"/>
      <c r="G182" s="2"/>
      <c r="H182" s="2"/>
      <c r="I182" s="2"/>
      <c r="J182" s="2"/>
    </row>
    <row r="183" spans="3:10" x14ac:dyDescent="0.25">
      <c r="C183" s="2"/>
      <c r="D183" s="2"/>
      <c r="F183" s="2"/>
      <c r="G183" s="2"/>
      <c r="H183" s="2"/>
      <c r="I183" s="2"/>
      <c r="J183" s="2"/>
    </row>
    <row r="184" spans="3:10" x14ac:dyDescent="0.25">
      <c r="C184" s="2"/>
      <c r="D184" s="2"/>
      <c r="F184" s="2"/>
      <c r="G184" s="2"/>
      <c r="H184" s="2"/>
      <c r="I184" s="2"/>
      <c r="J184" s="2"/>
    </row>
    <row r="185" spans="3:10" x14ac:dyDescent="0.25">
      <c r="C185" s="2"/>
      <c r="D185" s="2"/>
      <c r="F185" s="2"/>
      <c r="G185" s="2"/>
      <c r="H185" s="2"/>
      <c r="I185" s="2"/>
      <c r="J185" s="2"/>
    </row>
    <row r="186" spans="3:10" x14ac:dyDescent="0.25">
      <c r="C186" s="2"/>
      <c r="D186" s="2"/>
      <c r="F186" s="2"/>
      <c r="G186" s="2"/>
      <c r="H186" s="2"/>
      <c r="I186" s="2"/>
      <c r="J186" s="2"/>
    </row>
    <row r="187" spans="3:10" x14ac:dyDescent="0.25">
      <c r="C187" s="2"/>
      <c r="D187" s="2"/>
      <c r="F187" s="2"/>
      <c r="G187" s="2"/>
      <c r="H187" s="2"/>
      <c r="I187" s="2"/>
      <c r="J187" s="2"/>
    </row>
    <row r="188" spans="3:10" x14ac:dyDescent="0.25">
      <c r="C188" s="2"/>
      <c r="D188" s="2"/>
      <c r="F188" s="2"/>
      <c r="G188" s="2"/>
      <c r="H188" s="2"/>
      <c r="I188" s="2"/>
      <c r="J188" s="2"/>
    </row>
    <row r="189" spans="3:10" x14ac:dyDescent="0.25">
      <c r="C189" s="2"/>
      <c r="D189" s="2"/>
      <c r="F189" s="2"/>
      <c r="G189" s="2"/>
      <c r="H189" s="2"/>
      <c r="I189" s="2"/>
      <c r="J189" s="2"/>
    </row>
    <row r="190" spans="3:10" x14ac:dyDescent="0.25">
      <c r="C190" s="2"/>
      <c r="D190" s="2"/>
      <c r="F190" s="2"/>
      <c r="G190" s="2"/>
      <c r="H190" s="2"/>
      <c r="I190" s="2"/>
      <c r="J190" s="2"/>
    </row>
    <row r="191" spans="3:10" x14ac:dyDescent="0.25">
      <c r="C191" s="2"/>
      <c r="D191" s="2"/>
      <c r="F191" s="2"/>
      <c r="G191" s="2"/>
      <c r="H191" s="2"/>
      <c r="I191" s="2"/>
      <c r="J191" s="2"/>
    </row>
    <row r="192" spans="3:10" x14ac:dyDescent="0.25">
      <c r="C192" s="2"/>
      <c r="D192" s="2"/>
      <c r="F192" s="2"/>
      <c r="G192" s="2"/>
      <c r="H192" s="2"/>
      <c r="I192" s="2"/>
      <c r="J192" s="2"/>
    </row>
    <row r="193" spans="3:10" x14ac:dyDescent="0.25">
      <c r="C193" s="2"/>
      <c r="D193" s="2"/>
      <c r="F193" s="2"/>
      <c r="G193" s="2"/>
      <c r="H193" s="2"/>
      <c r="I193" s="2"/>
      <c r="J193" s="2"/>
    </row>
    <row r="194" spans="3:10" x14ac:dyDescent="0.25">
      <c r="C194" s="2"/>
      <c r="D194" s="2"/>
      <c r="F194" s="2"/>
      <c r="G194" s="2"/>
      <c r="H194" s="2"/>
      <c r="I194" s="2"/>
      <c r="J194" s="2"/>
    </row>
    <row r="195" spans="3:10" x14ac:dyDescent="0.25">
      <c r="C195" s="2"/>
      <c r="D195" s="2"/>
      <c r="F195" s="2"/>
      <c r="G195" s="2"/>
      <c r="H195" s="2"/>
      <c r="I195" s="2"/>
      <c r="J195" s="2"/>
    </row>
    <row r="196" spans="3:10" x14ac:dyDescent="0.25">
      <c r="C196" s="2"/>
      <c r="D196" s="2"/>
      <c r="F196" s="2"/>
      <c r="G196" s="2"/>
      <c r="H196" s="2"/>
      <c r="I196" s="2"/>
      <c r="J196" s="2"/>
    </row>
    <row r="197" spans="3:10" x14ac:dyDescent="0.25">
      <c r="C197" s="2"/>
      <c r="D197" s="2"/>
      <c r="F197" s="2"/>
      <c r="G197" s="2"/>
      <c r="H197" s="2"/>
      <c r="I197" s="2"/>
      <c r="J197" s="2"/>
    </row>
    <row r="198" spans="3:10" x14ac:dyDescent="0.25">
      <c r="C198" s="2"/>
      <c r="D198" s="2"/>
      <c r="F198" s="2"/>
      <c r="G198" s="2"/>
      <c r="H198" s="2"/>
      <c r="I198" s="2"/>
      <c r="J198" s="2"/>
    </row>
    <row r="199" spans="3:10" x14ac:dyDescent="0.25">
      <c r="C199" s="2"/>
      <c r="D199" s="2"/>
      <c r="F199" s="2"/>
      <c r="G199" s="2"/>
      <c r="H199" s="2"/>
      <c r="I199" s="2"/>
      <c r="J199" s="2"/>
    </row>
    <row r="200" spans="3:10" x14ac:dyDescent="0.25">
      <c r="C200" s="2"/>
      <c r="D200" s="2"/>
      <c r="F200" s="2"/>
      <c r="G200" s="2"/>
      <c r="H200" s="2"/>
      <c r="I200" s="2"/>
      <c r="J200" s="2"/>
    </row>
    <row r="201" spans="3:10" x14ac:dyDescent="0.25">
      <c r="C201" s="2"/>
      <c r="D201" s="2"/>
      <c r="F201" s="2"/>
      <c r="G201" s="2"/>
      <c r="H201" s="2"/>
      <c r="I201" s="2"/>
      <c r="J201" s="2"/>
    </row>
    <row r="202" spans="3:10" x14ac:dyDescent="0.25">
      <c r="C202" s="2"/>
      <c r="D202" s="2"/>
      <c r="F202" s="2"/>
      <c r="G202" s="2"/>
      <c r="H202" s="2"/>
      <c r="I202" s="2"/>
      <c r="J202" s="2"/>
    </row>
    <row r="203" spans="3:10" x14ac:dyDescent="0.25">
      <c r="C203" s="2"/>
      <c r="D203" s="2"/>
      <c r="F203" s="2"/>
      <c r="G203" s="2"/>
      <c r="H203" s="2"/>
      <c r="I203" s="2"/>
      <c r="J203" s="2"/>
    </row>
    <row r="204" spans="3:10" x14ac:dyDescent="0.25">
      <c r="C204" s="2"/>
      <c r="D204" s="2"/>
      <c r="F204" s="2"/>
      <c r="G204" s="2"/>
      <c r="H204" s="2"/>
      <c r="I204" s="2"/>
      <c r="J204" s="2"/>
    </row>
    <row r="205" spans="3:10" x14ac:dyDescent="0.25">
      <c r="C205" s="2"/>
      <c r="D205" s="2"/>
      <c r="F205" s="2"/>
      <c r="G205" s="2"/>
      <c r="H205" s="2"/>
      <c r="I205" s="2"/>
      <c r="J205" s="2"/>
    </row>
    <row r="206" spans="3:10" x14ac:dyDescent="0.25">
      <c r="C206" s="2"/>
      <c r="D206" s="2"/>
      <c r="F206" s="2"/>
      <c r="G206" s="2"/>
      <c r="H206" s="2"/>
      <c r="I206" s="2"/>
      <c r="J206" s="2"/>
    </row>
    <row r="207" spans="3:10" x14ac:dyDescent="0.25">
      <c r="C207" s="2"/>
      <c r="D207" s="2"/>
      <c r="F207" s="2"/>
      <c r="G207" s="2"/>
      <c r="H207" s="2"/>
      <c r="I207" s="2"/>
      <c r="J207" s="2"/>
    </row>
    <row r="208" spans="3:10" x14ac:dyDescent="0.25">
      <c r="C208" s="2"/>
      <c r="D208" s="2"/>
      <c r="F208" s="2"/>
      <c r="G208" s="2"/>
      <c r="H208" s="2"/>
      <c r="I208" s="2"/>
      <c r="J208" s="2"/>
    </row>
    <row r="209" spans="3:10" x14ac:dyDescent="0.25">
      <c r="C209" s="2"/>
      <c r="D209" s="2"/>
      <c r="F209" s="2"/>
      <c r="G209" s="2"/>
      <c r="H209" s="2"/>
      <c r="I209" s="2"/>
      <c r="J209" s="2"/>
    </row>
    <row r="210" spans="3:10" x14ac:dyDescent="0.25">
      <c r="C210" s="2"/>
      <c r="D210" s="2"/>
      <c r="F210" s="2"/>
      <c r="G210" s="2"/>
      <c r="H210" s="2"/>
      <c r="I210" s="2"/>
      <c r="J210" s="2"/>
    </row>
    <row r="211" spans="3:10" x14ac:dyDescent="0.25">
      <c r="C211" s="2"/>
      <c r="D211" s="2"/>
      <c r="F211" s="2"/>
      <c r="G211" s="2"/>
      <c r="H211" s="2"/>
      <c r="I211" s="2"/>
      <c r="J211" s="2"/>
    </row>
    <row r="212" spans="3:10" x14ac:dyDescent="0.25">
      <c r="C212" s="2"/>
      <c r="D212" s="2"/>
      <c r="F212" s="2"/>
      <c r="G212" s="2"/>
      <c r="H212" s="2"/>
      <c r="I212" s="2"/>
      <c r="J212" s="2"/>
    </row>
    <row r="213" spans="3:10" x14ac:dyDescent="0.25">
      <c r="C213" s="2"/>
      <c r="D213" s="2"/>
      <c r="F213" s="2"/>
      <c r="G213" s="2"/>
      <c r="H213" s="2"/>
      <c r="I213" s="2"/>
      <c r="J213" s="2"/>
    </row>
    <row r="214" spans="3:10" x14ac:dyDescent="0.25">
      <c r="C214" s="2"/>
      <c r="D214" s="2"/>
      <c r="F214" s="2"/>
      <c r="G214" s="2"/>
      <c r="H214" s="2"/>
      <c r="I214" s="2"/>
      <c r="J214" s="2"/>
    </row>
    <row r="215" spans="3:10" x14ac:dyDescent="0.25">
      <c r="C215" s="2"/>
      <c r="D215" s="2"/>
      <c r="F215" s="2"/>
      <c r="G215" s="2"/>
      <c r="H215" s="2"/>
      <c r="I215" s="2"/>
      <c r="J215" s="2"/>
    </row>
    <row r="216" spans="3:10" x14ac:dyDescent="0.25">
      <c r="C216" s="2"/>
      <c r="D216" s="2"/>
      <c r="F216" s="2"/>
      <c r="G216" s="2"/>
      <c r="H216" s="2"/>
      <c r="I216" s="2"/>
      <c r="J216" s="2"/>
    </row>
    <row r="217" spans="3:10" x14ac:dyDescent="0.25">
      <c r="C217" s="2"/>
      <c r="D217" s="2"/>
      <c r="F217" s="2"/>
      <c r="G217" s="2"/>
      <c r="H217" s="2"/>
      <c r="I217" s="2"/>
      <c r="J217" s="2"/>
    </row>
    <row r="218" spans="3:10" x14ac:dyDescent="0.25">
      <c r="C218" s="2"/>
      <c r="D218" s="2"/>
      <c r="F218" s="2"/>
      <c r="G218" s="2"/>
      <c r="H218" s="2"/>
      <c r="I218" s="2"/>
      <c r="J218" s="2"/>
    </row>
    <row r="219" spans="3:10" x14ac:dyDescent="0.25">
      <c r="C219" s="2"/>
      <c r="D219" s="2"/>
      <c r="F219" s="2"/>
      <c r="G219" s="2"/>
      <c r="H219" s="2"/>
      <c r="I219" s="2"/>
      <c r="J219" s="2"/>
    </row>
    <row r="220" spans="3:10" x14ac:dyDescent="0.25">
      <c r="C220" s="2"/>
      <c r="D220" s="2"/>
      <c r="F220" s="2"/>
      <c r="G220" s="2"/>
      <c r="H220" s="2"/>
      <c r="I220" s="2"/>
      <c r="J220" s="2"/>
    </row>
    <row r="221" spans="3:10" x14ac:dyDescent="0.25">
      <c r="C221" s="2"/>
      <c r="D221" s="2"/>
      <c r="F221" s="2"/>
      <c r="G221" s="2"/>
      <c r="H221" s="2"/>
      <c r="I221" s="2"/>
      <c r="J221" s="2"/>
    </row>
    <row r="222" spans="3:10" x14ac:dyDescent="0.25">
      <c r="C222" s="2"/>
      <c r="D222" s="2"/>
      <c r="F222" s="2"/>
      <c r="G222" s="2"/>
      <c r="H222" s="2"/>
      <c r="I222" s="2"/>
      <c r="J222" s="2"/>
    </row>
    <row r="223" spans="3:10" x14ac:dyDescent="0.25">
      <c r="C223" s="2"/>
      <c r="D223" s="2"/>
      <c r="F223" s="2"/>
      <c r="G223" s="2"/>
      <c r="H223" s="2"/>
      <c r="I223" s="2"/>
      <c r="J223" s="2"/>
    </row>
    <row r="224" spans="3:10" x14ac:dyDescent="0.25">
      <c r="C224" s="2"/>
      <c r="D224" s="2"/>
      <c r="F224" s="2"/>
      <c r="G224" s="2"/>
      <c r="H224" s="2"/>
      <c r="I224" s="2"/>
      <c r="J224" s="2"/>
    </row>
    <row r="225" spans="3:10" x14ac:dyDescent="0.25">
      <c r="C225" s="2"/>
      <c r="D225" s="2"/>
      <c r="F225" s="2"/>
      <c r="G225" s="2"/>
      <c r="H225" s="2"/>
      <c r="I225" s="2"/>
      <c r="J225" s="2"/>
    </row>
    <row r="226" spans="3:10" x14ac:dyDescent="0.25">
      <c r="C226" s="2"/>
      <c r="D226" s="2"/>
      <c r="F226" s="2"/>
      <c r="G226" s="2"/>
      <c r="H226" s="2"/>
      <c r="I226" s="2"/>
      <c r="J226" s="2"/>
    </row>
    <row r="227" spans="3:10" x14ac:dyDescent="0.25">
      <c r="C227" s="2"/>
      <c r="D227" s="2"/>
      <c r="F227" s="2"/>
      <c r="G227" s="2"/>
      <c r="H227" s="2"/>
      <c r="I227" s="2"/>
      <c r="J227" s="2"/>
    </row>
    <row r="228" spans="3:10" x14ac:dyDescent="0.25">
      <c r="C228" s="2"/>
      <c r="D228" s="2"/>
      <c r="F228" s="2"/>
      <c r="G228" s="2"/>
      <c r="H228" s="2"/>
      <c r="I228" s="2"/>
      <c r="J228" s="2"/>
    </row>
    <row r="229" spans="3:10" x14ac:dyDescent="0.25">
      <c r="C229" s="2"/>
      <c r="D229" s="2"/>
      <c r="F229" s="2"/>
      <c r="G229" s="2"/>
      <c r="H229" s="2"/>
      <c r="I229" s="2"/>
      <c r="J229" s="2"/>
    </row>
    <row r="230" spans="3:10" x14ac:dyDescent="0.25">
      <c r="C230" s="2"/>
      <c r="D230" s="2"/>
      <c r="F230" s="2"/>
      <c r="G230" s="2"/>
      <c r="H230" s="2"/>
      <c r="I230" s="2"/>
      <c r="J230" s="2"/>
    </row>
    <row r="231" spans="3:10" x14ac:dyDescent="0.25">
      <c r="C231" s="2"/>
      <c r="D231" s="2"/>
      <c r="F231" s="2"/>
      <c r="G231" s="2"/>
      <c r="H231" s="2"/>
      <c r="I231" s="2"/>
      <c r="J231" s="2"/>
    </row>
    <row r="232" spans="3:10" x14ac:dyDescent="0.25">
      <c r="C232" s="2"/>
      <c r="D232" s="2"/>
      <c r="F232" s="2"/>
      <c r="G232" s="2"/>
      <c r="H232" s="2"/>
      <c r="I232" s="2"/>
      <c r="J232" s="2"/>
    </row>
    <row r="233" spans="3:10" x14ac:dyDescent="0.25">
      <c r="C233" s="2"/>
      <c r="D233" s="2"/>
      <c r="F233" s="2"/>
      <c r="G233" s="2"/>
      <c r="H233" s="2"/>
      <c r="I233" s="2"/>
      <c r="J233" s="2"/>
    </row>
    <row r="234" spans="3:10" x14ac:dyDescent="0.25">
      <c r="C234" s="2"/>
      <c r="D234" s="2"/>
      <c r="F234" s="2"/>
      <c r="G234" s="2"/>
      <c r="H234" s="2"/>
      <c r="I234" s="2"/>
      <c r="J234" s="2"/>
    </row>
    <row r="235" spans="3:10" x14ac:dyDescent="0.25">
      <c r="C235" s="2"/>
      <c r="D235" s="2"/>
      <c r="F235" s="2"/>
      <c r="G235" s="2"/>
      <c r="H235" s="2"/>
      <c r="I235" s="2"/>
      <c r="J235" s="2"/>
    </row>
    <row r="236" spans="3:10" x14ac:dyDescent="0.25">
      <c r="C236" s="2"/>
      <c r="D236" s="2"/>
      <c r="F236" s="2"/>
      <c r="G236" s="2"/>
      <c r="H236" s="2"/>
      <c r="I236" s="2"/>
      <c r="J236" s="2"/>
    </row>
    <row r="237" spans="3:10" x14ac:dyDescent="0.25">
      <c r="C237" s="2"/>
      <c r="D237" s="2"/>
      <c r="F237" s="2"/>
      <c r="G237" s="2"/>
      <c r="H237" s="2"/>
      <c r="I237" s="2"/>
      <c r="J237" s="2"/>
    </row>
    <row r="238" spans="3:10" x14ac:dyDescent="0.25">
      <c r="C238" s="2"/>
      <c r="D238" s="2"/>
      <c r="F238" s="2"/>
      <c r="G238" s="2"/>
      <c r="H238" s="2"/>
      <c r="I238" s="2"/>
      <c r="J238" s="2"/>
    </row>
    <row r="239" spans="3:10" x14ac:dyDescent="0.25">
      <c r="C239" s="2"/>
      <c r="D239" s="2"/>
      <c r="F239" s="2"/>
      <c r="G239" s="2"/>
      <c r="H239" s="2"/>
      <c r="I239" s="2"/>
      <c r="J239" s="2"/>
    </row>
    <row r="240" spans="3:10" x14ac:dyDescent="0.25">
      <c r="C240" s="2"/>
      <c r="D240" s="2"/>
      <c r="F240" s="2"/>
      <c r="G240" s="2"/>
      <c r="H240" s="2"/>
      <c r="I240" s="2"/>
      <c r="J240" s="2"/>
    </row>
    <row r="241" spans="3:10" x14ac:dyDescent="0.25">
      <c r="C241" s="2"/>
      <c r="D241" s="2"/>
      <c r="F241" s="2"/>
      <c r="G241" s="2"/>
      <c r="H241" s="2"/>
      <c r="I241" s="2"/>
      <c r="J241" s="2"/>
    </row>
    <row r="242" spans="3:10" x14ac:dyDescent="0.25">
      <c r="C242" s="2"/>
      <c r="D242" s="2"/>
      <c r="F242" s="2"/>
      <c r="G242" s="2"/>
      <c r="H242" s="2"/>
      <c r="I242" s="2"/>
      <c r="J242" s="2"/>
    </row>
    <row r="243" spans="3:10" x14ac:dyDescent="0.25">
      <c r="C243" s="2"/>
      <c r="D243" s="2"/>
      <c r="F243" s="2"/>
      <c r="G243" s="2"/>
      <c r="H243" s="2"/>
      <c r="I243" s="2"/>
      <c r="J243" s="2"/>
    </row>
    <row r="244" spans="3:10" x14ac:dyDescent="0.25">
      <c r="C244" s="2"/>
      <c r="D244" s="2"/>
      <c r="F244" s="2"/>
      <c r="G244" s="2"/>
      <c r="H244" s="2"/>
      <c r="I244" s="2"/>
      <c r="J244" s="2"/>
    </row>
    <row r="245" spans="3:10" x14ac:dyDescent="0.25">
      <c r="C245" s="2"/>
      <c r="D245" s="2"/>
      <c r="F245" s="2"/>
      <c r="G245" s="2"/>
      <c r="H245" s="2"/>
      <c r="I245" s="2"/>
      <c r="J245" s="2"/>
    </row>
    <row r="246" spans="3:10" x14ac:dyDescent="0.25">
      <c r="C246" s="2"/>
      <c r="D246" s="2"/>
      <c r="F246" s="2"/>
      <c r="G246" s="2"/>
      <c r="H246" s="2"/>
      <c r="I246" s="2"/>
      <c r="J246" s="2"/>
    </row>
    <row r="247" spans="3:10" x14ac:dyDescent="0.25">
      <c r="C247" s="2"/>
      <c r="D247" s="2"/>
      <c r="F247" s="2"/>
      <c r="G247" s="2"/>
      <c r="H247" s="2"/>
      <c r="I247" s="2"/>
      <c r="J247" s="2"/>
    </row>
    <row r="248" spans="3:10" x14ac:dyDescent="0.25">
      <c r="C248" s="2"/>
      <c r="D248" s="2"/>
      <c r="F248" s="2"/>
      <c r="G248" s="2"/>
      <c r="H248" s="2"/>
      <c r="I248" s="2"/>
      <c r="J248" s="2"/>
    </row>
    <row r="249" spans="3:10" x14ac:dyDescent="0.25">
      <c r="C249" s="2"/>
      <c r="D249" s="2"/>
      <c r="F249" s="2"/>
      <c r="G249" s="2"/>
      <c r="H249" s="2"/>
      <c r="I249" s="2"/>
      <c r="J249" s="2"/>
    </row>
    <row r="250" spans="3:10" x14ac:dyDescent="0.25">
      <c r="C250" s="2"/>
      <c r="D250" s="2"/>
      <c r="F250" s="2"/>
      <c r="G250" s="2"/>
      <c r="H250" s="2"/>
      <c r="I250" s="2"/>
      <c r="J250" s="2"/>
    </row>
    <row r="251" spans="3:10" x14ac:dyDescent="0.25">
      <c r="C251" s="2"/>
      <c r="D251" s="2"/>
      <c r="F251" s="2"/>
      <c r="G251" s="2"/>
      <c r="H251" s="2"/>
      <c r="I251" s="2"/>
      <c r="J251" s="2"/>
    </row>
    <row r="252" spans="3:10" x14ac:dyDescent="0.25">
      <c r="C252" s="2"/>
      <c r="D252" s="2"/>
      <c r="F252" s="2"/>
      <c r="G252" s="2"/>
      <c r="H252" s="2"/>
      <c r="I252" s="2"/>
      <c r="J252" s="2"/>
    </row>
    <row r="253" spans="3:10" x14ac:dyDescent="0.25">
      <c r="C253" s="2"/>
      <c r="D253" s="2"/>
      <c r="F253" s="2"/>
      <c r="G253" s="2"/>
      <c r="H253" s="2"/>
      <c r="I253" s="2"/>
      <c r="J253" s="2"/>
    </row>
    <row r="254" spans="3:10" x14ac:dyDescent="0.25">
      <c r="C254" s="2"/>
      <c r="D254" s="2"/>
      <c r="F254" s="2"/>
      <c r="G254" s="2"/>
      <c r="H254" s="2"/>
      <c r="I254" s="2"/>
      <c r="J254" s="2"/>
    </row>
    <row r="255" spans="3:10" x14ac:dyDescent="0.25">
      <c r="C255" s="2"/>
      <c r="D255" s="2"/>
      <c r="F255" s="2"/>
      <c r="G255" s="2"/>
      <c r="H255" s="2"/>
      <c r="I255" s="2"/>
      <c r="J255" s="2"/>
    </row>
    <row r="256" spans="3:10" x14ac:dyDescent="0.25">
      <c r="C256" s="2"/>
      <c r="D256" s="2"/>
      <c r="F256" s="2"/>
      <c r="G256" s="2"/>
      <c r="H256" s="2"/>
      <c r="I256" s="2"/>
      <c r="J256" s="2"/>
    </row>
    <row r="257" spans="3:10" x14ac:dyDescent="0.25">
      <c r="C257" s="2"/>
      <c r="D257" s="2"/>
      <c r="F257" s="2"/>
      <c r="G257" s="2"/>
      <c r="H257" s="2"/>
      <c r="I257" s="2"/>
      <c r="J257" s="2"/>
    </row>
    <row r="258" spans="3:10" x14ac:dyDescent="0.25">
      <c r="C258" s="2"/>
      <c r="D258" s="2"/>
      <c r="F258" s="2"/>
      <c r="G258" s="2"/>
      <c r="H258" s="2"/>
      <c r="I258" s="2"/>
      <c r="J258" s="2"/>
    </row>
    <row r="259" spans="3:10" x14ac:dyDescent="0.25">
      <c r="C259" s="2"/>
      <c r="D259" s="2"/>
      <c r="F259" s="2"/>
      <c r="G259" s="2"/>
      <c r="H259" s="2"/>
      <c r="I259" s="2"/>
      <c r="J259" s="2"/>
    </row>
    <row r="260" spans="3:10" x14ac:dyDescent="0.25">
      <c r="C260" s="2"/>
      <c r="D260" s="2"/>
      <c r="F260" s="2"/>
      <c r="G260" s="2"/>
      <c r="H260" s="2"/>
      <c r="I260" s="2"/>
      <c r="J260" s="2"/>
    </row>
    <row r="261" spans="3:10" x14ac:dyDescent="0.25">
      <c r="C261" s="2"/>
      <c r="D261" s="2"/>
      <c r="F261" s="2"/>
      <c r="G261" s="2"/>
      <c r="H261" s="2"/>
      <c r="I261" s="2"/>
      <c r="J261" s="2"/>
    </row>
    <row r="262" spans="3:10" x14ac:dyDescent="0.25">
      <c r="C262" s="2"/>
      <c r="D262" s="2"/>
      <c r="F262" s="2"/>
      <c r="G262" s="2"/>
      <c r="H262" s="2"/>
      <c r="I262" s="2"/>
      <c r="J262" s="2"/>
    </row>
    <row r="263" spans="3:10" x14ac:dyDescent="0.25">
      <c r="C263" s="2"/>
      <c r="D263" s="2"/>
      <c r="F263" s="2"/>
      <c r="G263" s="2"/>
      <c r="H263" s="2"/>
      <c r="I263" s="2"/>
      <c r="J263" s="2"/>
    </row>
    <row r="264" spans="3:10" x14ac:dyDescent="0.25">
      <c r="C264" s="2"/>
      <c r="D264" s="2"/>
      <c r="F264" s="2"/>
      <c r="G264" s="2"/>
      <c r="H264" s="2"/>
      <c r="I264" s="2"/>
      <c r="J264" s="2"/>
    </row>
    <row r="265" spans="3:10" x14ac:dyDescent="0.25">
      <c r="C265" s="2"/>
      <c r="D265" s="2"/>
      <c r="F265" s="2"/>
      <c r="G265" s="2"/>
      <c r="H265" s="2"/>
      <c r="I265" s="2"/>
      <c r="J265" s="2"/>
    </row>
    <row r="266" spans="3:10" x14ac:dyDescent="0.25">
      <c r="C266" s="2"/>
      <c r="D266" s="2"/>
      <c r="F266" s="2"/>
      <c r="G266" s="2"/>
      <c r="H266" s="2"/>
      <c r="I266" s="2"/>
      <c r="J266" s="2"/>
    </row>
    <row r="267" spans="3:10" x14ac:dyDescent="0.25">
      <c r="C267" s="2"/>
      <c r="D267" s="2"/>
      <c r="F267" s="2"/>
      <c r="G267" s="2"/>
      <c r="H267" s="2"/>
      <c r="I267" s="2"/>
      <c r="J267" s="2"/>
    </row>
    <row r="268" spans="3:10" x14ac:dyDescent="0.25">
      <c r="C268" s="2"/>
      <c r="D268" s="2"/>
      <c r="F268" s="2"/>
      <c r="G268" s="2"/>
      <c r="H268" s="2"/>
      <c r="I268" s="2"/>
      <c r="J268" s="2"/>
    </row>
    <row r="269" spans="3:10" x14ac:dyDescent="0.25">
      <c r="C269" s="2"/>
      <c r="D269" s="2"/>
      <c r="F269" s="2"/>
      <c r="G269" s="2"/>
      <c r="H269" s="2"/>
      <c r="I269" s="2"/>
      <c r="J269" s="2"/>
    </row>
    <row r="270" spans="3:10" x14ac:dyDescent="0.25">
      <c r="C270" s="2"/>
      <c r="D270" s="2"/>
      <c r="F270" s="2"/>
      <c r="G270" s="2"/>
      <c r="H270" s="2"/>
      <c r="I270" s="2"/>
      <c r="J270" s="2"/>
    </row>
    <row r="271" spans="3:10" x14ac:dyDescent="0.25">
      <c r="C271" s="2"/>
      <c r="D271" s="2"/>
      <c r="F271" s="2"/>
      <c r="G271" s="2"/>
      <c r="H271" s="2"/>
      <c r="I271" s="2"/>
      <c r="J271" s="2"/>
    </row>
    <row r="272" spans="3:10" x14ac:dyDescent="0.25">
      <c r="C272" s="2"/>
      <c r="D272" s="2"/>
      <c r="F272" s="2"/>
      <c r="G272" s="2"/>
      <c r="H272" s="2"/>
      <c r="I272" s="2"/>
      <c r="J272" s="2"/>
    </row>
    <row r="273" spans="3:10" x14ac:dyDescent="0.25">
      <c r="C273" s="2"/>
      <c r="D273" s="2"/>
      <c r="F273" s="2"/>
      <c r="G273" s="2"/>
      <c r="H273" s="2"/>
      <c r="I273" s="2"/>
      <c r="J273" s="2"/>
    </row>
    <row r="274" spans="3:10" x14ac:dyDescent="0.25">
      <c r="C274" s="2"/>
      <c r="D274" s="2"/>
      <c r="F274" s="2"/>
      <c r="G274" s="2"/>
      <c r="H274" s="2"/>
      <c r="I274" s="2"/>
      <c r="J274" s="2"/>
    </row>
    <row r="275" spans="3:10" x14ac:dyDescent="0.25">
      <c r="C275" s="2"/>
      <c r="D275" s="2"/>
      <c r="F275" s="2"/>
      <c r="G275" s="2"/>
      <c r="H275" s="2"/>
      <c r="I275" s="2"/>
      <c r="J275" s="2"/>
    </row>
    <row r="276" spans="3:10" x14ac:dyDescent="0.25">
      <c r="C276" s="2"/>
      <c r="D276" s="2"/>
      <c r="F276" s="2"/>
      <c r="G276" s="2"/>
      <c r="H276" s="2"/>
      <c r="I276" s="2"/>
      <c r="J276" s="2"/>
    </row>
    <row r="277" spans="3:10" x14ac:dyDescent="0.25">
      <c r="C277" s="2"/>
      <c r="D277" s="2"/>
      <c r="F277" s="2"/>
      <c r="G277" s="2"/>
      <c r="H277" s="2"/>
      <c r="I277" s="2"/>
      <c r="J277" s="2"/>
    </row>
    <row r="278" spans="3:10" x14ac:dyDescent="0.25">
      <c r="C278" s="2"/>
      <c r="D278" s="2"/>
      <c r="F278" s="2"/>
      <c r="G278" s="2"/>
      <c r="H278" s="2"/>
      <c r="I278" s="2"/>
      <c r="J278" s="2"/>
    </row>
    <row r="279" spans="3:10" x14ac:dyDescent="0.25">
      <c r="C279" s="2"/>
      <c r="D279" s="2"/>
      <c r="F279" s="2"/>
      <c r="G279" s="2"/>
      <c r="H279" s="2"/>
      <c r="I279" s="2"/>
      <c r="J279" s="2"/>
    </row>
    <row r="280" spans="3:10" x14ac:dyDescent="0.25">
      <c r="C280" s="2"/>
      <c r="D280" s="2"/>
      <c r="F280" s="2"/>
      <c r="G280" s="2"/>
      <c r="H280" s="2"/>
      <c r="I280" s="2"/>
      <c r="J280" s="2"/>
    </row>
    <row r="281" spans="3:10" x14ac:dyDescent="0.25">
      <c r="C281" s="2"/>
      <c r="D281" s="2"/>
      <c r="F281" s="2"/>
      <c r="G281" s="2"/>
      <c r="H281" s="2"/>
      <c r="I281" s="2"/>
      <c r="J281" s="2"/>
    </row>
    <row r="282" spans="3:10" x14ac:dyDescent="0.25">
      <c r="C282" s="2"/>
      <c r="D282" s="2"/>
      <c r="F282" s="2"/>
      <c r="G282" s="2"/>
      <c r="H282" s="2"/>
      <c r="I282" s="2"/>
      <c r="J282" s="2"/>
    </row>
    <row r="283" spans="3:10" x14ac:dyDescent="0.25">
      <c r="C283" s="2"/>
      <c r="D283" s="2"/>
      <c r="F283" s="2"/>
      <c r="G283" s="2"/>
      <c r="H283" s="2"/>
      <c r="I283" s="2"/>
      <c r="J283" s="2"/>
    </row>
    <row r="284" spans="3:10" x14ac:dyDescent="0.25">
      <c r="C284" s="2"/>
      <c r="D284" s="2"/>
      <c r="F284" s="2"/>
      <c r="G284" s="2"/>
      <c r="H284" s="2"/>
      <c r="I284" s="2"/>
      <c r="J284" s="2"/>
    </row>
    <row r="285" spans="3:10" x14ac:dyDescent="0.25">
      <c r="C285" s="2"/>
      <c r="D285" s="2"/>
      <c r="F285" s="2"/>
      <c r="G285" s="2"/>
      <c r="H285" s="2"/>
      <c r="I285" s="2"/>
      <c r="J285" s="2"/>
    </row>
    <row r="286" spans="3:10" x14ac:dyDescent="0.25">
      <c r="C286" s="2"/>
      <c r="D286" s="2"/>
      <c r="F286" s="2"/>
      <c r="G286" s="2"/>
      <c r="H286" s="2"/>
      <c r="I286" s="2"/>
      <c r="J286" s="2"/>
    </row>
    <row r="287" spans="3:10" x14ac:dyDescent="0.25">
      <c r="C287" s="2"/>
      <c r="D287" s="2"/>
      <c r="F287" s="2"/>
      <c r="G287" s="2"/>
      <c r="H287" s="2"/>
      <c r="I287" s="2"/>
      <c r="J287" s="2"/>
    </row>
    <row r="288" spans="3:10" x14ac:dyDescent="0.25">
      <c r="C288" s="2"/>
      <c r="D288" s="2"/>
      <c r="F288" s="2"/>
      <c r="G288" s="2"/>
      <c r="H288" s="2"/>
      <c r="I288" s="2"/>
      <c r="J288" s="2"/>
    </row>
    <row r="289" spans="3:10" x14ac:dyDescent="0.25">
      <c r="C289" s="2"/>
      <c r="D289" s="2"/>
      <c r="F289" s="2"/>
      <c r="G289" s="2"/>
      <c r="H289" s="2"/>
      <c r="I289" s="2"/>
      <c r="J289" s="2"/>
    </row>
    <row r="290" spans="3:10" x14ac:dyDescent="0.25">
      <c r="C290" s="2"/>
      <c r="D290" s="2"/>
      <c r="F290" s="2"/>
      <c r="G290" s="2"/>
      <c r="H290" s="2"/>
      <c r="I290" s="2"/>
      <c r="J290" s="2"/>
    </row>
    <row r="291" spans="3:10" x14ac:dyDescent="0.25">
      <c r="C291" s="2"/>
      <c r="D291" s="2"/>
      <c r="F291" s="2"/>
      <c r="G291" s="2"/>
      <c r="H291" s="2"/>
      <c r="I291" s="2"/>
      <c r="J291" s="2"/>
    </row>
    <row r="292" spans="3:10" x14ac:dyDescent="0.25">
      <c r="C292" s="2"/>
      <c r="D292" s="2"/>
      <c r="F292" s="2"/>
      <c r="G292" s="2"/>
      <c r="H292" s="2"/>
      <c r="I292" s="2"/>
      <c r="J292" s="2"/>
    </row>
    <row r="293" spans="3:10" x14ac:dyDescent="0.25">
      <c r="C293" s="2"/>
      <c r="D293" s="2"/>
      <c r="F293" s="2"/>
      <c r="G293" s="2"/>
      <c r="H293" s="2"/>
      <c r="I293" s="2"/>
      <c r="J293" s="2"/>
    </row>
    <row r="294" spans="3:10" x14ac:dyDescent="0.25">
      <c r="C294" s="2"/>
      <c r="D294" s="2"/>
      <c r="F294" s="2"/>
      <c r="G294" s="2"/>
      <c r="H294" s="2"/>
      <c r="I294" s="2"/>
      <c r="J294" s="2"/>
    </row>
    <row r="295" spans="3:10" x14ac:dyDescent="0.25">
      <c r="C295" s="2"/>
      <c r="D295" s="2"/>
      <c r="F295" s="2"/>
      <c r="G295" s="2"/>
      <c r="H295" s="2"/>
      <c r="I295" s="2"/>
      <c r="J295" s="2"/>
    </row>
    <row r="296" spans="3:10" x14ac:dyDescent="0.25">
      <c r="C296" s="2"/>
      <c r="D296" s="2"/>
      <c r="F296" s="2"/>
      <c r="G296" s="2"/>
      <c r="H296" s="2"/>
      <c r="I296" s="2"/>
      <c r="J296" s="2"/>
    </row>
    <row r="297" spans="3:10" x14ac:dyDescent="0.25">
      <c r="C297" s="2"/>
      <c r="D297" s="2"/>
      <c r="F297" s="2"/>
      <c r="G297" s="2"/>
      <c r="H297" s="2"/>
      <c r="I297" s="2"/>
      <c r="J297" s="2"/>
    </row>
    <row r="298" spans="3:10" x14ac:dyDescent="0.25">
      <c r="C298" s="2"/>
      <c r="D298" s="2"/>
      <c r="F298" s="2"/>
      <c r="G298" s="2"/>
      <c r="H298" s="2"/>
      <c r="I298" s="2"/>
      <c r="J298" s="2"/>
    </row>
    <row r="299" spans="3:10" x14ac:dyDescent="0.25">
      <c r="C299" s="2"/>
      <c r="D299" s="2"/>
      <c r="F299" s="2"/>
      <c r="G299" s="2"/>
      <c r="H299" s="2"/>
      <c r="I299" s="2"/>
      <c r="J299" s="2"/>
    </row>
    <row r="300" spans="3:10" x14ac:dyDescent="0.25">
      <c r="C300" s="2"/>
      <c r="D300" s="2"/>
      <c r="F300" s="2"/>
      <c r="G300" s="2"/>
      <c r="H300" s="2"/>
      <c r="I300" s="2"/>
      <c r="J300" s="2"/>
    </row>
    <row r="301" spans="3:10" x14ac:dyDescent="0.25">
      <c r="C301" s="2"/>
      <c r="D301" s="2"/>
      <c r="F301" s="2"/>
      <c r="G301" s="2"/>
      <c r="H301" s="2"/>
      <c r="I301" s="2"/>
      <c r="J301" s="2"/>
    </row>
    <row r="1048576" spans="11:11" x14ac:dyDescent="0.25">
      <c r="K1048576" s="2"/>
    </row>
  </sheetData>
  <autoFilter ref="A1:X156" xr:uid="{68D84F63-B8AB-4E56-A548-DDB035CF322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A296-3404-47FC-9EE4-9C56EDB4A41C}">
  <sheetPr filterMode="1"/>
  <dimension ref="A1:Y213"/>
  <sheetViews>
    <sheetView workbookViewId="0"/>
  </sheetViews>
  <sheetFormatPr defaultColWidth="48.7109375" defaultRowHeight="15" x14ac:dyDescent="0.25"/>
  <cols>
    <col min="1" max="1" width="10.7109375" bestFit="1" customWidth="1"/>
    <col min="2" max="2" width="9.28515625" bestFit="1" customWidth="1"/>
    <col min="3" max="3" width="49.5703125" customWidth="1"/>
    <col min="4" max="4" width="63.140625" customWidth="1"/>
    <col min="5" max="5" width="30" customWidth="1"/>
    <col min="6" max="6" width="20.85546875" customWidth="1"/>
    <col min="7" max="7" width="25.140625" bestFit="1" customWidth="1"/>
    <col min="8" max="8" width="17.140625" customWidth="1"/>
    <col min="9" max="9" width="19.42578125" bestFit="1" customWidth="1"/>
    <col min="10" max="10" width="39.7109375" style="2" bestFit="1" customWidth="1"/>
    <col min="11" max="11" width="24.28515625" customWidth="1"/>
    <col min="12" max="12" width="22.5703125" bestFit="1" customWidth="1"/>
    <col min="13" max="13" width="20.42578125" style="2" customWidth="1"/>
    <col min="14" max="14" width="21" bestFit="1" customWidth="1"/>
    <col min="15" max="15" width="23.28515625" bestFit="1" customWidth="1"/>
    <col min="16" max="16" width="23.28515625" style="2" customWidth="1"/>
    <col min="17" max="18" width="23.28515625" customWidth="1"/>
    <col min="19" max="19" width="25.42578125" style="2" customWidth="1"/>
    <col min="20" max="20" width="20.140625" bestFit="1" customWidth="1"/>
    <col min="21" max="21" width="22.42578125" bestFit="1" customWidth="1"/>
    <col min="22" max="22" width="49" customWidth="1"/>
    <col min="23" max="24" width="22.42578125" customWidth="1"/>
    <col min="25" max="25" width="24.7109375" customWidth="1"/>
  </cols>
  <sheetData>
    <row r="1" spans="1:25" ht="30" x14ac:dyDescent="0.25">
      <c r="A1" s="5" t="s">
        <v>4</v>
      </c>
      <c r="B1" s="5" t="s">
        <v>0</v>
      </c>
      <c r="C1" s="5" t="s">
        <v>7</v>
      </c>
      <c r="D1" s="6" t="s">
        <v>8</v>
      </c>
      <c r="E1" s="6" t="s">
        <v>9</v>
      </c>
      <c r="F1" s="1" t="s">
        <v>10</v>
      </c>
      <c r="G1" s="4" t="s">
        <v>379</v>
      </c>
      <c r="H1" s="4" t="s">
        <v>380</v>
      </c>
      <c r="I1" s="4" t="s">
        <v>1031</v>
      </c>
      <c r="J1" s="4" t="s">
        <v>12</v>
      </c>
      <c r="K1" s="4" t="s">
        <v>13</v>
      </c>
      <c r="L1" s="4" t="s">
        <v>14</v>
      </c>
      <c r="M1" s="4" t="s">
        <v>1069</v>
      </c>
      <c r="N1" s="4" t="s">
        <v>1070</v>
      </c>
      <c r="O1" s="4" t="s">
        <v>1071</v>
      </c>
      <c r="P1" s="12" t="s">
        <v>1035</v>
      </c>
      <c r="Q1" s="12" t="s">
        <v>1066</v>
      </c>
      <c r="R1" s="12" t="s">
        <v>1074</v>
      </c>
      <c r="S1" s="1" t="s">
        <v>1052</v>
      </c>
      <c r="T1" s="4" t="s">
        <v>1053</v>
      </c>
      <c r="U1" s="4" t="s">
        <v>1054</v>
      </c>
      <c r="V1" s="12" t="s">
        <v>1048</v>
      </c>
      <c r="W1" s="12" t="s">
        <v>1050</v>
      </c>
      <c r="X1" s="12" t="s">
        <v>1073</v>
      </c>
      <c r="Y1" s="17" t="s">
        <v>368</v>
      </c>
    </row>
    <row r="2" spans="1:25" ht="240" x14ac:dyDescent="0.25">
      <c r="A2" t="s">
        <v>183</v>
      </c>
      <c r="B2" t="s">
        <v>184</v>
      </c>
      <c r="C2" s="2" t="s">
        <v>1072</v>
      </c>
      <c r="D2" s="2" t="s">
        <v>1075</v>
      </c>
      <c r="E2" s="2" t="s">
        <v>185</v>
      </c>
      <c r="F2" s="2" t="s">
        <v>186</v>
      </c>
      <c r="G2" t="s">
        <v>23</v>
      </c>
      <c r="H2" s="2" t="s">
        <v>187</v>
      </c>
      <c r="I2" s="2" t="s">
        <v>1</v>
      </c>
      <c r="J2" t="s">
        <v>23</v>
      </c>
      <c r="K2" s="2" t="s">
        <v>187</v>
      </c>
      <c r="L2" s="2" t="s">
        <v>1</v>
      </c>
      <c r="M2" t="s">
        <v>23</v>
      </c>
      <c r="N2" s="2" t="s">
        <v>187</v>
      </c>
      <c r="O2" s="2" t="s">
        <v>1</v>
      </c>
      <c r="P2" t="s">
        <v>23</v>
      </c>
      <c r="Q2" s="2" t="s">
        <v>187</v>
      </c>
      <c r="R2" s="2" t="s">
        <v>1</v>
      </c>
      <c r="S2" t="s">
        <v>23</v>
      </c>
      <c r="T2" s="2" t="s">
        <v>187</v>
      </c>
      <c r="U2" s="2" t="s">
        <v>1</v>
      </c>
      <c r="V2" t="s">
        <v>23</v>
      </c>
      <c r="W2" s="2" t="s">
        <v>187</v>
      </c>
      <c r="X2" s="2" t="s">
        <v>1</v>
      </c>
      <c r="Y2">
        <f>LEN(D2)+LEN(E2)</f>
        <v>723</v>
      </c>
    </row>
    <row r="3" spans="1:25" ht="240" hidden="1" x14ac:dyDescent="0.25">
      <c r="A3" t="s">
        <v>183</v>
      </c>
      <c r="B3" t="s">
        <v>184</v>
      </c>
      <c r="C3" s="2" t="s">
        <v>1072</v>
      </c>
      <c r="D3" s="2" t="s">
        <v>1075</v>
      </c>
      <c r="E3" s="2" t="s">
        <v>188</v>
      </c>
      <c r="F3" s="2" t="s">
        <v>186</v>
      </c>
      <c r="G3" t="s">
        <v>23</v>
      </c>
      <c r="H3" s="2" t="s">
        <v>187</v>
      </c>
      <c r="I3" s="2" t="s">
        <v>1</v>
      </c>
      <c r="J3" s="2" t="s">
        <v>181</v>
      </c>
      <c r="K3" s="2" t="s">
        <v>194</v>
      </c>
      <c r="L3" s="2" t="s">
        <v>1</v>
      </c>
      <c r="M3" t="s">
        <v>18</v>
      </c>
      <c r="N3" s="2" t="s">
        <v>194</v>
      </c>
      <c r="O3" s="2" t="s">
        <v>1</v>
      </c>
      <c r="P3" t="s">
        <v>18</v>
      </c>
      <c r="Q3" s="2" t="s">
        <v>194</v>
      </c>
      <c r="R3" s="2" t="s">
        <v>1</v>
      </c>
      <c r="S3" t="s">
        <v>18</v>
      </c>
      <c r="T3" t="s">
        <v>194</v>
      </c>
      <c r="U3" s="2" t="s">
        <v>1</v>
      </c>
      <c r="V3" t="s">
        <v>18</v>
      </c>
      <c r="W3" t="s">
        <v>194</v>
      </c>
      <c r="X3" s="2" t="s">
        <v>1</v>
      </c>
      <c r="Y3">
        <f t="shared" ref="Y3:Y66" si="0">LEN(D3)+LEN(E3)</f>
        <v>722</v>
      </c>
    </row>
    <row r="4" spans="1:25" ht="240" x14ac:dyDescent="0.25">
      <c r="A4" t="s">
        <v>183</v>
      </c>
      <c r="B4" t="s">
        <v>184</v>
      </c>
      <c r="C4" s="2" t="s">
        <v>1072</v>
      </c>
      <c r="D4" s="2" t="s">
        <v>1075</v>
      </c>
      <c r="E4" s="2" t="s">
        <v>189</v>
      </c>
      <c r="F4" s="2" t="s">
        <v>186</v>
      </c>
      <c r="G4" t="s">
        <v>23</v>
      </c>
      <c r="H4" s="2" t="s">
        <v>187</v>
      </c>
      <c r="I4" s="2" t="s">
        <v>1</v>
      </c>
      <c r="J4" s="2" t="s">
        <v>1076</v>
      </c>
      <c r="K4" s="2" t="s">
        <v>194</v>
      </c>
      <c r="L4" s="2" t="s">
        <v>1</v>
      </c>
      <c r="M4" t="s">
        <v>23</v>
      </c>
      <c r="N4" s="2" t="s">
        <v>187</v>
      </c>
      <c r="O4" s="2" t="s">
        <v>1</v>
      </c>
      <c r="P4" t="s">
        <v>23</v>
      </c>
      <c r="Q4" s="2" t="s">
        <v>187</v>
      </c>
      <c r="R4" s="2" t="s">
        <v>1</v>
      </c>
      <c r="S4" t="s">
        <v>23</v>
      </c>
      <c r="T4" s="2" t="s">
        <v>187</v>
      </c>
      <c r="U4" s="2" t="s">
        <v>1</v>
      </c>
      <c r="V4" t="s">
        <v>23</v>
      </c>
      <c r="W4" s="2" t="s">
        <v>187</v>
      </c>
      <c r="X4" s="2" t="s">
        <v>1</v>
      </c>
      <c r="Y4">
        <f t="shared" si="0"/>
        <v>716</v>
      </c>
    </row>
    <row r="5" spans="1:25" ht="409.5" x14ac:dyDescent="0.25">
      <c r="A5" t="s">
        <v>183</v>
      </c>
      <c r="B5" t="s">
        <v>184</v>
      </c>
      <c r="C5" s="2" t="s">
        <v>1072</v>
      </c>
      <c r="D5" s="2" t="s">
        <v>1075</v>
      </c>
      <c r="E5" s="2" t="s">
        <v>190</v>
      </c>
      <c r="F5" s="2" t="s">
        <v>186</v>
      </c>
      <c r="G5" t="s">
        <v>23</v>
      </c>
      <c r="H5" s="2" t="s">
        <v>187</v>
      </c>
      <c r="I5" s="2" t="s">
        <v>1</v>
      </c>
      <c r="J5" s="2" t="s">
        <v>1077</v>
      </c>
      <c r="K5" s="2" t="s">
        <v>187</v>
      </c>
      <c r="L5" s="2" t="s">
        <v>2</v>
      </c>
      <c r="M5" t="s">
        <v>23</v>
      </c>
      <c r="N5" s="2" t="s">
        <v>187</v>
      </c>
      <c r="O5" s="2" t="s">
        <v>1</v>
      </c>
      <c r="P5" t="s">
        <v>23</v>
      </c>
      <c r="Q5" s="2" t="s">
        <v>187</v>
      </c>
      <c r="R5" s="2" t="s">
        <v>1</v>
      </c>
      <c r="S5" t="s">
        <v>23</v>
      </c>
      <c r="T5" s="2" t="s">
        <v>187</v>
      </c>
      <c r="U5" s="2" t="s">
        <v>1</v>
      </c>
      <c r="V5" t="s">
        <v>23</v>
      </c>
      <c r="W5" s="2" t="s">
        <v>187</v>
      </c>
      <c r="X5" s="2" t="s">
        <v>1</v>
      </c>
      <c r="Y5">
        <f t="shared" si="0"/>
        <v>702</v>
      </c>
    </row>
    <row r="6" spans="1:25" ht="255" x14ac:dyDescent="0.25">
      <c r="A6" t="s">
        <v>183</v>
      </c>
      <c r="B6" t="s">
        <v>184</v>
      </c>
      <c r="C6" s="2" t="s">
        <v>1072</v>
      </c>
      <c r="D6" s="2" t="s">
        <v>1075</v>
      </c>
      <c r="E6" s="2" t="s">
        <v>191</v>
      </c>
      <c r="F6" s="2" t="s">
        <v>186</v>
      </c>
      <c r="G6" t="s">
        <v>23</v>
      </c>
      <c r="H6" s="2" t="s">
        <v>187</v>
      </c>
      <c r="I6" s="2" t="s">
        <v>1</v>
      </c>
      <c r="J6" s="2" t="s">
        <v>1078</v>
      </c>
      <c r="K6" s="2" t="s">
        <v>187</v>
      </c>
      <c r="L6" s="2" t="s">
        <v>2</v>
      </c>
      <c r="M6" t="s">
        <v>23</v>
      </c>
      <c r="N6" s="2" t="s">
        <v>187</v>
      </c>
      <c r="O6" s="2" t="s">
        <v>1</v>
      </c>
      <c r="P6" t="s">
        <v>23</v>
      </c>
      <c r="Q6" s="2" t="s">
        <v>187</v>
      </c>
      <c r="R6" s="2" t="s">
        <v>1</v>
      </c>
      <c r="S6" t="s">
        <v>23</v>
      </c>
      <c r="T6" s="2" t="s">
        <v>187</v>
      </c>
      <c r="U6" s="2" t="s">
        <v>1</v>
      </c>
      <c r="V6" t="s">
        <v>23</v>
      </c>
      <c r="W6" s="2" t="s">
        <v>187</v>
      </c>
      <c r="X6" s="2" t="s">
        <v>1</v>
      </c>
      <c r="Y6">
        <f t="shared" si="0"/>
        <v>721</v>
      </c>
    </row>
    <row r="7" spans="1:25" ht="240" x14ac:dyDescent="0.25">
      <c r="A7" t="s">
        <v>183</v>
      </c>
      <c r="B7" t="s">
        <v>184</v>
      </c>
      <c r="C7" s="2" t="s">
        <v>1072</v>
      </c>
      <c r="D7" s="2" t="s">
        <v>1075</v>
      </c>
      <c r="E7" s="2" t="s">
        <v>192</v>
      </c>
      <c r="F7" s="2" t="s">
        <v>193</v>
      </c>
      <c r="G7" t="s">
        <v>23</v>
      </c>
      <c r="H7" s="2" t="s">
        <v>187</v>
      </c>
      <c r="I7" s="2" t="s">
        <v>1</v>
      </c>
      <c r="J7" s="2" t="s">
        <v>1079</v>
      </c>
      <c r="K7" s="2" t="s">
        <v>194</v>
      </c>
      <c r="L7" s="2" t="s">
        <v>1</v>
      </c>
      <c r="M7" t="s">
        <v>23</v>
      </c>
      <c r="N7" s="2" t="s">
        <v>187</v>
      </c>
      <c r="O7" s="2" t="s">
        <v>1</v>
      </c>
      <c r="P7" t="s">
        <v>21</v>
      </c>
      <c r="Q7" s="2" t="s">
        <v>194</v>
      </c>
      <c r="R7" s="2" t="s">
        <v>1</v>
      </c>
      <c r="S7" t="s">
        <v>23</v>
      </c>
      <c r="T7" s="2" t="s">
        <v>187</v>
      </c>
      <c r="U7" s="2" t="s">
        <v>1</v>
      </c>
      <c r="V7" t="s">
        <v>23</v>
      </c>
      <c r="W7" s="2" t="s">
        <v>187</v>
      </c>
      <c r="X7" s="2" t="s">
        <v>1</v>
      </c>
      <c r="Y7">
        <f t="shared" si="0"/>
        <v>716</v>
      </c>
    </row>
    <row r="8" spans="1:25" ht="240" hidden="1" x14ac:dyDescent="0.25">
      <c r="A8" t="s">
        <v>183</v>
      </c>
      <c r="B8" t="s">
        <v>184</v>
      </c>
      <c r="C8" s="2" t="s">
        <v>1072</v>
      </c>
      <c r="D8" s="2" t="s">
        <v>1075</v>
      </c>
      <c r="E8" s="2" t="s">
        <v>195</v>
      </c>
      <c r="F8" s="2" t="s">
        <v>193</v>
      </c>
      <c r="G8" t="s">
        <v>23</v>
      </c>
      <c r="H8" s="2" t="s">
        <v>187</v>
      </c>
      <c r="I8" s="2" t="s">
        <v>1</v>
      </c>
      <c r="J8" s="2" t="s">
        <v>1080</v>
      </c>
      <c r="K8" s="2" t="s">
        <v>194</v>
      </c>
      <c r="L8" s="2" t="s">
        <v>1</v>
      </c>
      <c r="M8" t="s">
        <v>21</v>
      </c>
      <c r="N8" s="2" t="s">
        <v>194</v>
      </c>
      <c r="O8" s="2" t="s">
        <v>1</v>
      </c>
      <c r="P8" t="s">
        <v>18</v>
      </c>
      <c r="Q8" s="2" t="s">
        <v>194</v>
      </c>
      <c r="R8" s="2" t="s">
        <v>1</v>
      </c>
      <c r="S8" t="s">
        <v>21</v>
      </c>
      <c r="T8" s="2" t="s">
        <v>194</v>
      </c>
      <c r="U8" s="2" t="s">
        <v>1</v>
      </c>
      <c r="V8" t="s">
        <v>18</v>
      </c>
      <c r="W8" t="s">
        <v>194</v>
      </c>
      <c r="X8" s="2" t="s">
        <v>1</v>
      </c>
      <c r="Y8">
        <f t="shared" si="0"/>
        <v>709</v>
      </c>
    </row>
    <row r="9" spans="1:25" ht="240" hidden="1" x14ac:dyDescent="0.25">
      <c r="A9" t="s">
        <v>183</v>
      </c>
      <c r="B9" t="s">
        <v>184</v>
      </c>
      <c r="C9" s="2" t="s">
        <v>1072</v>
      </c>
      <c r="D9" s="2" t="s">
        <v>1075</v>
      </c>
      <c r="E9" s="2" t="s">
        <v>196</v>
      </c>
      <c r="F9" s="2" t="s">
        <v>193</v>
      </c>
      <c r="G9" t="s">
        <v>21</v>
      </c>
      <c r="H9" s="2" t="s">
        <v>194</v>
      </c>
      <c r="I9" s="2" t="s">
        <v>1</v>
      </c>
      <c r="J9" s="2" t="s">
        <v>1079</v>
      </c>
      <c r="K9" s="2" t="s">
        <v>194</v>
      </c>
      <c r="L9" s="2" t="s">
        <v>1</v>
      </c>
      <c r="M9" t="s">
        <v>21</v>
      </c>
      <c r="N9" s="2" t="s">
        <v>194</v>
      </c>
      <c r="O9" s="2" t="s">
        <v>1</v>
      </c>
      <c r="P9" t="s">
        <v>18</v>
      </c>
      <c r="Q9" s="2" t="s">
        <v>194</v>
      </c>
      <c r="R9" s="2" t="s">
        <v>1</v>
      </c>
      <c r="S9" t="s">
        <v>21</v>
      </c>
      <c r="T9" s="2" t="s">
        <v>194</v>
      </c>
      <c r="U9" s="2" t="s">
        <v>1</v>
      </c>
      <c r="V9" t="s">
        <v>18</v>
      </c>
      <c r="W9" t="s">
        <v>194</v>
      </c>
      <c r="X9" s="2" t="s">
        <v>1</v>
      </c>
      <c r="Y9">
        <f t="shared" si="0"/>
        <v>708</v>
      </c>
    </row>
    <row r="10" spans="1:25" ht="255" x14ac:dyDescent="0.25">
      <c r="A10" t="s">
        <v>183</v>
      </c>
      <c r="B10" t="s">
        <v>184</v>
      </c>
      <c r="C10" s="2" t="s">
        <v>1072</v>
      </c>
      <c r="D10" s="2" t="s">
        <v>1075</v>
      </c>
      <c r="E10" s="2" t="s">
        <v>197</v>
      </c>
      <c r="F10" s="2" t="s">
        <v>193</v>
      </c>
      <c r="G10" t="s">
        <v>23</v>
      </c>
      <c r="H10" s="2" t="s">
        <v>187</v>
      </c>
      <c r="I10" s="2" t="s">
        <v>1</v>
      </c>
      <c r="J10" s="2" t="s">
        <v>1081</v>
      </c>
      <c r="K10" s="2" t="s">
        <v>187</v>
      </c>
      <c r="L10" s="2" t="s">
        <v>2</v>
      </c>
      <c r="M10" t="s">
        <v>23</v>
      </c>
      <c r="N10" s="2" t="s">
        <v>187</v>
      </c>
      <c r="O10" s="2" t="s">
        <v>1</v>
      </c>
      <c r="P10" t="s">
        <v>18</v>
      </c>
      <c r="Q10" s="2" t="s">
        <v>194</v>
      </c>
      <c r="R10" s="2" t="s">
        <v>1</v>
      </c>
      <c r="S10" t="s">
        <v>18</v>
      </c>
      <c r="T10" s="2" t="s">
        <v>194</v>
      </c>
      <c r="U10" s="2" t="s">
        <v>1</v>
      </c>
      <c r="V10" t="s">
        <v>18</v>
      </c>
      <c r="W10" t="s">
        <v>194</v>
      </c>
      <c r="X10" s="2" t="s">
        <v>1</v>
      </c>
      <c r="Y10">
        <f t="shared" si="0"/>
        <v>718</v>
      </c>
    </row>
    <row r="11" spans="1:25" ht="240" hidden="1" x14ac:dyDescent="0.25">
      <c r="A11" t="s">
        <v>183</v>
      </c>
      <c r="B11" t="s">
        <v>184</v>
      </c>
      <c r="C11" s="2" t="s">
        <v>1072</v>
      </c>
      <c r="D11" s="2" t="s">
        <v>1075</v>
      </c>
      <c r="E11" s="2" t="s">
        <v>198</v>
      </c>
      <c r="F11" s="2" t="s">
        <v>193</v>
      </c>
      <c r="G11" t="s">
        <v>21</v>
      </c>
      <c r="H11" s="2" t="s">
        <v>194</v>
      </c>
      <c r="I11" s="2" t="s">
        <v>1</v>
      </c>
      <c r="J11" s="2" t="s">
        <v>1082</v>
      </c>
      <c r="K11" s="2" t="s">
        <v>194</v>
      </c>
      <c r="L11" s="2" t="s">
        <v>1</v>
      </c>
      <c r="M11" t="s">
        <v>21</v>
      </c>
      <c r="N11" s="2" t="s">
        <v>194</v>
      </c>
      <c r="O11" s="2" t="s">
        <v>1</v>
      </c>
      <c r="P11" t="s">
        <v>21</v>
      </c>
      <c r="Q11" s="2" t="s">
        <v>194</v>
      </c>
      <c r="R11" s="2" t="s">
        <v>1</v>
      </c>
      <c r="S11" t="s">
        <v>23</v>
      </c>
      <c r="T11" s="2" t="s">
        <v>187</v>
      </c>
      <c r="U11" s="2" t="s">
        <v>1</v>
      </c>
      <c r="V11" t="s">
        <v>18</v>
      </c>
      <c r="W11" t="s">
        <v>194</v>
      </c>
      <c r="X11" s="2" t="s">
        <v>1</v>
      </c>
      <c r="Y11">
        <f t="shared" si="0"/>
        <v>718</v>
      </c>
    </row>
    <row r="12" spans="1:25" ht="240" x14ac:dyDescent="0.25">
      <c r="A12" t="s">
        <v>183</v>
      </c>
      <c r="B12" t="s">
        <v>184</v>
      </c>
      <c r="C12" s="2" t="s">
        <v>1072</v>
      </c>
      <c r="D12" s="2" t="s">
        <v>1075</v>
      </c>
      <c r="E12" s="2" t="s">
        <v>199</v>
      </c>
      <c r="F12" s="2" t="s">
        <v>200</v>
      </c>
      <c r="G12" t="s">
        <v>23</v>
      </c>
      <c r="H12" s="2" t="s">
        <v>187</v>
      </c>
      <c r="I12" s="2" t="s">
        <v>1</v>
      </c>
      <c r="J12" t="s">
        <v>23</v>
      </c>
      <c r="K12" s="2" t="s">
        <v>187</v>
      </c>
      <c r="L12" s="2" t="s">
        <v>1</v>
      </c>
      <c r="M12" t="s">
        <v>23</v>
      </c>
      <c r="N12" s="2" t="s">
        <v>187</v>
      </c>
      <c r="O12" s="2" t="s">
        <v>1</v>
      </c>
      <c r="P12" t="s">
        <v>23</v>
      </c>
      <c r="Q12" s="2" t="s">
        <v>187</v>
      </c>
      <c r="R12" s="2" t="s">
        <v>1</v>
      </c>
      <c r="S12" t="s">
        <v>23</v>
      </c>
      <c r="T12" s="2" t="s">
        <v>187</v>
      </c>
      <c r="U12" s="2" t="s">
        <v>1</v>
      </c>
      <c r="V12" t="s">
        <v>23</v>
      </c>
      <c r="W12" s="2" t="s">
        <v>187</v>
      </c>
      <c r="X12" s="2" t="s">
        <v>1</v>
      </c>
      <c r="Y12">
        <f t="shared" si="0"/>
        <v>714</v>
      </c>
    </row>
    <row r="13" spans="1:25" ht="240" x14ac:dyDescent="0.25">
      <c r="A13" t="s">
        <v>183</v>
      </c>
      <c r="B13" t="s">
        <v>184</v>
      </c>
      <c r="C13" s="2" t="s">
        <v>1072</v>
      </c>
      <c r="D13" s="2" t="s">
        <v>1075</v>
      </c>
      <c r="E13" s="2" t="s">
        <v>201</v>
      </c>
      <c r="F13" s="2" t="s">
        <v>200</v>
      </c>
      <c r="G13" t="s">
        <v>23</v>
      </c>
      <c r="H13" s="2" t="s">
        <v>187</v>
      </c>
      <c r="I13" s="2" t="s">
        <v>1</v>
      </c>
      <c r="J13" s="2" t="s">
        <v>1083</v>
      </c>
      <c r="K13" s="2" t="s">
        <v>194</v>
      </c>
      <c r="L13" s="2" t="s">
        <v>2</v>
      </c>
      <c r="M13" t="s">
        <v>23</v>
      </c>
      <c r="N13" s="2" t="s">
        <v>187</v>
      </c>
      <c r="O13" s="2" t="s">
        <v>1</v>
      </c>
      <c r="P13" t="s">
        <v>23</v>
      </c>
      <c r="Q13" s="2" t="s">
        <v>187</v>
      </c>
      <c r="R13" s="2" t="s">
        <v>1</v>
      </c>
      <c r="S13" t="s">
        <v>23</v>
      </c>
      <c r="T13" s="2" t="s">
        <v>187</v>
      </c>
      <c r="U13" s="2" t="s">
        <v>1</v>
      </c>
      <c r="V13" t="s">
        <v>23</v>
      </c>
      <c r="W13" s="2" t="s">
        <v>187</v>
      </c>
      <c r="X13" s="2" t="s">
        <v>1</v>
      </c>
      <c r="Y13">
        <f t="shared" si="0"/>
        <v>714</v>
      </c>
    </row>
    <row r="14" spans="1:25" ht="240" hidden="1" x14ac:dyDescent="0.25">
      <c r="A14" t="s">
        <v>183</v>
      </c>
      <c r="B14" t="s">
        <v>184</v>
      </c>
      <c r="C14" s="2" t="s">
        <v>1072</v>
      </c>
      <c r="D14" s="2" t="s">
        <v>1075</v>
      </c>
      <c r="E14" s="2" t="s">
        <v>202</v>
      </c>
      <c r="F14" s="2" t="s">
        <v>200</v>
      </c>
      <c r="G14" t="s">
        <v>23</v>
      </c>
      <c r="H14" s="2" t="s">
        <v>187</v>
      </c>
      <c r="I14" s="2" t="s">
        <v>1</v>
      </c>
      <c r="J14" s="2" t="s">
        <v>23</v>
      </c>
      <c r="K14" s="2" t="s">
        <v>187</v>
      </c>
      <c r="L14" s="2" t="s">
        <v>1</v>
      </c>
      <c r="M14" t="s">
        <v>18</v>
      </c>
      <c r="N14" s="2" t="s">
        <v>194</v>
      </c>
      <c r="O14" s="2" t="s">
        <v>1</v>
      </c>
      <c r="P14" t="s">
        <v>23</v>
      </c>
      <c r="Q14" s="2" t="s">
        <v>187</v>
      </c>
      <c r="R14" s="2" t="s">
        <v>1</v>
      </c>
      <c r="S14" t="s">
        <v>23</v>
      </c>
      <c r="T14" t="s">
        <v>187</v>
      </c>
      <c r="U14" s="2" t="s">
        <v>1</v>
      </c>
      <c r="V14" t="s">
        <v>23</v>
      </c>
      <c r="W14" t="s">
        <v>187</v>
      </c>
      <c r="X14" s="2" t="s">
        <v>1</v>
      </c>
      <c r="Y14">
        <f t="shared" si="0"/>
        <v>719</v>
      </c>
    </row>
    <row r="15" spans="1:25" ht="240" x14ac:dyDescent="0.25">
      <c r="A15" t="s">
        <v>183</v>
      </c>
      <c r="B15" t="s">
        <v>184</v>
      </c>
      <c r="C15" s="2" t="s">
        <v>1072</v>
      </c>
      <c r="D15" s="2" t="s">
        <v>1075</v>
      </c>
      <c r="E15" s="2" t="s">
        <v>204</v>
      </c>
      <c r="F15" s="2" t="s">
        <v>200</v>
      </c>
      <c r="G15" t="s">
        <v>23</v>
      </c>
      <c r="H15" s="2" t="s">
        <v>187</v>
      </c>
      <c r="I15" s="2" t="s">
        <v>1</v>
      </c>
      <c r="J15" s="2" t="s">
        <v>1084</v>
      </c>
      <c r="K15" s="2" t="s">
        <v>187</v>
      </c>
      <c r="L15" s="2" t="s">
        <v>1</v>
      </c>
      <c r="M15" t="s">
        <v>23</v>
      </c>
      <c r="N15" s="2" t="s">
        <v>187</v>
      </c>
      <c r="O15" s="2" t="s">
        <v>1</v>
      </c>
      <c r="P15" t="s">
        <v>23</v>
      </c>
      <c r="Q15" s="2" t="s">
        <v>187</v>
      </c>
      <c r="R15" s="2" t="s">
        <v>1</v>
      </c>
      <c r="S15" t="s">
        <v>23</v>
      </c>
      <c r="T15" s="2" t="s">
        <v>187</v>
      </c>
      <c r="U15" s="2" t="s">
        <v>1</v>
      </c>
      <c r="V15" t="s">
        <v>23</v>
      </c>
      <c r="W15" s="2" t="s">
        <v>187</v>
      </c>
      <c r="X15" s="2" t="s">
        <v>1</v>
      </c>
      <c r="Y15">
        <f t="shared" si="0"/>
        <v>714</v>
      </c>
    </row>
    <row r="16" spans="1:25" ht="240" hidden="1" x14ac:dyDescent="0.25">
      <c r="A16" t="s">
        <v>183</v>
      </c>
      <c r="B16" t="s">
        <v>184</v>
      </c>
      <c r="C16" s="2" t="s">
        <v>1072</v>
      </c>
      <c r="D16" s="2" t="s">
        <v>1075</v>
      </c>
      <c r="E16" s="2" t="s">
        <v>205</v>
      </c>
      <c r="F16" s="2" t="s">
        <v>200</v>
      </c>
      <c r="G16" t="s">
        <v>23</v>
      </c>
      <c r="H16" s="2" t="s">
        <v>187</v>
      </c>
      <c r="I16" s="2" t="s">
        <v>1</v>
      </c>
      <c r="J16" s="2" t="s">
        <v>1085</v>
      </c>
      <c r="K16" s="2" t="s">
        <v>194</v>
      </c>
      <c r="L16" s="2" t="s">
        <v>2</v>
      </c>
      <c r="M16" t="s">
        <v>18</v>
      </c>
      <c r="N16" s="2" t="s">
        <v>194</v>
      </c>
      <c r="O16" s="2" t="s">
        <v>1</v>
      </c>
      <c r="P16" t="s">
        <v>18</v>
      </c>
      <c r="Q16" s="2" t="s">
        <v>194</v>
      </c>
      <c r="R16" s="2" t="s">
        <v>1</v>
      </c>
      <c r="S16" t="s">
        <v>18</v>
      </c>
      <c r="T16" s="2" t="s">
        <v>194</v>
      </c>
      <c r="U16" s="2" t="s">
        <v>1</v>
      </c>
      <c r="V16" t="s">
        <v>18</v>
      </c>
      <c r="W16" t="s">
        <v>194</v>
      </c>
      <c r="X16" s="2" t="s">
        <v>1</v>
      </c>
      <c r="Y16">
        <f t="shared" si="0"/>
        <v>708</v>
      </c>
    </row>
    <row r="17" spans="1:25" ht="360" x14ac:dyDescent="0.25">
      <c r="A17" t="s">
        <v>183</v>
      </c>
      <c r="B17" t="s">
        <v>184</v>
      </c>
      <c r="C17" s="2" t="s">
        <v>1072</v>
      </c>
      <c r="D17" s="2" t="s">
        <v>1075</v>
      </c>
      <c r="E17" s="2" t="s">
        <v>206</v>
      </c>
      <c r="F17" s="2" t="s">
        <v>207</v>
      </c>
      <c r="G17" t="s">
        <v>23</v>
      </c>
      <c r="H17" s="2" t="s">
        <v>187</v>
      </c>
      <c r="I17" s="2" t="s">
        <v>1</v>
      </c>
      <c r="J17" s="2" t="s">
        <v>1086</v>
      </c>
      <c r="K17" s="2" t="s">
        <v>187</v>
      </c>
      <c r="L17" s="2" t="s">
        <v>2</v>
      </c>
      <c r="M17" t="s">
        <v>23</v>
      </c>
      <c r="N17" s="2" t="s">
        <v>187</v>
      </c>
      <c r="O17" s="2" t="s">
        <v>1</v>
      </c>
      <c r="P17" t="s">
        <v>18</v>
      </c>
      <c r="Q17" s="2" t="s">
        <v>194</v>
      </c>
      <c r="R17" s="2" t="s">
        <v>1</v>
      </c>
      <c r="S17" t="s">
        <v>23</v>
      </c>
      <c r="T17" s="2" t="s">
        <v>187</v>
      </c>
      <c r="U17" s="2" t="s">
        <v>1</v>
      </c>
      <c r="V17" t="s">
        <v>23</v>
      </c>
      <c r="W17" s="2" t="s">
        <v>187</v>
      </c>
      <c r="X17" s="2" t="s">
        <v>1</v>
      </c>
      <c r="Y17">
        <f t="shared" si="0"/>
        <v>716</v>
      </c>
    </row>
    <row r="18" spans="1:25" ht="240" x14ac:dyDescent="0.25">
      <c r="A18" t="s">
        <v>183</v>
      </c>
      <c r="B18" t="s">
        <v>184</v>
      </c>
      <c r="C18" s="2" t="s">
        <v>1072</v>
      </c>
      <c r="D18" s="2" t="s">
        <v>1075</v>
      </c>
      <c r="E18" s="2" t="s">
        <v>208</v>
      </c>
      <c r="F18" s="2" t="s">
        <v>207</v>
      </c>
      <c r="G18" t="s">
        <v>23</v>
      </c>
      <c r="H18" s="2" t="s">
        <v>187</v>
      </c>
      <c r="I18" s="2" t="s">
        <v>1</v>
      </c>
      <c r="J18" s="2" t="s">
        <v>1087</v>
      </c>
      <c r="K18" s="2" t="s">
        <v>187</v>
      </c>
      <c r="L18" s="2" t="s">
        <v>1</v>
      </c>
      <c r="M18" t="s">
        <v>23</v>
      </c>
      <c r="N18" s="2" t="s">
        <v>187</v>
      </c>
      <c r="O18" s="2" t="s">
        <v>1</v>
      </c>
      <c r="P18" t="s">
        <v>18</v>
      </c>
      <c r="Q18" s="2" t="s">
        <v>194</v>
      </c>
      <c r="R18" s="2" t="s">
        <v>1</v>
      </c>
      <c r="S18" t="s">
        <v>23</v>
      </c>
      <c r="T18" s="2" t="s">
        <v>187</v>
      </c>
      <c r="U18" s="2" t="s">
        <v>1</v>
      </c>
      <c r="V18" t="s">
        <v>23</v>
      </c>
      <c r="W18" s="2" t="s">
        <v>187</v>
      </c>
      <c r="X18" s="2" t="s">
        <v>1</v>
      </c>
      <c r="Y18">
        <f t="shared" si="0"/>
        <v>718</v>
      </c>
    </row>
    <row r="19" spans="1:25" ht="240" hidden="1" x14ac:dyDescent="0.25">
      <c r="A19" t="s">
        <v>183</v>
      </c>
      <c r="B19" t="s">
        <v>184</v>
      </c>
      <c r="C19" s="2" t="s">
        <v>1072</v>
      </c>
      <c r="D19" s="2" t="s">
        <v>1075</v>
      </c>
      <c r="E19" s="2" t="s">
        <v>209</v>
      </c>
      <c r="F19" s="2" t="s">
        <v>207</v>
      </c>
      <c r="G19" t="s">
        <v>18</v>
      </c>
      <c r="H19" s="2" t="s">
        <v>194</v>
      </c>
      <c r="I19" s="2" t="s">
        <v>1</v>
      </c>
      <c r="J19" s="2" t="s">
        <v>21</v>
      </c>
      <c r="K19" s="2" t="s">
        <v>194</v>
      </c>
      <c r="L19" s="2" t="s">
        <v>1</v>
      </c>
      <c r="M19" t="s">
        <v>21</v>
      </c>
      <c r="N19" s="2" t="s">
        <v>194</v>
      </c>
      <c r="O19" s="2" t="s">
        <v>1</v>
      </c>
      <c r="P19" t="s">
        <v>21</v>
      </c>
      <c r="Q19" s="2" t="s">
        <v>194</v>
      </c>
      <c r="R19" s="2" t="s">
        <v>1</v>
      </c>
      <c r="S19" t="s">
        <v>21</v>
      </c>
      <c r="T19" s="2" t="s">
        <v>194</v>
      </c>
      <c r="U19" s="2" t="s">
        <v>1</v>
      </c>
      <c r="V19" t="s">
        <v>23</v>
      </c>
      <c r="W19" s="2" t="s">
        <v>187</v>
      </c>
      <c r="X19" s="2" t="s">
        <v>1</v>
      </c>
      <c r="Y19">
        <f t="shared" si="0"/>
        <v>718</v>
      </c>
    </row>
    <row r="20" spans="1:25" ht="240" x14ac:dyDescent="0.25">
      <c r="A20" t="s">
        <v>183</v>
      </c>
      <c r="B20" t="s">
        <v>184</v>
      </c>
      <c r="C20" s="2" t="s">
        <v>1072</v>
      </c>
      <c r="D20" s="2" t="s">
        <v>1075</v>
      </c>
      <c r="E20" s="2" t="s">
        <v>210</v>
      </c>
      <c r="F20" s="2" t="s">
        <v>207</v>
      </c>
      <c r="G20" t="s">
        <v>23</v>
      </c>
      <c r="H20" s="2" t="s">
        <v>187</v>
      </c>
      <c r="I20" s="2" t="s">
        <v>1</v>
      </c>
      <c r="J20" t="s">
        <v>23</v>
      </c>
      <c r="K20" s="2" t="s">
        <v>187</v>
      </c>
      <c r="L20" s="2" t="s">
        <v>1</v>
      </c>
      <c r="M20" t="s">
        <v>23</v>
      </c>
      <c r="N20" s="2" t="s">
        <v>187</v>
      </c>
      <c r="O20" s="2" t="s">
        <v>1</v>
      </c>
      <c r="P20" t="s">
        <v>21</v>
      </c>
      <c r="Q20" s="2" t="s">
        <v>194</v>
      </c>
      <c r="R20" s="2" t="s">
        <v>1</v>
      </c>
      <c r="S20" t="s">
        <v>23</v>
      </c>
      <c r="T20" s="2" t="s">
        <v>187</v>
      </c>
      <c r="U20" s="2" t="s">
        <v>1</v>
      </c>
      <c r="V20" t="s">
        <v>23</v>
      </c>
      <c r="W20" s="2" t="s">
        <v>187</v>
      </c>
      <c r="X20" s="2" t="s">
        <v>1</v>
      </c>
      <c r="Y20">
        <f t="shared" si="0"/>
        <v>709</v>
      </c>
    </row>
    <row r="21" spans="1:25" ht="240" x14ac:dyDescent="0.25">
      <c r="A21" t="s">
        <v>183</v>
      </c>
      <c r="B21" t="s">
        <v>184</v>
      </c>
      <c r="C21" s="2" t="s">
        <v>1072</v>
      </c>
      <c r="D21" s="2" t="s">
        <v>1075</v>
      </c>
      <c r="E21" s="2" t="s">
        <v>211</v>
      </c>
      <c r="F21" s="2" t="s">
        <v>207</v>
      </c>
      <c r="G21" t="s">
        <v>18</v>
      </c>
      <c r="H21" s="2" t="s">
        <v>194</v>
      </c>
      <c r="I21" s="2" t="s">
        <v>1</v>
      </c>
      <c r="J21" s="2" t="s">
        <v>1042</v>
      </c>
      <c r="K21" s="2" t="s">
        <v>187</v>
      </c>
      <c r="L21" s="2" t="s">
        <v>1</v>
      </c>
      <c r="M21" t="s">
        <v>23</v>
      </c>
      <c r="N21" s="2" t="s">
        <v>187</v>
      </c>
      <c r="O21" s="2" t="s">
        <v>1</v>
      </c>
      <c r="P21" t="s">
        <v>18</v>
      </c>
      <c r="Q21" s="2" t="s">
        <v>194</v>
      </c>
      <c r="R21" s="2" t="s">
        <v>1</v>
      </c>
      <c r="S21" t="s">
        <v>18</v>
      </c>
      <c r="T21" s="2" t="s">
        <v>194</v>
      </c>
      <c r="U21" s="2" t="s">
        <v>1</v>
      </c>
      <c r="V21" t="s">
        <v>23</v>
      </c>
      <c r="W21" s="2" t="s">
        <v>187</v>
      </c>
      <c r="X21" s="2" t="s">
        <v>1</v>
      </c>
      <c r="Y21">
        <f t="shared" si="0"/>
        <v>725</v>
      </c>
    </row>
    <row r="22" spans="1:25" ht="240" x14ac:dyDescent="0.25">
      <c r="A22" t="s">
        <v>183</v>
      </c>
      <c r="B22" t="s">
        <v>184</v>
      </c>
      <c r="C22" s="2" t="s">
        <v>1072</v>
      </c>
      <c r="D22" s="2" t="s">
        <v>1075</v>
      </c>
      <c r="E22" s="2" t="s">
        <v>212</v>
      </c>
      <c r="F22" s="2" t="s">
        <v>213</v>
      </c>
      <c r="G22" t="s">
        <v>21</v>
      </c>
      <c r="H22" s="2" t="s">
        <v>187</v>
      </c>
      <c r="I22" s="2" t="s">
        <v>1</v>
      </c>
      <c r="J22" t="s">
        <v>21</v>
      </c>
      <c r="K22" s="2" t="s">
        <v>187</v>
      </c>
      <c r="L22" s="2" t="s">
        <v>1</v>
      </c>
      <c r="M22" t="s">
        <v>21</v>
      </c>
      <c r="N22" s="2" t="s">
        <v>187</v>
      </c>
      <c r="O22" s="2" t="s">
        <v>1</v>
      </c>
      <c r="P22" t="s">
        <v>21</v>
      </c>
      <c r="Q22" s="2" t="s">
        <v>187</v>
      </c>
      <c r="R22" s="2" t="s">
        <v>1</v>
      </c>
      <c r="S22" t="s">
        <v>21</v>
      </c>
      <c r="T22" t="s">
        <v>187</v>
      </c>
      <c r="U22" s="2" t="s">
        <v>1</v>
      </c>
      <c r="V22" t="s">
        <v>21</v>
      </c>
      <c r="W22" t="s">
        <v>187</v>
      </c>
      <c r="X22" s="2" t="s">
        <v>1</v>
      </c>
      <c r="Y22">
        <f t="shared" si="0"/>
        <v>723</v>
      </c>
    </row>
    <row r="23" spans="1:25" ht="240" x14ac:dyDescent="0.25">
      <c r="A23" t="s">
        <v>183</v>
      </c>
      <c r="B23" t="s">
        <v>184</v>
      </c>
      <c r="C23" s="2" t="s">
        <v>1072</v>
      </c>
      <c r="D23" s="2" t="s">
        <v>1075</v>
      </c>
      <c r="E23" s="2" t="s">
        <v>214</v>
      </c>
      <c r="F23" s="2" t="s">
        <v>213</v>
      </c>
      <c r="G23" t="s">
        <v>21</v>
      </c>
      <c r="H23" s="2" t="s">
        <v>187</v>
      </c>
      <c r="I23" s="2" t="s">
        <v>1</v>
      </c>
      <c r="J23" t="s">
        <v>21</v>
      </c>
      <c r="K23" s="2" t="s">
        <v>187</v>
      </c>
      <c r="L23" s="2" t="s">
        <v>1</v>
      </c>
      <c r="M23" t="s">
        <v>21</v>
      </c>
      <c r="N23" s="2" t="s">
        <v>187</v>
      </c>
      <c r="O23" s="2" t="s">
        <v>1</v>
      </c>
      <c r="P23" t="s">
        <v>21</v>
      </c>
      <c r="Q23" s="2" t="s">
        <v>187</v>
      </c>
      <c r="R23" s="2" t="s">
        <v>1</v>
      </c>
      <c r="S23" t="s">
        <v>23</v>
      </c>
      <c r="T23" t="s">
        <v>194</v>
      </c>
      <c r="U23" s="2" t="s">
        <v>1</v>
      </c>
      <c r="V23" t="s">
        <v>18</v>
      </c>
      <c r="W23" t="s">
        <v>194</v>
      </c>
      <c r="X23" s="2" t="s">
        <v>1</v>
      </c>
      <c r="Y23">
        <f t="shared" si="0"/>
        <v>704</v>
      </c>
    </row>
    <row r="24" spans="1:25" ht="240" x14ac:dyDescent="0.25">
      <c r="A24" t="s">
        <v>183</v>
      </c>
      <c r="B24" t="s">
        <v>184</v>
      </c>
      <c r="C24" s="2" t="s">
        <v>1072</v>
      </c>
      <c r="D24" s="2" t="s">
        <v>1075</v>
      </c>
      <c r="E24" s="2" t="s">
        <v>215</v>
      </c>
      <c r="F24" s="2" t="s">
        <v>213</v>
      </c>
      <c r="G24" t="s">
        <v>21</v>
      </c>
      <c r="H24" s="2" t="s">
        <v>187</v>
      </c>
      <c r="I24" s="2" t="s">
        <v>1</v>
      </c>
      <c r="J24" t="s">
        <v>21</v>
      </c>
      <c r="K24" s="2" t="s">
        <v>187</v>
      </c>
      <c r="L24" s="2" t="s">
        <v>1</v>
      </c>
      <c r="M24" t="s">
        <v>21</v>
      </c>
      <c r="N24" s="2" t="s">
        <v>187</v>
      </c>
      <c r="O24" s="2" t="s">
        <v>1</v>
      </c>
      <c r="P24" t="s">
        <v>21</v>
      </c>
      <c r="Q24" s="2" t="s">
        <v>187</v>
      </c>
      <c r="R24" s="2" t="s">
        <v>1</v>
      </c>
      <c r="S24" t="s">
        <v>21</v>
      </c>
      <c r="T24" t="s">
        <v>187</v>
      </c>
      <c r="U24" s="2" t="s">
        <v>1</v>
      </c>
      <c r="V24" t="s">
        <v>18</v>
      </c>
      <c r="W24" t="s">
        <v>194</v>
      </c>
      <c r="X24" s="2" t="s">
        <v>1</v>
      </c>
      <c r="Y24">
        <f t="shared" si="0"/>
        <v>701</v>
      </c>
    </row>
    <row r="25" spans="1:25" ht="240" x14ac:dyDescent="0.25">
      <c r="A25" t="s">
        <v>183</v>
      </c>
      <c r="B25" t="s">
        <v>184</v>
      </c>
      <c r="C25" s="2" t="s">
        <v>1072</v>
      </c>
      <c r="D25" s="2" t="s">
        <v>1075</v>
      </c>
      <c r="E25" s="2" t="s">
        <v>216</v>
      </c>
      <c r="F25" s="2" t="s">
        <v>213</v>
      </c>
      <c r="G25" t="s">
        <v>21</v>
      </c>
      <c r="H25" s="2" t="s">
        <v>187</v>
      </c>
      <c r="I25" s="2" t="s">
        <v>1</v>
      </c>
      <c r="J25" t="s">
        <v>1082</v>
      </c>
      <c r="K25" s="2" t="s">
        <v>187</v>
      </c>
      <c r="L25" s="2" t="s">
        <v>1</v>
      </c>
      <c r="M25" t="s">
        <v>21</v>
      </c>
      <c r="N25" s="2" t="s">
        <v>187</v>
      </c>
      <c r="O25" s="2" t="s">
        <v>1</v>
      </c>
      <c r="P25" t="s">
        <v>18</v>
      </c>
      <c r="Q25" s="2" t="s">
        <v>194</v>
      </c>
      <c r="R25" s="2" t="s">
        <v>1</v>
      </c>
      <c r="S25" t="s">
        <v>21</v>
      </c>
      <c r="T25" t="s">
        <v>187</v>
      </c>
      <c r="U25" s="2" t="s">
        <v>1</v>
      </c>
      <c r="V25" t="s">
        <v>18</v>
      </c>
      <c r="W25" t="s">
        <v>194</v>
      </c>
      <c r="X25" s="2" t="s">
        <v>1</v>
      </c>
      <c r="Y25">
        <f t="shared" si="0"/>
        <v>706</v>
      </c>
    </row>
    <row r="26" spans="1:25" ht="240" x14ac:dyDescent="0.25">
      <c r="A26" t="s">
        <v>183</v>
      </c>
      <c r="B26" t="s">
        <v>184</v>
      </c>
      <c r="C26" s="2" t="s">
        <v>1072</v>
      </c>
      <c r="D26" s="2" t="s">
        <v>1075</v>
      </c>
      <c r="E26" s="2" t="s">
        <v>217</v>
      </c>
      <c r="F26" s="2" t="s">
        <v>213</v>
      </c>
      <c r="G26" t="s">
        <v>21</v>
      </c>
      <c r="H26" s="2" t="s">
        <v>187</v>
      </c>
      <c r="I26" s="2" t="s">
        <v>1</v>
      </c>
      <c r="J26" t="s">
        <v>1082</v>
      </c>
      <c r="K26" s="2" t="s">
        <v>187</v>
      </c>
      <c r="L26" s="2" t="s">
        <v>1</v>
      </c>
      <c r="M26" t="s">
        <v>21</v>
      </c>
      <c r="N26" s="2" t="s">
        <v>187</v>
      </c>
      <c r="O26" s="2" t="s">
        <v>1</v>
      </c>
      <c r="P26" t="s">
        <v>21</v>
      </c>
      <c r="Q26" s="2" t="s">
        <v>187</v>
      </c>
      <c r="R26" s="2" t="s">
        <v>1</v>
      </c>
      <c r="S26" t="s">
        <v>21</v>
      </c>
      <c r="T26" t="s">
        <v>187</v>
      </c>
      <c r="U26" s="2" t="s">
        <v>1</v>
      </c>
      <c r="V26" t="s">
        <v>18</v>
      </c>
      <c r="W26" t="s">
        <v>194</v>
      </c>
      <c r="X26" s="2" t="s">
        <v>1</v>
      </c>
      <c r="Y26">
        <f t="shared" si="0"/>
        <v>699</v>
      </c>
    </row>
    <row r="27" spans="1:25" ht="240" x14ac:dyDescent="0.25">
      <c r="A27" t="s">
        <v>183</v>
      </c>
      <c r="B27" t="s">
        <v>184</v>
      </c>
      <c r="C27" s="2" t="s">
        <v>1072</v>
      </c>
      <c r="D27" s="2" t="s">
        <v>1075</v>
      </c>
      <c r="E27" s="2" t="s">
        <v>218</v>
      </c>
      <c r="F27" s="2" t="s">
        <v>219</v>
      </c>
      <c r="G27" t="s">
        <v>23</v>
      </c>
      <c r="H27" s="2" t="s">
        <v>187</v>
      </c>
      <c r="I27" s="2" t="s">
        <v>1</v>
      </c>
      <c r="J27" t="s">
        <v>23</v>
      </c>
      <c r="K27" s="2" t="s">
        <v>187</v>
      </c>
      <c r="L27" s="2" t="s">
        <v>1</v>
      </c>
      <c r="M27" t="s">
        <v>23</v>
      </c>
      <c r="N27" s="2" t="s">
        <v>187</v>
      </c>
      <c r="O27" s="2" t="s">
        <v>1</v>
      </c>
      <c r="P27" t="s">
        <v>23</v>
      </c>
      <c r="Q27" s="2" t="s">
        <v>187</v>
      </c>
      <c r="R27" s="2" t="s">
        <v>1</v>
      </c>
      <c r="S27" t="s">
        <v>21</v>
      </c>
      <c r="T27" s="2" t="s">
        <v>187</v>
      </c>
      <c r="U27" s="2" t="s">
        <v>1</v>
      </c>
      <c r="V27" t="s">
        <v>23</v>
      </c>
      <c r="W27" s="2" t="s">
        <v>187</v>
      </c>
      <c r="X27" s="2" t="s">
        <v>1</v>
      </c>
      <c r="Y27">
        <f t="shared" si="0"/>
        <v>699</v>
      </c>
    </row>
    <row r="28" spans="1:25" ht="240" hidden="1" x14ac:dyDescent="0.25">
      <c r="A28" t="s">
        <v>183</v>
      </c>
      <c r="B28" t="s">
        <v>184</v>
      </c>
      <c r="C28" s="2" t="s">
        <v>1072</v>
      </c>
      <c r="D28" s="2" t="s">
        <v>1075</v>
      </c>
      <c r="E28" s="2" t="s">
        <v>220</v>
      </c>
      <c r="F28" s="2" t="s">
        <v>219</v>
      </c>
      <c r="G28" t="s">
        <v>23</v>
      </c>
      <c r="H28" s="2" t="s">
        <v>187</v>
      </c>
      <c r="I28" s="2" t="s">
        <v>1</v>
      </c>
      <c r="J28" t="s">
        <v>1088</v>
      </c>
      <c r="K28" s="2" t="s">
        <v>187</v>
      </c>
      <c r="L28" s="2" t="s">
        <v>1</v>
      </c>
      <c r="M28" t="s">
        <v>21</v>
      </c>
      <c r="N28" s="2" t="s">
        <v>194</v>
      </c>
      <c r="O28" s="2" t="s">
        <v>1</v>
      </c>
      <c r="P28" t="s">
        <v>18</v>
      </c>
      <c r="Q28" s="2" t="s">
        <v>187</v>
      </c>
      <c r="R28" s="2" t="s">
        <v>1</v>
      </c>
      <c r="S28" t="s">
        <v>18</v>
      </c>
      <c r="T28" s="2" t="s">
        <v>187</v>
      </c>
      <c r="U28" s="2" t="s">
        <v>1</v>
      </c>
      <c r="V28" t="s">
        <v>18</v>
      </c>
      <c r="W28" s="2" t="s">
        <v>187</v>
      </c>
      <c r="X28" s="2" t="s">
        <v>1</v>
      </c>
      <c r="Y28">
        <f t="shared" si="0"/>
        <v>699</v>
      </c>
    </row>
    <row r="29" spans="1:25" ht="240" x14ac:dyDescent="0.25">
      <c r="A29" t="s">
        <v>183</v>
      </c>
      <c r="B29" t="s">
        <v>184</v>
      </c>
      <c r="C29" s="2" t="s">
        <v>1072</v>
      </c>
      <c r="D29" s="2" t="s">
        <v>1075</v>
      </c>
      <c r="E29" s="2" t="s">
        <v>221</v>
      </c>
      <c r="F29" s="2" t="s">
        <v>219</v>
      </c>
      <c r="G29" t="s">
        <v>21</v>
      </c>
      <c r="H29" s="2" t="s">
        <v>187</v>
      </c>
      <c r="I29" s="2" t="s">
        <v>1</v>
      </c>
      <c r="J29" t="s">
        <v>21</v>
      </c>
      <c r="K29" s="2" t="s">
        <v>187</v>
      </c>
      <c r="L29" s="2" t="s">
        <v>1</v>
      </c>
      <c r="M29" t="s">
        <v>23</v>
      </c>
      <c r="N29" s="2" t="s">
        <v>187</v>
      </c>
      <c r="O29" s="2" t="s">
        <v>1</v>
      </c>
      <c r="P29" t="s">
        <v>18</v>
      </c>
      <c r="Q29" s="2" t="s">
        <v>187</v>
      </c>
      <c r="R29" s="2" t="s">
        <v>1</v>
      </c>
      <c r="S29" t="s">
        <v>21</v>
      </c>
      <c r="T29" s="2" t="s">
        <v>187</v>
      </c>
      <c r="U29" s="2" t="s">
        <v>1</v>
      </c>
      <c r="V29" t="s">
        <v>18</v>
      </c>
      <c r="W29" s="2" t="s">
        <v>187</v>
      </c>
      <c r="X29" s="2" t="s">
        <v>1</v>
      </c>
      <c r="Y29">
        <f t="shared" si="0"/>
        <v>704</v>
      </c>
    </row>
    <row r="30" spans="1:25" ht="240" hidden="1" x14ac:dyDescent="0.25">
      <c r="A30" t="s">
        <v>183</v>
      </c>
      <c r="B30" t="s">
        <v>184</v>
      </c>
      <c r="C30" s="2" t="s">
        <v>1072</v>
      </c>
      <c r="D30" s="2" t="s">
        <v>1075</v>
      </c>
      <c r="E30" s="2" t="s">
        <v>222</v>
      </c>
      <c r="F30" s="2" t="s">
        <v>219</v>
      </c>
      <c r="G30" t="s">
        <v>23</v>
      </c>
      <c r="H30" s="2" t="s">
        <v>187</v>
      </c>
      <c r="I30" s="2" t="s">
        <v>1</v>
      </c>
      <c r="J30" s="2" t="s">
        <v>1089</v>
      </c>
      <c r="K30" s="2" t="s">
        <v>3</v>
      </c>
      <c r="L30" s="2" t="s">
        <v>1</v>
      </c>
      <c r="M30" t="s">
        <v>23</v>
      </c>
      <c r="N30" s="2" t="s">
        <v>194</v>
      </c>
      <c r="O30" s="2" t="s">
        <v>1</v>
      </c>
      <c r="P30" t="s">
        <v>18</v>
      </c>
      <c r="Q30" s="2" t="s">
        <v>187</v>
      </c>
      <c r="R30" s="2" t="s">
        <v>1</v>
      </c>
      <c r="S30" t="s">
        <v>18</v>
      </c>
      <c r="T30" s="2" t="s">
        <v>187</v>
      </c>
      <c r="U30" s="2" t="s">
        <v>1</v>
      </c>
      <c r="V30" t="s">
        <v>18</v>
      </c>
      <c r="W30" s="2" t="s">
        <v>187</v>
      </c>
      <c r="X30" s="2" t="s">
        <v>1</v>
      </c>
      <c r="Y30">
        <f t="shared" si="0"/>
        <v>706</v>
      </c>
    </row>
    <row r="31" spans="1:25" ht="285" x14ac:dyDescent="0.25">
      <c r="A31" t="s">
        <v>183</v>
      </c>
      <c r="B31" t="s">
        <v>184</v>
      </c>
      <c r="C31" s="2" t="s">
        <v>1072</v>
      </c>
      <c r="D31" s="2" t="s">
        <v>1075</v>
      </c>
      <c r="E31" s="2" t="s">
        <v>223</v>
      </c>
      <c r="F31" s="2" t="s">
        <v>219</v>
      </c>
      <c r="G31" t="s">
        <v>18</v>
      </c>
      <c r="H31" s="2" t="s">
        <v>187</v>
      </c>
      <c r="I31" s="2" t="s">
        <v>1</v>
      </c>
      <c r="J31" s="2" t="s">
        <v>1090</v>
      </c>
      <c r="K31" s="2" t="s">
        <v>187</v>
      </c>
      <c r="L31" s="2" t="s">
        <v>2</v>
      </c>
      <c r="M31" t="s">
        <v>21</v>
      </c>
      <c r="N31" s="2" t="s">
        <v>187</v>
      </c>
      <c r="O31" s="2" t="s">
        <v>1</v>
      </c>
      <c r="P31" t="s">
        <v>21</v>
      </c>
      <c r="Q31" s="2" t="s">
        <v>187</v>
      </c>
      <c r="R31" s="2" t="s">
        <v>1</v>
      </c>
      <c r="S31" t="s">
        <v>18</v>
      </c>
      <c r="T31" s="2" t="s">
        <v>187</v>
      </c>
      <c r="U31" s="2" t="s">
        <v>1</v>
      </c>
      <c r="V31" t="s">
        <v>18</v>
      </c>
      <c r="W31" s="2" t="s">
        <v>187</v>
      </c>
      <c r="X31" s="2" t="s">
        <v>1</v>
      </c>
      <c r="Y31">
        <f t="shared" si="0"/>
        <v>699</v>
      </c>
    </row>
    <row r="32" spans="1:25" ht="300" x14ac:dyDescent="0.25">
      <c r="A32" t="s">
        <v>183</v>
      </c>
      <c r="B32" t="s">
        <v>184</v>
      </c>
      <c r="C32" s="2" t="s">
        <v>1072</v>
      </c>
      <c r="D32" s="2" t="s">
        <v>1075</v>
      </c>
      <c r="E32" s="2" t="s">
        <v>224</v>
      </c>
      <c r="F32" s="2" t="s">
        <v>225</v>
      </c>
      <c r="G32" t="s">
        <v>23</v>
      </c>
      <c r="H32" s="2" t="s">
        <v>187</v>
      </c>
      <c r="I32" s="2" t="s">
        <v>1</v>
      </c>
      <c r="J32" s="2" t="s">
        <v>1091</v>
      </c>
      <c r="K32" s="2" t="s">
        <v>194</v>
      </c>
      <c r="L32" s="2" t="s">
        <v>2</v>
      </c>
      <c r="M32" t="s">
        <v>23</v>
      </c>
      <c r="N32" s="2" t="s">
        <v>187</v>
      </c>
      <c r="O32" s="2" t="s">
        <v>1</v>
      </c>
      <c r="P32" t="s">
        <v>18</v>
      </c>
      <c r="Q32" s="2" t="s">
        <v>194</v>
      </c>
      <c r="R32" s="2" t="s">
        <v>1</v>
      </c>
      <c r="S32" t="s">
        <v>18</v>
      </c>
      <c r="T32" s="2" t="s">
        <v>194</v>
      </c>
      <c r="U32" s="2" t="s">
        <v>1</v>
      </c>
      <c r="V32" t="s">
        <v>23</v>
      </c>
      <c r="W32" s="2" t="s">
        <v>187</v>
      </c>
      <c r="X32" s="2" t="s">
        <v>1</v>
      </c>
      <c r="Y32">
        <f t="shared" si="0"/>
        <v>725</v>
      </c>
    </row>
    <row r="33" spans="1:25" ht="240" x14ac:dyDescent="0.25">
      <c r="A33" t="s">
        <v>183</v>
      </c>
      <c r="B33" t="s">
        <v>184</v>
      </c>
      <c r="C33" s="2" t="s">
        <v>1072</v>
      </c>
      <c r="D33" s="2" t="s">
        <v>1075</v>
      </c>
      <c r="E33" s="2" t="s">
        <v>226</v>
      </c>
      <c r="F33" s="2" t="s">
        <v>225</v>
      </c>
      <c r="G33" t="s">
        <v>18</v>
      </c>
      <c r="H33" s="2" t="s">
        <v>194</v>
      </c>
      <c r="I33" s="2" t="s">
        <v>1</v>
      </c>
      <c r="J33" s="2" t="s">
        <v>1042</v>
      </c>
      <c r="K33" s="2" t="s">
        <v>187</v>
      </c>
      <c r="L33" s="2" t="s">
        <v>1</v>
      </c>
      <c r="M33" t="s">
        <v>23</v>
      </c>
      <c r="N33" s="2" t="s">
        <v>187</v>
      </c>
      <c r="O33" s="2" t="s">
        <v>1</v>
      </c>
      <c r="P33" t="s">
        <v>18</v>
      </c>
      <c r="Q33" s="2" t="s">
        <v>194</v>
      </c>
      <c r="R33" s="2" t="s">
        <v>1</v>
      </c>
      <c r="S33" t="s">
        <v>23</v>
      </c>
      <c r="T33" s="2" t="s">
        <v>187</v>
      </c>
      <c r="U33" s="2" t="s">
        <v>1</v>
      </c>
      <c r="V33" t="s">
        <v>18</v>
      </c>
      <c r="W33" t="s">
        <v>194</v>
      </c>
      <c r="X33" s="2" t="s">
        <v>1</v>
      </c>
      <c r="Y33">
        <f t="shared" si="0"/>
        <v>718</v>
      </c>
    </row>
    <row r="34" spans="1:25" ht="240" x14ac:dyDescent="0.25">
      <c r="A34" t="s">
        <v>183</v>
      </c>
      <c r="B34" t="s">
        <v>184</v>
      </c>
      <c r="C34" s="2" t="s">
        <v>1072</v>
      </c>
      <c r="D34" s="2" t="s">
        <v>1075</v>
      </c>
      <c r="E34" s="2" t="s">
        <v>227</v>
      </c>
      <c r="F34" s="2" t="s">
        <v>225</v>
      </c>
      <c r="G34" t="s">
        <v>18</v>
      </c>
      <c r="H34" s="2" t="s">
        <v>194</v>
      </c>
      <c r="I34" s="2" t="s">
        <v>1</v>
      </c>
      <c r="J34" s="2" t="s">
        <v>1092</v>
      </c>
      <c r="K34" s="2" t="s">
        <v>187</v>
      </c>
      <c r="L34" s="2" t="s">
        <v>2</v>
      </c>
      <c r="M34" t="s">
        <v>23</v>
      </c>
      <c r="N34" s="2" t="s">
        <v>187</v>
      </c>
      <c r="O34" s="2" t="s">
        <v>1</v>
      </c>
      <c r="P34" t="s">
        <v>18</v>
      </c>
      <c r="Q34" s="2" t="s">
        <v>194</v>
      </c>
      <c r="R34" s="2" t="s">
        <v>1</v>
      </c>
      <c r="S34" t="s">
        <v>18</v>
      </c>
      <c r="T34" s="2" t="s">
        <v>194</v>
      </c>
      <c r="U34" s="2" t="s">
        <v>1</v>
      </c>
      <c r="V34" t="s">
        <v>18</v>
      </c>
      <c r="W34" t="s">
        <v>194</v>
      </c>
      <c r="X34" s="2" t="s">
        <v>1</v>
      </c>
      <c r="Y34">
        <f t="shared" si="0"/>
        <v>706</v>
      </c>
    </row>
    <row r="35" spans="1:25" ht="240" hidden="1" x14ac:dyDescent="0.25">
      <c r="A35" t="s">
        <v>183</v>
      </c>
      <c r="B35" t="s">
        <v>184</v>
      </c>
      <c r="C35" s="2" t="s">
        <v>1072</v>
      </c>
      <c r="D35" s="2" t="s">
        <v>1075</v>
      </c>
      <c r="E35" s="2" t="s">
        <v>228</v>
      </c>
      <c r="F35" s="2" t="s">
        <v>225</v>
      </c>
      <c r="G35" t="s">
        <v>18</v>
      </c>
      <c r="H35" s="2" t="s">
        <v>194</v>
      </c>
      <c r="I35" s="2" t="s">
        <v>1</v>
      </c>
      <c r="J35" s="2" t="s">
        <v>18</v>
      </c>
      <c r="K35" s="2" t="s">
        <v>194</v>
      </c>
      <c r="L35" s="2" t="s">
        <v>1</v>
      </c>
      <c r="M35" t="s">
        <v>18</v>
      </c>
      <c r="N35" s="2" t="s">
        <v>194</v>
      </c>
      <c r="O35" s="2" t="s">
        <v>1</v>
      </c>
      <c r="P35" t="s">
        <v>18</v>
      </c>
      <c r="Q35" s="2" t="s">
        <v>194</v>
      </c>
      <c r="R35" s="2" t="s">
        <v>1</v>
      </c>
      <c r="S35" t="s">
        <v>23</v>
      </c>
      <c r="T35" s="2" t="s">
        <v>187</v>
      </c>
      <c r="U35" s="2" t="s">
        <v>1</v>
      </c>
      <c r="V35" t="s">
        <v>18</v>
      </c>
      <c r="W35" t="s">
        <v>194</v>
      </c>
      <c r="X35" s="2" t="s">
        <v>1</v>
      </c>
      <c r="Y35">
        <f t="shared" si="0"/>
        <v>707</v>
      </c>
    </row>
    <row r="36" spans="1:25" ht="240" x14ac:dyDescent="0.25">
      <c r="A36" t="s">
        <v>183</v>
      </c>
      <c r="B36" t="s">
        <v>184</v>
      </c>
      <c r="C36" s="2" t="s">
        <v>1072</v>
      </c>
      <c r="D36" s="2" t="s">
        <v>1075</v>
      </c>
      <c r="E36" s="2" t="s">
        <v>229</v>
      </c>
      <c r="F36" s="2" t="s">
        <v>225</v>
      </c>
      <c r="G36" t="s">
        <v>18</v>
      </c>
      <c r="H36" s="2" t="s">
        <v>194</v>
      </c>
      <c r="I36" s="2" t="s">
        <v>1</v>
      </c>
      <c r="J36" s="2" t="s">
        <v>1093</v>
      </c>
      <c r="K36" s="2" t="s">
        <v>187</v>
      </c>
      <c r="L36" s="2" t="s">
        <v>1</v>
      </c>
      <c r="M36" t="s">
        <v>23</v>
      </c>
      <c r="N36" s="2" t="s">
        <v>187</v>
      </c>
      <c r="O36" s="2" t="s">
        <v>1</v>
      </c>
      <c r="P36" t="s">
        <v>18</v>
      </c>
      <c r="Q36" s="2" t="s">
        <v>194</v>
      </c>
      <c r="R36" s="2" t="s">
        <v>1</v>
      </c>
      <c r="S36" t="s">
        <v>18</v>
      </c>
      <c r="T36" s="2" t="s">
        <v>194</v>
      </c>
      <c r="U36" s="2" t="s">
        <v>1</v>
      </c>
      <c r="V36" t="s">
        <v>18</v>
      </c>
      <c r="W36" t="s">
        <v>194</v>
      </c>
      <c r="X36" s="2" t="s">
        <v>1</v>
      </c>
      <c r="Y36">
        <f t="shared" si="0"/>
        <v>709</v>
      </c>
    </row>
    <row r="37" spans="1:25" ht="240" x14ac:dyDescent="0.25">
      <c r="A37" t="s">
        <v>183</v>
      </c>
      <c r="B37" t="s">
        <v>184</v>
      </c>
      <c r="C37" s="2" t="s">
        <v>1072</v>
      </c>
      <c r="D37" s="2" t="s">
        <v>1075</v>
      </c>
      <c r="E37" s="2" t="s">
        <v>230</v>
      </c>
      <c r="F37" s="2" t="s">
        <v>231</v>
      </c>
      <c r="G37" t="s">
        <v>18</v>
      </c>
      <c r="H37" s="2" t="s">
        <v>187</v>
      </c>
      <c r="I37" s="2" t="s">
        <v>1</v>
      </c>
      <c r="J37" t="s">
        <v>18</v>
      </c>
      <c r="K37" s="2" t="s">
        <v>187</v>
      </c>
      <c r="L37" s="2" t="s">
        <v>1</v>
      </c>
      <c r="M37" t="s">
        <v>18</v>
      </c>
      <c r="N37" s="2" t="s">
        <v>187</v>
      </c>
      <c r="O37" s="2" t="s">
        <v>1</v>
      </c>
      <c r="P37" t="s">
        <v>18</v>
      </c>
      <c r="Q37" s="2" t="s">
        <v>187</v>
      </c>
      <c r="R37" s="2" t="s">
        <v>1</v>
      </c>
      <c r="S37" t="s">
        <v>18</v>
      </c>
      <c r="T37" s="2" t="s">
        <v>187</v>
      </c>
      <c r="U37" s="2" t="s">
        <v>1</v>
      </c>
      <c r="V37" t="s">
        <v>18</v>
      </c>
      <c r="W37" s="2" t="s">
        <v>187</v>
      </c>
      <c r="X37" s="2" t="s">
        <v>1</v>
      </c>
      <c r="Y37">
        <f t="shared" si="0"/>
        <v>706</v>
      </c>
    </row>
    <row r="38" spans="1:25" ht="390" x14ac:dyDescent="0.25">
      <c r="A38" t="s">
        <v>183</v>
      </c>
      <c r="B38" t="s">
        <v>184</v>
      </c>
      <c r="C38" s="2" t="s">
        <v>1072</v>
      </c>
      <c r="D38" s="2" t="s">
        <v>1075</v>
      </c>
      <c r="E38" s="2" t="s">
        <v>232</v>
      </c>
      <c r="F38" s="2" t="s">
        <v>231</v>
      </c>
      <c r="G38" t="s">
        <v>18</v>
      </c>
      <c r="H38" s="2" t="s">
        <v>187</v>
      </c>
      <c r="I38" s="2" t="s">
        <v>1</v>
      </c>
      <c r="J38" s="2" t="s">
        <v>1094</v>
      </c>
      <c r="K38" s="2" t="s">
        <v>187</v>
      </c>
      <c r="L38" s="2" t="s">
        <v>2</v>
      </c>
      <c r="M38" t="s">
        <v>18</v>
      </c>
      <c r="N38" s="2" t="s">
        <v>187</v>
      </c>
      <c r="O38" s="2" t="s">
        <v>1</v>
      </c>
      <c r="P38" t="s">
        <v>21</v>
      </c>
      <c r="Q38" s="2" t="s">
        <v>187</v>
      </c>
      <c r="R38" s="2" t="s">
        <v>1</v>
      </c>
      <c r="S38" t="s">
        <v>23</v>
      </c>
      <c r="T38" s="2" t="s">
        <v>187</v>
      </c>
      <c r="U38" s="2" t="s">
        <v>1</v>
      </c>
      <c r="V38" t="s">
        <v>18</v>
      </c>
      <c r="W38" s="2" t="s">
        <v>187</v>
      </c>
      <c r="X38" s="2" t="s">
        <v>1</v>
      </c>
      <c r="Y38">
        <f t="shared" si="0"/>
        <v>707</v>
      </c>
    </row>
    <row r="39" spans="1:25" ht="240" x14ac:dyDescent="0.25">
      <c r="A39" t="s">
        <v>183</v>
      </c>
      <c r="B39" t="s">
        <v>184</v>
      </c>
      <c r="C39" s="2" t="s">
        <v>1072</v>
      </c>
      <c r="D39" s="2" t="s">
        <v>1075</v>
      </c>
      <c r="E39" s="2" t="s">
        <v>233</v>
      </c>
      <c r="F39" s="2" t="s">
        <v>231</v>
      </c>
      <c r="G39" t="s">
        <v>18</v>
      </c>
      <c r="H39" s="2" t="s">
        <v>187</v>
      </c>
      <c r="I39" s="2" t="s">
        <v>1</v>
      </c>
      <c r="J39" t="s">
        <v>1082</v>
      </c>
      <c r="K39" s="2" t="s">
        <v>187</v>
      </c>
      <c r="L39" s="2" t="s">
        <v>1</v>
      </c>
      <c r="M39" t="s">
        <v>21</v>
      </c>
      <c r="N39" s="2" t="s">
        <v>187</v>
      </c>
      <c r="O39" s="2" t="s">
        <v>1</v>
      </c>
      <c r="P39" t="s">
        <v>21</v>
      </c>
      <c r="Q39" s="2" t="s">
        <v>187</v>
      </c>
      <c r="R39" s="2" t="s">
        <v>1</v>
      </c>
      <c r="S39" t="s">
        <v>18</v>
      </c>
      <c r="T39" s="2" t="s">
        <v>187</v>
      </c>
      <c r="U39" s="2" t="s">
        <v>1</v>
      </c>
      <c r="V39" t="s">
        <v>18</v>
      </c>
      <c r="W39" s="2" t="s">
        <v>187</v>
      </c>
      <c r="X39" s="2" t="s">
        <v>1</v>
      </c>
      <c r="Y39">
        <f t="shared" si="0"/>
        <v>702</v>
      </c>
    </row>
    <row r="40" spans="1:25" ht="240" x14ac:dyDescent="0.25">
      <c r="A40" t="s">
        <v>183</v>
      </c>
      <c r="B40" t="s">
        <v>184</v>
      </c>
      <c r="C40" s="2" t="s">
        <v>1072</v>
      </c>
      <c r="D40" s="2" t="s">
        <v>1075</v>
      </c>
      <c r="E40" s="2" t="s">
        <v>234</v>
      </c>
      <c r="F40" s="2" t="s">
        <v>231</v>
      </c>
      <c r="G40" t="s">
        <v>21</v>
      </c>
      <c r="H40" s="2" t="s">
        <v>187</v>
      </c>
      <c r="I40" s="2" t="s">
        <v>1</v>
      </c>
      <c r="J40" t="s">
        <v>21</v>
      </c>
      <c r="K40" s="2" t="s">
        <v>187</v>
      </c>
      <c r="L40" s="2" t="s">
        <v>1</v>
      </c>
      <c r="M40" t="s">
        <v>21</v>
      </c>
      <c r="N40" s="2" t="s">
        <v>187</v>
      </c>
      <c r="O40" s="2" t="s">
        <v>1</v>
      </c>
      <c r="P40" t="s">
        <v>21</v>
      </c>
      <c r="Q40" s="2" t="s">
        <v>187</v>
      </c>
      <c r="R40" s="2" t="s">
        <v>1</v>
      </c>
      <c r="S40" t="s">
        <v>23</v>
      </c>
      <c r="T40" s="2" t="s">
        <v>187</v>
      </c>
      <c r="U40" s="2" t="s">
        <v>1</v>
      </c>
      <c r="V40" t="s">
        <v>18</v>
      </c>
      <c r="W40" s="2" t="s">
        <v>187</v>
      </c>
      <c r="X40" s="2" t="s">
        <v>1</v>
      </c>
      <c r="Y40">
        <f t="shared" si="0"/>
        <v>706</v>
      </c>
    </row>
    <row r="41" spans="1:25" ht="375" x14ac:dyDescent="0.25">
      <c r="A41" t="s">
        <v>183</v>
      </c>
      <c r="B41" t="s">
        <v>184</v>
      </c>
      <c r="C41" s="2" t="s">
        <v>1072</v>
      </c>
      <c r="D41" s="2" t="s">
        <v>1075</v>
      </c>
      <c r="E41" s="2" t="s">
        <v>235</v>
      </c>
      <c r="F41" s="2" t="s">
        <v>231</v>
      </c>
      <c r="G41" t="s">
        <v>23</v>
      </c>
      <c r="H41" s="2" t="s">
        <v>187</v>
      </c>
      <c r="I41" s="2" t="s">
        <v>1</v>
      </c>
      <c r="J41" s="2" t="s">
        <v>1095</v>
      </c>
      <c r="K41" s="2" t="s">
        <v>187</v>
      </c>
      <c r="L41" s="2" t="s">
        <v>2</v>
      </c>
      <c r="M41" t="s">
        <v>18</v>
      </c>
      <c r="N41" s="2" t="s">
        <v>187</v>
      </c>
      <c r="O41" s="2" t="s">
        <v>1</v>
      </c>
      <c r="P41" t="s">
        <v>21</v>
      </c>
      <c r="Q41" s="2" t="s">
        <v>187</v>
      </c>
      <c r="R41" s="2" t="s">
        <v>1</v>
      </c>
      <c r="S41" t="s">
        <v>23</v>
      </c>
      <c r="T41" s="2" t="s">
        <v>187</v>
      </c>
      <c r="U41" s="2" t="s">
        <v>1</v>
      </c>
      <c r="V41" t="s">
        <v>18</v>
      </c>
      <c r="W41" s="2" t="s">
        <v>187</v>
      </c>
      <c r="X41" s="2" t="s">
        <v>1</v>
      </c>
      <c r="Y41">
        <f t="shared" si="0"/>
        <v>709</v>
      </c>
    </row>
    <row r="42" spans="1:25" ht="240" hidden="1" x14ac:dyDescent="0.25">
      <c r="A42" t="s">
        <v>183</v>
      </c>
      <c r="B42" t="s">
        <v>184</v>
      </c>
      <c r="C42" s="2" t="s">
        <v>1072</v>
      </c>
      <c r="D42" s="2" t="s">
        <v>1075</v>
      </c>
      <c r="E42" s="2" t="s">
        <v>236</v>
      </c>
      <c r="F42" s="2" t="s">
        <v>237</v>
      </c>
      <c r="G42" t="s">
        <v>23</v>
      </c>
      <c r="H42" s="2" t="s">
        <v>194</v>
      </c>
      <c r="I42" s="2" t="s">
        <v>1</v>
      </c>
      <c r="J42" s="2" t="s">
        <v>1096</v>
      </c>
      <c r="K42" s="2" t="s">
        <v>194</v>
      </c>
      <c r="L42" s="2" t="s">
        <v>1</v>
      </c>
      <c r="M42" t="s">
        <v>23</v>
      </c>
      <c r="N42" s="2" t="s">
        <v>194</v>
      </c>
      <c r="O42" s="2" t="s">
        <v>1</v>
      </c>
      <c r="P42" t="s">
        <v>18</v>
      </c>
      <c r="Q42" s="2" t="s">
        <v>187</v>
      </c>
      <c r="R42" s="2" t="s">
        <v>1</v>
      </c>
      <c r="S42" t="s">
        <v>23</v>
      </c>
      <c r="T42" t="s">
        <v>194</v>
      </c>
      <c r="U42" s="2" t="s">
        <v>1</v>
      </c>
      <c r="V42" t="s">
        <v>18</v>
      </c>
      <c r="W42" t="s">
        <v>187</v>
      </c>
      <c r="X42" s="2" t="s">
        <v>1</v>
      </c>
      <c r="Y42">
        <f t="shared" si="0"/>
        <v>704</v>
      </c>
    </row>
    <row r="43" spans="1:25" ht="405" x14ac:dyDescent="0.25">
      <c r="A43" t="s">
        <v>183</v>
      </c>
      <c r="B43" t="s">
        <v>184</v>
      </c>
      <c r="C43" s="2" t="s">
        <v>1072</v>
      </c>
      <c r="D43" s="2" t="s">
        <v>1075</v>
      </c>
      <c r="E43" s="2" t="s">
        <v>238</v>
      </c>
      <c r="F43" s="2" t="s">
        <v>237</v>
      </c>
      <c r="G43" t="s">
        <v>18</v>
      </c>
      <c r="H43" s="2" t="s">
        <v>187</v>
      </c>
      <c r="I43" s="2" t="s">
        <v>1</v>
      </c>
      <c r="J43" s="2" t="s">
        <v>1097</v>
      </c>
      <c r="K43" s="2" t="s">
        <v>187</v>
      </c>
      <c r="L43" s="2" t="s">
        <v>2</v>
      </c>
      <c r="M43" t="s">
        <v>18</v>
      </c>
      <c r="N43" s="2" t="s">
        <v>187</v>
      </c>
      <c r="O43" s="2" t="s">
        <v>1</v>
      </c>
      <c r="P43" t="s">
        <v>18</v>
      </c>
      <c r="Q43" s="2" t="s">
        <v>187</v>
      </c>
      <c r="R43" s="2" t="s">
        <v>1</v>
      </c>
      <c r="S43" t="s">
        <v>18</v>
      </c>
      <c r="T43" t="s">
        <v>187</v>
      </c>
      <c r="U43" s="2" t="s">
        <v>1</v>
      </c>
      <c r="V43" t="s">
        <v>18</v>
      </c>
      <c r="W43" t="s">
        <v>187</v>
      </c>
      <c r="X43" s="2" t="s">
        <v>1</v>
      </c>
      <c r="Y43">
        <f t="shared" si="0"/>
        <v>698</v>
      </c>
    </row>
    <row r="44" spans="1:25" ht="240" x14ac:dyDescent="0.25">
      <c r="A44" t="s">
        <v>183</v>
      </c>
      <c r="B44" t="s">
        <v>184</v>
      </c>
      <c r="C44" s="2" t="s">
        <v>1072</v>
      </c>
      <c r="D44" s="2" t="s">
        <v>1075</v>
      </c>
      <c r="E44" s="2" t="s">
        <v>239</v>
      </c>
      <c r="F44" s="2" t="s">
        <v>237</v>
      </c>
      <c r="G44" t="s">
        <v>18</v>
      </c>
      <c r="H44" s="2" t="s">
        <v>187</v>
      </c>
      <c r="I44" s="2" t="s">
        <v>1</v>
      </c>
      <c r="J44" t="s">
        <v>18</v>
      </c>
      <c r="K44" s="2" t="s">
        <v>187</v>
      </c>
      <c r="L44" s="2" t="s">
        <v>1</v>
      </c>
      <c r="M44" t="s">
        <v>18</v>
      </c>
      <c r="N44" s="2" t="s">
        <v>187</v>
      </c>
      <c r="O44" s="2" t="s">
        <v>1</v>
      </c>
      <c r="P44" t="s">
        <v>18</v>
      </c>
      <c r="Q44" s="2" t="s">
        <v>187</v>
      </c>
      <c r="R44" s="2" t="s">
        <v>1</v>
      </c>
      <c r="S44" t="s">
        <v>18</v>
      </c>
      <c r="T44" t="s">
        <v>187</v>
      </c>
      <c r="U44" s="2" t="s">
        <v>1</v>
      </c>
      <c r="V44" t="s">
        <v>18</v>
      </c>
      <c r="W44" t="s">
        <v>187</v>
      </c>
      <c r="X44" s="2" t="s">
        <v>1</v>
      </c>
      <c r="Y44">
        <f t="shared" si="0"/>
        <v>701</v>
      </c>
    </row>
    <row r="45" spans="1:25" ht="405" x14ac:dyDescent="0.25">
      <c r="A45" t="s">
        <v>183</v>
      </c>
      <c r="B45" t="s">
        <v>184</v>
      </c>
      <c r="C45" s="2" t="s">
        <v>1072</v>
      </c>
      <c r="D45" s="2" t="s">
        <v>1075</v>
      </c>
      <c r="E45" s="2" t="s">
        <v>240</v>
      </c>
      <c r="F45" s="2" t="s">
        <v>237</v>
      </c>
      <c r="G45" t="s">
        <v>18</v>
      </c>
      <c r="H45" s="2" t="s">
        <v>187</v>
      </c>
      <c r="I45" s="2" t="s">
        <v>1</v>
      </c>
      <c r="J45" s="2" t="s">
        <v>1098</v>
      </c>
      <c r="K45" s="2" t="s">
        <v>187</v>
      </c>
      <c r="L45" s="2" t="s">
        <v>2</v>
      </c>
      <c r="M45" t="s">
        <v>18</v>
      </c>
      <c r="N45" s="2" t="s">
        <v>187</v>
      </c>
      <c r="O45" s="2" t="s">
        <v>1</v>
      </c>
      <c r="P45" t="s">
        <v>18</v>
      </c>
      <c r="Q45" s="2" t="s">
        <v>187</v>
      </c>
      <c r="R45" s="2" t="s">
        <v>1</v>
      </c>
      <c r="S45" t="s">
        <v>18</v>
      </c>
      <c r="T45" t="s">
        <v>187</v>
      </c>
      <c r="U45" s="2" t="s">
        <v>1</v>
      </c>
      <c r="V45" t="s">
        <v>23</v>
      </c>
      <c r="W45" t="s">
        <v>194</v>
      </c>
      <c r="X45" s="2" t="s">
        <v>1</v>
      </c>
      <c r="Y45">
        <f t="shared" si="0"/>
        <v>686</v>
      </c>
    </row>
    <row r="46" spans="1:25" ht="240" x14ac:dyDescent="0.25">
      <c r="A46" t="s">
        <v>183</v>
      </c>
      <c r="B46" t="s">
        <v>184</v>
      </c>
      <c r="C46" s="2" t="s">
        <v>1072</v>
      </c>
      <c r="D46" s="2" t="s">
        <v>1075</v>
      </c>
      <c r="E46" s="2" t="s">
        <v>241</v>
      </c>
      <c r="F46" s="2" t="s">
        <v>290</v>
      </c>
      <c r="G46" t="s">
        <v>23</v>
      </c>
      <c r="H46" s="2" t="s">
        <v>194</v>
      </c>
      <c r="I46" s="2" t="s">
        <v>1</v>
      </c>
      <c r="J46" s="2" t="s">
        <v>1076</v>
      </c>
      <c r="K46" s="2" t="s">
        <v>187</v>
      </c>
      <c r="L46" s="2" t="s">
        <v>1</v>
      </c>
      <c r="M46" t="s">
        <v>18</v>
      </c>
      <c r="N46" s="2" t="s">
        <v>187</v>
      </c>
      <c r="O46" s="2" t="s">
        <v>1</v>
      </c>
      <c r="P46" t="s">
        <v>18</v>
      </c>
      <c r="Q46" s="2" t="s">
        <v>187</v>
      </c>
      <c r="R46" s="2" t="s">
        <v>1</v>
      </c>
      <c r="S46" t="s">
        <v>21</v>
      </c>
      <c r="T46" t="s">
        <v>194</v>
      </c>
      <c r="U46" s="2" t="s">
        <v>1</v>
      </c>
      <c r="V46" t="s">
        <v>23</v>
      </c>
      <c r="W46" t="s">
        <v>194</v>
      </c>
      <c r="X46" s="2" t="s">
        <v>1</v>
      </c>
      <c r="Y46">
        <f t="shared" si="0"/>
        <v>713</v>
      </c>
    </row>
    <row r="47" spans="1:25" ht="240" x14ac:dyDescent="0.25">
      <c r="A47" t="s">
        <v>183</v>
      </c>
      <c r="B47" t="s">
        <v>184</v>
      </c>
      <c r="C47" s="2" t="s">
        <v>1072</v>
      </c>
      <c r="D47" s="2" t="s">
        <v>1075</v>
      </c>
      <c r="E47" s="2" t="s">
        <v>242</v>
      </c>
      <c r="F47" s="2" t="s">
        <v>243</v>
      </c>
      <c r="G47" t="s">
        <v>23</v>
      </c>
      <c r="H47" s="2" t="s">
        <v>187</v>
      </c>
      <c r="I47" s="2" t="s">
        <v>1</v>
      </c>
      <c r="J47" s="2" t="s">
        <v>1099</v>
      </c>
      <c r="K47" s="2" t="s">
        <v>194</v>
      </c>
      <c r="L47" s="2" t="s">
        <v>1</v>
      </c>
      <c r="M47" t="s">
        <v>23</v>
      </c>
      <c r="N47" s="2" t="s">
        <v>187</v>
      </c>
      <c r="O47" s="2" t="s">
        <v>1</v>
      </c>
      <c r="P47" t="s">
        <v>21</v>
      </c>
      <c r="Q47" s="2" t="s">
        <v>194</v>
      </c>
      <c r="R47" s="2" t="s">
        <v>1</v>
      </c>
      <c r="S47" t="s">
        <v>21</v>
      </c>
      <c r="T47" s="2" t="s">
        <v>194</v>
      </c>
      <c r="U47" s="2" t="s">
        <v>1</v>
      </c>
      <c r="V47" t="s">
        <v>21</v>
      </c>
      <c r="W47" t="s">
        <v>194</v>
      </c>
      <c r="X47" s="2" t="s">
        <v>1</v>
      </c>
      <c r="Y47">
        <f t="shared" si="0"/>
        <v>721</v>
      </c>
    </row>
    <row r="48" spans="1:25" ht="240" x14ac:dyDescent="0.25">
      <c r="A48" t="s">
        <v>183</v>
      </c>
      <c r="B48" t="s">
        <v>184</v>
      </c>
      <c r="C48" s="2" t="s">
        <v>1072</v>
      </c>
      <c r="D48" s="2" t="s">
        <v>1075</v>
      </c>
      <c r="E48" s="2" t="s">
        <v>244</v>
      </c>
      <c r="F48" s="2" t="s">
        <v>243</v>
      </c>
      <c r="G48" t="s">
        <v>23</v>
      </c>
      <c r="H48" s="2" t="s">
        <v>187</v>
      </c>
      <c r="I48" s="2" t="s">
        <v>1</v>
      </c>
      <c r="J48" t="s">
        <v>23</v>
      </c>
      <c r="K48" s="2" t="s">
        <v>187</v>
      </c>
      <c r="L48" s="2" t="s">
        <v>1</v>
      </c>
      <c r="M48" t="s">
        <v>23</v>
      </c>
      <c r="N48" s="2" t="s">
        <v>187</v>
      </c>
      <c r="O48" s="2" t="s">
        <v>1</v>
      </c>
      <c r="P48" t="s">
        <v>23</v>
      </c>
      <c r="Q48" s="2" t="s">
        <v>187</v>
      </c>
      <c r="R48" s="2" t="s">
        <v>1</v>
      </c>
      <c r="S48" t="s">
        <v>23</v>
      </c>
      <c r="T48" s="2" t="s">
        <v>187</v>
      </c>
      <c r="U48" s="2" t="s">
        <v>1</v>
      </c>
      <c r="V48" t="s">
        <v>23</v>
      </c>
      <c r="W48" s="2" t="s">
        <v>187</v>
      </c>
      <c r="X48" s="2" t="s">
        <v>1</v>
      </c>
      <c r="Y48">
        <f t="shared" si="0"/>
        <v>719</v>
      </c>
    </row>
    <row r="49" spans="1:25" ht="240" x14ac:dyDescent="0.25">
      <c r="A49" t="s">
        <v>183</v>
      </c>
      <c r="B49" t="s">
        <v>184</v>
      </c>
      <c r="C49" s="2" t="s">
        <v>1072</v>
      </c>
      <c r="D49" s="2" t="s">
        <v>1075</v>
      </c>
      <c r="E49" s="2" t="s">
        <v>245</v>
      </c>
      <c r="F49" s="2" t="s">
        <v>243</v>
      </c>
      <c r="G49" t="s">
        <v>23</v>
      </c>
      <c r="H49" s="2" t="s">
        <v>187</v>
      </c>
      <c r="I49" s="2" t="s">
        <v>1</v>
      </c>
      <c r="J49" s="2" t="s">
        <v>18</v>
      </c>
      <c r="K49" s="2" t="s">
        <v>194</v>
      </c>
      <c r="L49" s="2" t="s">
        <v>1</v>
      </c>
      <c r="M49" t="s">
        <v>23</v>
      </c>
      <c r="N49" s="2" t="s">
        <v>187</v>
      </c>
      <c r="O49" s="2" t="s">
        <v>1</v>
      </c>
      <c r="P49" t="s">
        <v>21</v>
      </c>
      <c r="Q49" s="2" t="s">
        <v>194</v>
      </c>
      <c r="R49" s="2" t="s">
        <v>1</v>
      </c>
      <c r="S49" t="s">
        <v>23</v>
      </c>
      <c r="T49" s="2" t="s">
        <v>187</v>
      </c>
      <c r="U49" s="2" t="s">
        <v>1</v>
      </c>
      <c r="V49" t="s">
        <v>23</v>
      </c>
      <c r="W49" s="2" t="s">
        <v>187</v>
      </c>
      <c r="X49" s="2" t="s">
        <v>1</v>
      </c>
      <c r="Y49">
        <f t="shared" si="0"/>
        <v>715</v>
      </c>
    </row>
    <row r="50" spans="1:25" ht="240" x14ac:dyDescent="0.25">
      <c r="A50" t="s">
        <v>183</v>
      </c>
      <c r="B50" t="s">
        <v>184</v>
      </c>
      <c r="C50" s="2" t="s">
        <v>1072</v>
      </c>
      <c r="D50" s="2" t="s">
        <v>1075</v>
      </c>
      <c r="E50" s="2" t="s">
        <v>246</v>
      </c>
      <c r="F50" s="2" t="s">
        <v>243</v>
      </c>
      <c r="G50" t="s">
        <v>23</v>
      </c>
      <c r="H50" s="2" t="s">
        <v>187</v>
      </c>
      <c r="I50" s="2" t="s">
        <v>1</v>
      </c>
      <c r="J50" s="2" t="s">
        <v>1100</v>
      </c>
      <c r="K50" s="2" t="s">
        <v>187</v>
      </c>
      <c r="L50" s="2" t="s">
        <v>2</v>
      </c>
      <c r="M50" t="s">
        <v>23</v>
      </c>
      <c r="N50" s="2" t="s">
        <v>187</v>
      </c>
      <c r="O50" s="2" t="s">
        <v>1</v>
      </c>
      <c r="P50" t="s">
        <v>21</v>
      </c>
      <c r="Q50" s="2" t="s">
        <v>194</v>
      </c>
      <c r="R50" s="2" t="s">
        <v>1</v>
      </c>
      <c r="S50" t="s">
        <v>23</v>
      </c>
      <c r="T50" s="2" t="s">
        <v>187</v>
      </c>
      <c r="U50" s="2" t="s">
        <v>1</v>
      </c>
      <c r="V50" t="s">
        <v>18</v>
      </c>
      <c r="W50" t="s">
        <v>194</v>
      </c>
      <c r="X50" s="2" t="s">
        <v>1</v>
      </c>
      <c r="Y50">
        <f t="shared" si="0"/>
        <v>715</v>
      </c>
    </row>
    <row r="51" spans="1:25" ht="255" x14ac:dyDescent="0.25">
      <c r="A51" t="s">
        <v>183</v>
      </c>
      <c r="B51" t="s">
        <v>184</v>
      </c>
      <c r="C51" s="2" t="s">
        <v>1072</v>
      </c>
      <c r="D51" s="2" t="s">
        <v>1075</v>
      </c>
      <c r="E51" s="2" t="s">
        <v>247</v>
      </c>
      <c r="F51" s="2" t="s">
        <v>243</v>
      </c>
      <c r="G51" t="s">
        <v>23</v>
      </c>
      <c r="H51" s="2" t="s">
        <v>187</v>
      </c>
      <c r="I51" s="2" t="s">
        <v>1</v>
      </c>
      <c r="J51" s="2" t="s">
        <v>1101</v>
      </c>
      <c r="K51" s="2" t="s">
        <v>187</v>
      </c>
      <c r="L51" s="2" t="s">
        <v>2</v>
      </c>
      <c r="M51" t="s">
        <v>23</v>
      </c>
      <c r="N51" s="2" t="s">
        <v>187</v>
      </c>
      <c r="O51" s="2" t="s">
        <v>1</v>
      </c>
      <c r="P51" t="s">
        <v>23</v>
      </c>
      <c r="Q51" s="2" t="s">
        <v>187</v>
      </c>
      <c r="R51" s="2" t="s">
        <v>1</v>
      </c>
      <c r="S51" t="s">
        <v>23</v>
      </c>
      <c r="T51" s="2" t="s">
        <v>187</v>
      </c>
      <c r="U51" s="2" t="s">
        <v>1</v>
      </c>
      <c r="V51" t="s">
        <v>23</v>
      </c>
      <c r="W51" s="2" t="s">
        <v>187</v>
      </c>
      <c r="X51" s="2" t="s">
        <v>1</v>
      </c>
      <c r="Y51">
        <f t="shared" si="0"/>
        <v>720</v>
      </c>
    </row>
    <row r="52" spans="1:25" ht="240" x14ac:dyDescent="0.25">
      <c r="A52" t="s">
        <v>183</v>
      </c>
      <c r="B52" t="s">
        <v>184</v>
      </c>
      <c r="C52" s="2" t="s">
        <v>1072</v>
      </c>
      <c r="D52" s="2" t="s">
        <v>1075</v>
      </c>
      <c r="E52" s="2" t="s">
        <v>248</v>
      </c>
      <c r="F52" s="2" t="s">
        <v>249</v>
      </c>
      <c r="G52" t="s">
        <v>21</v>
      </c>
      <c r="H52" s="2" t="s">
        <v>187</v>
      </c>
      <c r="I52" s="2" t="s">
        <v>1</v>
      </c>
      <c r="J52" t="s">
        <v>1082</v>
      </c>
      <c r="K52" s="2" t="s">
        <v>187</v>
      </c>
      <c r="L52" s="2" t="s">
        <v>1</v>
      </c>
      <c r="M52" t="s">
        <v>21</v>
      </c>
      <c r="N52" s="2" t="s">
        <v>187</v>
      </c>
      <c r="O52" s="2" t="s">
        <v>1</v>
      </c>
      <c r="P52" t="s">
        <v>21</v>
      </c>
      <c r="Q52" s="2" t="s">
        <v>187</v>
      </c>
      <c r="R52" s="2" t="s">
        <v>1</v>
      </c>
      <c r="S52" t="s">
        <v>21</v>
      </c>
      <c r="T52" t="s">
        <v>187</v>
      </c>
      <c r="U52" s="2" t="s">
        <v>1</v>
      </c>
      <c r="V52" t="s">
        <v>18</v>
      </c>
      <c r="W52" t="s">
        <v>194</v>
      </c>
      <c r="X52" s="2" t="s">
        <v>1</v>
      </c>
      <c r="Y52">
        <f t="shared" si="0"/>
        <v>714</v>
      </c>
    </row>
    <row r="53" spans="1:25" ht="240" x14ac:dyDescent="0.25">
      <c r="A53" t="s">
        <v>183</v>
      </c>
      <c r="B53" t="s">
        <v>184</v>
      </c>
      <c r="C53" s="2" t="s">
        <v>1072</v>
      </c>
      <c r="D53" s="2" t="s">
        <v>1075</v>
      </c>
      <c r="E53" s="2" t="s">
        <v>250</v>
      </c>
      <c r="F53" s="2" t="s">
        <v>249</v>
      </c>
      <c r="G53" t="s">
        <v>21</v>
      </c>
      <c r="H53" s="2" t="s">
        <v>187</v>
      </c>
      <c r="I53" s="2" t="s">
        <v>1</v>
      </c>
      <c r="J53" s="2" t="s">
        <v>1102</v>
      </c>
      <c r="K53" s="2" t="s">
        <v>187</v>
      </c>
      <c r="L53" s="2" t="s">
        <v>2</v>
      </c>
      <c r="M53" t="s">
        <v>21</v>
      </c>
      <c r="N53" s="2" t="s">
        <v>187</v>
      </c>
      <c r="O53" s="2" t="s">
        <v>1</v>
      </c>
      <c r="P53" t="s">
        <v>18</v>
      </c>
      <c r="Q53" s="2" t="s">
        <v>194</v>
      </c>
      <c r="R53" s="2" t="s">
        <v>1</v>
      </c>
      <c r="S53" t="s">
        <v>18</v>
      </c>
      <c r="T53" t="s">
        <v>194</v>
      </c>
      <c r="U53" s="2" t="s">
        <v>1</v>
      </c>
      <c r="V53" t="s">
        <v>18</v>
      </c>
      <c r="W53" t="s">
        <v>194</v>
      </c>
      <c r="X53" s="2" t="s">
        <v>1</v>
      </c>
      <c r="Y53">
        <f t="shared" si="0"/>
        <v>703</v>
      </c>
    </row>
    <row r="54" spans="1:25" ht="270" x14ac:dyDescent="0.25">
      <c r="A54" t="s">
        <v>183</v>
      </c>
      <c r="B54" t="s">
        <v>184</v>
      </c>
      <c r="C54" s="2" t="s">
        <v>1072</v>
      </c>
      <c r="D54" s="2" t="s">
        <v>1075</v>
      </c>
      <c r="E54" s="2" t="s">
        <v>251</v>
      </c>
      <c r="F54" s="2" t="s">
        <v>249</v>
      </c>
      <c r="G54" t="s">
        <v>23</v>
      </c>
      <c r="H54" s="2" t="s">
        <v>194</v>
      </c>
      <c r="I54" s="2" t="s">
        <v>1</v>
      </c>
      <c r="J54" s="2" t="s">
        <v>1103</v>
      </c>
      <c r="K54" s="2" t="s">
        <v>194</v>
      </c>
      <c r="L54" s="2" t="s">
        <v>2</v>
      </c>
      <c r="M54" t="s">
        <v>21</v>
      </c>
      <c r="N54" s="2" t="s">
        <v>187</v>
      </c>
      <c r="O54" s="2" t="s">
        <v>1</v>
      </c>
      <c r="P54" t="s">
        <v>21</v>
      </c>
      <c r="Q54" s="2" t="s">
        <v>187</v>
      </c>
      <c r="R54" s="2" t="s">
        <v>1</v>
      </c>
      <c r="S54" t="s">
        <v>23</v>
      </c>
      <c r="T54" t="s">
        <v>194</v>
      </c>
      <c r="U54" s="2" t="s">
        <v>1</v>
      </c>
      <c r="V54" t="s">
        <v>18</v>
      </c>
      <c r="W54" t="s">
        <v>194</v>
      </c>
      <c r="X54" s="2" t="s">
        <v>1</v>
      </c>
      <c r="Y54">
        <f t="shared" si="0"/>
        <v>707</v>
      </c>
    </row>
    <row r="55" spans="1:25" ht="240" x14ac:dyDescent="0.25">
      <c r="A55" t="s">
        <v>183</v>
      </c>
      <c r="B55" t="s">
        <v>184</v>
      </c>
      <c r="C55" s="2" t="s">
        <v>1072</v>
      </c>
      <c r="D55" s="2" t="s">
        <v>1075</v>
      </c>
      <c r="E55" s="2" t="s">
        <v>252</v>
      </c>
      <c r="F55" s="2" t="s">
        <v>249</v>
      </c>
      <c r="G55" t="s">
        <v>18</v>
      </c>
      <c r="H55" s="2" t="s">
        <v>194</v>
      </c>
      <c r="I55" s="2" t="s">
        <v>1</v>
      </c>
      <c r="J55" t="s">
        <v>1079</v>
      </c>
      <c r="K55" s="2" t="s">
        <v>187</v>
      </c>
      <c r="L55" s="2" t="s">
        <v>1</v>
      </c>
      <c r="M55" t="s">
        <v>21</v>
      </c>
      <c r="N55" s="2" t="s">
        <v>187</v>
      </c>
      <c r="O55" s="2" t="s">
        <v>1</v>
      </c>
      <c r="P55" t="s">
        <v>18</v>
      </c>
      <c r="Q55" s="2" t="s">
        <v>194</v>
      </c>
      <c r="R55" s="2" t="s">
        <v>1</v>
      </c>
      <c r="S55" t="s">
        <v>18</v>
      </c>
      <c r="T55" t="s">
        <v>194</v>
      </c>
      <c r="U55" s="2" t="s">
        <v>1</v>
      </c>
      <c r="V55" t="s">
        <v>18</v>
      </c>
      <c r="W55" t="s">
        <v>194</v>
      </c>
      <c r="X55" s="2" t="s">
        <v>1</v>
      </c>
      <c r="Y55">
        <f t="shared" si="0"/>
        <v>709</v>
      </c>
    </row>
    <row r="56" spans="1:25" ht="330" x14ac:dyDescent="0.25">
      <c r="A56" t="s">
        <v>183</v>
      </c>
      <c r="B56" t="s">
        <v>184</v>
      </c>
      <c r="C56" s="2" t="s">
        <v>1072</v>
      </c>
      <c r="D56" s="2" t="s">
        <v>1075</v>
      </c>
      <c r="E56" s="2" t="s">
        <v>253</v>
      </c>
      <c r="F56" s="2" t="s">
        <v>249</v>
      </c>
      <c r="G56" t="s">
        <v>23</v>
      </c>
      <c r="H56" s="2" t="s">
        <v>194</v>
      </c>
      <c r="I56" s="2" t="s">
        <v>1</v>
      </c>
      <c r="J56" s="2" t="s">
        <v>1104</v>
      </c>
      <c r="K56" s="2" t="s">
        <v>187</v>
      </c>
      <c r="L56" s="2" t="s">
        <v>2</v>
      </c>
      <c r="M56" t="s">
        <v>21</v>
      </c>
      <c r="N56" s="2" t="s">
        <v>187</v>
      </c>
      <c r="O56" s="2" t="s">
        <v>1</v>
      </c>
      <c r="P56" t="s">
        <v>21</v>
      </c>
      <c r="Q56" s="2" t="s">
        <v>187</v>
      </c>
      <c r="R56" s="2" t="s">
        <v>1</v>
      </c>
      <c r="S56" t="s">
        <v>18</v>
      </c>
      <c r="T56" t="s">
        <v>194</v>
      </c>
      <c r="U56" s="2" t="s">
        <v>1</v>
      </c>
      <c r="V56" t="s">
        <v>18</v>
      </c>
      <c r="W56" t="s">
        <v>194</v>
      </c>
      <c r="X56" s="2" t="s">
        <v>1</v>
      </c>
      <c r="Y56">
        <f t="shared" si="0"/>
        <v>710</v>
      </c>
    </row>
    <row r="57" spans="1:25" ht="390" x14ac:dyDescent="0.25">
      <c r="A57" t="s">
        <v>183</v>
      </c>
      <c r="B57" t="s">
        <v>184</v>
      </c>
      <c r="C57" s="2" t="s">
        <v>1072</v>
      </c>
      <c r="D57" s="2" t="s">
        <v>1075</v>
      </c>
      <c r="E57" s="2" t="s">
        <v>254</v>
      </c>
      <c r="F57" s="2" t="s">
        <v>72</v>
      </c>
      <c r="G57" t="s">
        <v>21</v>
      </c>
      <c r="H57" s="2" t="s">
        <v>187</v>
      </c>
      <c r="I57" s="2" t="s">
        <v>1</v>
      </c>
      <c r="J57" s="2" t="s">
        <v>1105</v>
      </c>
      <c r="K57" s="2" t="s">
        <v>187</v>
      </c>
      <c r="L57" s="2" t="s">
        <v>2</v>
      </c>
      <c r="M57" t="s">
        <v>21</v>
      </c>
      <c r="N57" s="2" t="s">
        <v>187</v>
      </c>
      <c r="O57" s="2" t="s">
        <v>1</v>
      </c>
      <c r="P57" t="s">
        <v>21</v>
      </c>
      <c r="Q57" s="2" t="s">
        <v>187</v>
      </c>
      <c r="R57" s="2" t="s">
        <v>1</v>
      </c>
      <c r="S57" t="s">
        <v>21</v>
      </c>
      <c r="T57" s="2" t="s">
        <v>187</v>
      </c>
      <c r="U57" s="2" t="s">
        <v>1</v>
      </c>
      <c r="V57" t="s">
        <v>18</v>
      </c>
      <c r="W57" s="2" t="s">
        <v>187</v>
      </c>
      <c r="X57" s="2" t="s">
        <v>1</v>
      </c>
      <c r="Y57">
        <f t="shared" si="0"/>
        <v>697</v>
      </c>
    </row>
    <row r="58" spans="1:25" ht="240" x14ac:dyDescent="0.25">
      <c r="A58" t="s">
        <v>183</v>
      </c>
      <c r="B58" t="s">
        <v>184</v>
      </c>
      <c r="C58" s="2" t="s">
        <v>1072</v>
      </c>
      <c r="D58" s="2" t="s">
        <v>1075</v>
      </c>
      <c r="E58" s="2" t="s">
        <v>255</v>
      </c>
      <c r="F58" s="2" t="s">
        <v>72</v>
      </c>
      <c r="G58" t="s">
        <v>23</v>
      </c>
      <c r="H58" s="2" t="s">
        <v>187</v>
      </c>
      <c r="I58" s="2" t="s">
        <v>1</v>
      </c>
      <c r="J58" t="s">
        <v>181</v>
      </c>
      <c r="K58" s="2" t="s">
        <v>187</v>
      </c>
      <c r="L58" s="2" t="s">
        <v>1</v>
      </c>
      <c r="M58" t="s">
        <v>18</v>
      </c>
      <c r="N58" s="2" t="s">
        <v>187</v>
      </c>
      <c r="O58" s="2" t="s">
        <v>1</v>
      </c>
      <c r="P58" t="s">
        <v>18</v>
      </c>
      <c r="Q58" s="2" t="s">
        <v>187</v>
      </c>
      <c r="R58" s="2" t="s">
        <v>1</v>
      </c>
      <c r="S58" t="s">
        <v>23</v>
      </c>
      <c r="T58" s="2" t="s">
        <v>187</v>
      </c>
      <c r="U58" s="2" t="s">
        <v>1</v>
      </c>
      <c r="V58" t="s">
        <v>18</v>
      </c>
      <c r="W58" s="2" t="s">
        <v>187</v>
      </c>
      <c r="X58" s="2" t="s">
        <v>1</v>
      </c>
      <c r="Y58">
        <f t="shared" si="0"/>
        <v>695</v>
      </c>
    </row>
    <row r="59" spans="1:25" ht="240" x14ac:dyDescent="0.25">
      <c r="A59" t="s">
        <v>183</v>
      </c>
      <c r="B59" t="s">
        <v>184</v>
      </c>
      <c r="C59" s="2" t="s">
        <v>1072</v>
      </c>
      <c r="D59" s="2" t="s">
        <v>1075</v>
      </c>
      <c r="E59" s="2" t="s">
        <v>256</v>
      </c>
      <c r="F59" s="2" t="s">
        <v>72</v>
      </c>
      <c r="G59" t="s">
        <v>23</v>
      </c>
      <c r="H59" s="2" t="s">
        <v>187</v>
      </c>
      <c r="I59" s="2" t="s">
        <v>1</v>
      </c>
      <c r="J59" t="s">
        <v>180</v>
      </c>
      <c r="K59" s="2" t="s">
        <v>187</v>
      </c>
      <c r="L59" s="2" t="s">
        <v>1</v>
      </c>
      <c r="M59" t="s">
        <v>18</v>
      </c>
      <c r="N59" s="2" t="s">
        <v>187</v>
      </c>
      <c r="O59" s="2" t="s">
        <v>1</v>
      </c>
      <c r="P59" t="s">
        <v>21</v>
      </c>
      <c r="Q59" s="2" t="s">
        <v>187</v>
      </c>
      <c r="R59" s="2" t="s">
        <v>1</v>
      </c>
      <c r="S59" t="s">
        <v>18</v>
      </c>
      <c r="T59" s="2" t="s">
        <v>187</v>
      </c>
      <c r="U59" s="2" t="s">
        <v>1</v>
      </c>
      <c r="V59" t="s">
        <v>18</v>
      </c>
      <c r="W59" s="2" t="s">
        <v>187</v>
      </c>
      <c r="X59" s="2" t="s">
        <v>1</v>
      </c>
      <c r="Y59">
        <f t="shared" si="0"/>
        <v>680</v>
      </c>
    </row>
    <row r="60" spans="1:25" ht="240" x14ac:dyDescent="0.25">
      <c r="A60" t="s">
        <v>183</v>
      </c>
      <c r="B60" t="s">
        <v>184</v>
      </c>
      <c r="C60" s="2" t="s">
        <v>1072</v>
      </c>
      <c r="D60" s="2" t="s">
        <v>1075</v>
      </c>
      <c r="E60" s="2" t="s">
        <v>257</v>
      </c>
      <c r="F60" s="2" t="s">
        <v>72</v>
      </c>
      <c r="G60" t="s">
        <v>23</v>
      </c>
      <c r="H60" s="2" t="s">
        <v>187</v>
      </c>
      <c r="I60" s="2" t="s">
        <v>1</v>
      </c>
      <c r="J60" t="s">
        <v>181</v>
      </c>
      <c r="K60" s="2" t="s">
        <v>187</v>
      </c>
      <c r="L60" s="2" t="s">
        <v>1</v>
      </c>
      <c r="M60" t="s">
        <v>18</v>
      </c>
      <c r="N60" s="2" t="s">
        <v>187</v>
      </c>
      <c r="O60" s="2" t="s">
        <v>1</v>
      </c>
      <c r="P60" t="s">
        <v>18</v>
      </c>
      <c r="Q60" s="2" t="s">
        <v>187</v>
      </c>
      <c r="R60" s="2" t="s">
        <v>1</v>
      </c>
      <c r="S60" t="s">
        <v>23</v>
      </c>
      <c r="T60" s="2" t="s">
        <v>187</v>
      </c>
      <c r="U60" s="2" t="s">
        <v>1</v>
      </c>
      <c r="V60" t="s">
        <v>18</v>
      </c>
      <c r="W60" s="2" t="s">
        <v>187</v>
      </c>
      <c r="X60" s="2" t="s">
        <v>1</v>
      </c>
      <c r="Y60">
        <f t="shared" si="0"/>
        <v>709</v>
      </c>
    </row>
    <row r="61" spans="1:25" ht="240" x14ac:dyDescent="0.25">
      <c r="A61" t="s">
        <v>183</v>
      </c>
      <c r="B61" t="s">
        <v>184</v>
      </c>
      <c r="C61" s="2" t="s">
        <v>1072</v>
      </c>
      <c r="D61" s="2" t="s">
        <v>1075</v>
      </c>
      <c r="E61" s="2" t="s">
        <v>258</v>
      </c>
      <c r="F61" s="2" t="s">
        <v>72</v>
      </c>
      <c r="G61" t="s">
        <v>23</v>
      </c>
      <c r="H61" s="2" t="s">
        <v>187</v>
      </c>
      <c r="I61" s="2" t="s">
        <v>1</v>
      </c>
      <c r="J61" t="s">
        <v>21</v>
      </c>
      <c r="K61" s="2" t="s">
        <v>187</v>
      </c>
      <c r="L61" s="2" t="s">
        <v>1</v>
      </c>
      <c r="M61" t="s">
        <v>23</v>
      </c>
      <c r="N61" s="2" t="s">
        <v>187</v>
      </c>
      <c r="O61" s="2" t="s">
        <v>1</v>
      </c>
      <c r="P61" t="s">
        <v>21</v>
      </c>
      <c r="Q61" s="2" t="s">
        <v>187</v>
      </c>
      <c r="R61" s="2" t="s">
        <v>1</v>
      </c>
      <c r="S61" t="s">
        <v>21</v>
      </c>
      <c r="T61" s="2" t="s">
        <v>187</v>
      </c>
      <c r="U61" s="2" t="s">
        <v>1</v>
      </c>
      <c r="V61" t="s">
        <v>18</v>
      </c>
      <c r="W61" s="2" t="s">
        <v>187</v>
      </c>
      <c r="X61" s="2" t="s">
        <v>1</v>
      </c>
      <c r="Y61">
        <f t="shared" si="0"/>
        <v>706</v>
      </c>
    </row>
    <row r="62" spans="1:25" ht="240" x14ac:dyDescent="0.25">
      <c r="A62" t="s">
        <v>183</v>
      </c>
      <c r="B62" t="s">
        <v>184</v>
      </c>
      <c r="C62" s="2" t="s">
        <v>1072</v>
      </c>
      <c r="D62" s="2" t="s">
        <v>1075</v>
      </c>
      <c r="E62" s="2" t="s">
        <v>259</v>
      </c>
      <c r="F62" s="2" t="s">
        <v>260</v>
      </c>
      <c r="G62" t="s">
        <v>21</v>
      </c>
      <c r="H62" s="2" t="s">
        <v>187</v>
      </c>
      <c r="I62" s="2" t="s">
        <v>1</v>
      </c>
      <c r="J62" s="2" t="s">
        <v>1106</v>
      </c>
      <c r="K62" s="2" t="s">
        <v>194</v>
      </c>
      <c r="L62" s="2" t="s">
        <v>2</v>
      </c>
      <c r="M62" t="s">
        <v>21</v>
      </c>
      <c r="N62" s="2" t="s">
        <v>187</v>
      </c>
      <c r="O62" s="2" t="s">
        <v>1</v>
      </c>
      <c r="P62" t="s">
        <v>21</v>
      </c>
      <c r="Q62" s="2" t="s">
        <v>187</v>
      </c>
      <c r="R62" s="2" t="s">
        <v>1</v>
      </c>
      <c r="S62" t="s">
        <v>21</v>
      </c>
      <c r="T62" t="s">
        <v>187</v>
      </c>
      <c r="U62" s="2" t="s">
        <v>1</v>
      </c>
      <c r="V62" t="s">
        <v>23</v>
      </c>
      <c r="W62" t="s">
        <v>194</v>
      </c>
      <c r="X62" s="2" t="s">
        <v>1</v>
      </c>
      <c r="Y62">
        <f t="shared" si="0"/>
        <v>711</v>
      </c>
    </row>
    <row r="63" spans="1:25" ht="240" x14ac:dyDescent="0.25">
      <c r="A63" t="s">
        <v>183</v>
      </c>
      <c r="B63" t="s">
        <v>184</v>
      </c>
      <c r="C63" s="2" t="s">
        <v>1072</v>
      </c>
      <c r="D63" s="2" t="s">
        <v>1075</v>
      </c>
      <c r="E63" s="2" t="s">
        <v>261</v>
      </c>
      <c r="F63" s="2" t="s">
        <v>260</v>
      </c>
      <c r="G63" t="s">
        <v>21</v>
      </c>
      <c r="H63" s="2" t="s">
        <v>187</v>
      </c>
      <c r="I63" s="2" t="s">
        <v>1</v>
      </c>
      <c r="J63" t="s">
        <v>21</v>
      </c>
      <c r="K63" s="2" t="s">
        <v>187</v>
      </c>
      <c r="L63" s="2" t="s">
        <v>1</v>
      </c>
      <c r="M63" t="s">
        <v>21</v>
      </c>
      <c r="N63" s="2" t="s">
        <v>187</v>
      </c>
      <c r="O63" s="2" t="s">
        <v>1</v>
      </c>
      <c r="P63" t="s">
        <v>21</v>
      </c>
      <c r="Q63" s="2" t="s">
        <v>187</v>
      </c>
      <c r="R63" s="2" t="s">
        <v>1</v>
      </c>
      <c r="S63" t="s">
        <v>21</v>
      </c>
      <c r="T63" t="s">
        <v>187</v>
      </c>
      <c r="U63" s="2" t="s">
        <v>1</v>
      </c>
      <c r="V63" t="s">
        <v>21</v>
      </c>
      <c r="W63" t="s">
        <v>187</v>
      </c>
      <c r="X63" s="2" t="s">
        <v>1</v>
      </c>
      <c r="Y63">
        <f t="shared" si="0"/>
        <v>713</v>
      </c>
    </row>
    <row r="64" spans="1:25" ht="240" x14ac:dyDescent="0.25">
      <c r="A64" t="s">
        <v>183</v>
      </c>
      <c r="B64" t="s">
        <v>184</v>
      </c>
      <c r="C64" s="2" t="s">
        <v>1072</v>
      </c>
      <c r="D64" s="2" t="s">
        <v>1075</v>
      </c>
      <c r="E64" s="2" t="s">
        <v>262</v>
      </c>
      <c r="F64" s="2" t="s">
        <v>260</v>
      </c>
      <c r="G64" t="s">
        <v>21</v>
      </c>
      <c r="H64" s="2" t="s">
        <v>187</v>
      </c>
      <c r="I64" s="2" t="s">
        <v>1</v>
      </c>
      <c r="J64" s="2" t="s">
        <v>18</v>
      </c>
      <c r="K64" s="2" t="s">
        <v>194</v>
      </c>
      <c r="L64" s="2" t="s">
        <v>1</v>
      </c>
      <c r="M64" t="s">
        <v>21</v>
      </c>
      <c r="N64" s="2" t="s">
        <v>187</v>
      </c>
      <c r="O64" s="2" t="s">
        <v>1</v>
      </c>
      <c r="P64" t="s">
        <v>21</v>
      </c>
      <c r="Q64" s="2" t="s">
        <v>187</v>
      </c>
      <c r="R64" s="2" t="s">
        <v>1</v>
      </c>
      <c r="S64" t="s">
        <v>23</v>
      </c>
      <c r="T64" t="s">
        <v>194</v>
      </c>
      <c r="U64" s="2" t="s">
        <v>1</v>
      </c>
      <c r="V64" t="s">
        <v>18</v>
      </c>
      <c r="W64" t="s">
        <v>194</v>
      </c>
      <c r="X64" s="2" t="s">
        <v>1</v>
      </c>
      <c r="Y64">
        <f t="shared" si="0"/>
        <v>706</v>
      </c>
    </row>
    <row r="65" spans="1:25" ht="240" x14ac:dyDescent="0.25">
      <c r="A65" t="s">
        <v>183</v>
      </c>
      <c r="B65" t="s">
        <v>184</v>
      </c>
      <c r="C65" s="2" t="s">
        <v>1072</v>
      </c>
      <c r="D65" s="2" t="s">
        <v>1075</v>
      </c>
      <c r="E65" s="2" t="s">
        <v>263</v>
      </c>
      <c r="F65" s="2" t="s">
        <v>260</v>
      </c>
      <c r="G65" t="s">
        <v>23</v>
      </c>
      <c r="H65" s="2" t="s">
        <v>194</v>
      </c>
      <c r="I65" s="2" t="s">
        <v>1</v>
      </c>
      <c r="J65" t="s">
        <v>21</v>
      </c>
      <c r="K65" s="2" t="s">
        <v>187</v>
      </c>
      <c r="L65" s="2" t="s">
        <v>1</v>
      </c>
      <c r="M65" t="s">
        <v>21</v>
      </c>
      <c r="N65" s="2" t="s">
        <v>187</v>
      </c>
      <c r="O65" s="2" t="s">
        <v>1</v>
      </c>
      <c r="P65" t="s">
        <v>18</v>
      </c>
      <c r="Q65" s="2" t="s">
        <v>194</v>
      </c>
      <c r="R65" s="2" t="s">
        <v>1</v>
      </c>
      <c r="S65" t="s">
        <v>23</v>
      </c>
      <c r="T65" t="s">
        <v>194</v>
      </c>
      <c r="U65" s="2" t="s">
        <v>1</v>
      </c>
      <c r="V65" t="s">
        <v>18</v>
      </c>
      <c r="W65" t="s">
        <v>194</v>
      </c>
      <c r="X65" s="2" t="s">
        <v>1</v>
      </c>
      <c r="Y65">
        <f t="shared" si="0"/>
        <v>708</v>
      </c>
    </row>
    <row r="66" spans="1:25" ht="240" x14ac:dyDescent="0.25">
      <c r="A66" t="s">
        <v>183</v>
      </c>
      <c r="B66" t="s">
        <v>184</v>
      </c>
      <c r="C66" s="2" t="s">
        <v>1072</v>
      </c>
      <c r="D66" s="2" t="s">
        <v>1075</v>
      </c>
      <c r="E66" s="2" t="s">
        <v>264</v>
      </c>
      <c r="F66" s="2" t="s">
        <v>260</v>
      </c>
      <c r="G66" t="s">
        <v>18</v>
      </c>
      <c r="H66" s="2" t="s">
        <v>194</v>
      </c>
      <c r="I66" s="2" t="s">
        <v>1</v>
      </c>
      <c r="J66" t="s">
        <v>360</v>
      </c>
      <c r="K66" s="2" t="s">
        <v>187</v>
      </c>
      <c r="L66" s="2" t="s">
        <v>1</v>
      </c>
      <c r="M66" t="s">
        <v>21</v>
      </c>
      <c r="N66" s="2" t="s">
        <v>187</v>
      </c>
      <c r="O66" s="2" t="s">
        <v>1</v>
      </c>
      <c r="P66" t="s">
        <v>21</v>
      </c>
      <c r="Q66" s="2" t="s">
        <v>187</v>
      </c>
      <c r="R66" s="2" t="s">
        <v>1</v>
      </c>
      <c r="S66" t="s">
        <v>23</v>
      </c>
      <c r="T66" t="s">
        <v>194</v>
      </c>
      <c r="U66" s="2" t="s">
        <v>1</v>
      </c>
      <c r="V66" t="s">
        <v>23</v>
      </c>
      <c r="W66" t="s">
        <v>194</v>
      </c>
      <c r="X66" s="2" t="s">
        <v>1</v>
      </c>
      <c r="Y66">
        <f t="shared" si="0"/>
        <v>701</v>
      </c>
    </row>
    <row r="67" spans="1:25" ht="240" x14ac:dyDescent="0.25">
      <c r="A67" t="s">
        <v>183</v>
      </c>
      <c r="B67" t="s">
        <v>184</v>
      </c>
      <c r="C67" s="2" t="s">
        <v>1072</v>
      </c>
      <c r="D67" s="2" t="s">
        <v>1075</v>
      </c>
      <c r="E67" s="2" t="s">
        <v>265</v>
      </c>
      <c r="F67" s="2" t="s">
        <v>266</v>
      </c>
      <c r="G67" t="s">
        <v>21</v>
      </c>
      <c r="H67" s="2" t="s">
        <v>187</v>
      </c>
      <c r="I67" s="2" t="s">
        <v>1</v>
      </c>
      <c r="J67" t="s">
        <v>21</v>
      </c>
      <c r="K67" s="2" t="s">
        <v>187</v>
      </c>
      <c r="L67" s="2" t="s">
        <v>1</v>
      </c>
      <c r="M67" t="s">
        <v>21</v>
      </c>
      <c r="N67" s="2" t="s">
        <v>187</v>
      </c>
      <c r="O67" s="2" t="s">
        <v>1</v>
      </c>
      <c r="P67" t="s">
        <v>21</v>
      </c>
      <c r="Q67" s="2" t="s">
        <v>187</v>
      </c>
      <c r="R67" s="2" t="s">
        <v>1</v>
      </c>
      <c r="S67" t="s">
        <v>21</v>
      </c>
      <c r="T67" t="s">
        <v>187</v>
      </c>
      <c r="U67" s="2" t="s">
        <v>1</v>
      </c>
      <c r="V67" t="s">
        <v>18</v>
      </c>
      <c r="W67" t="s">
        <v>194</v>
      </c>
      <c r="X67" s="2" t="s">
        <v>1</v>
      </c>
      <c r="Y67">
        <f t="shared" ref="Y67:Y130" si="1">LEN(D67)+LEN(E67)</f>
        <v>696</v>
      </c>
    </row>
    <row r="68" spans="1:25" ht="240" x14ac:dyDescent="0.25">
      <c r="A68" t="s">
        <v>183</v>
      </c>
      <c r="B68" t="s">
        <v>184</v>
      </c>
      <c r="C68" s="2" t="s">
        <v>1072</v>
      </c>
      <c r="D68" s="2" t="s">
        <v>1075</v>
      </c>
      <c r="E68" s="2" t="s">
        <v>267</v>
      </c>
      <c r="F68" s="2" t="s">
        <v>266</v>
      </c>
      <c r="G68" t="s">
        <v>21</v>
      </c>
      <c r="H68" s="2" t="s">
        <v>187</v>
      </c>
      <c r="I68" s="2" t="s">
        <v>1</v>
      </c>
      <c r="J68" t="s">
        <v>1082</v>
      </c>
      <c r="K68" s="2" t="s">
        <v>187</v>
      </c>
      <c r="L68" s="2" t="s">
        <v>1</v>
      </c>
      <c r="M68" t="s">
        <v>21</v>
      </c>
      <c r="N68" s="2" t="s">
        <v>187</v>
      </c>
      <c r="O68" s="2" t="s">
        <v>1</v>
      </c>
      <c r="P68" t="s">
        <v>21</v>
      </c>
      <c r="Q68" s="2" t="s">
        <v>187</v>
      </c>
      <c r="R68" s="2" t="s">
        <v>1</v>
      </c>
      <c r="S68" t="s">
        <v>21</v>
      </c>
      <c r="T68" t="s">
        <v>187</v>
      </c>
      <c r="U68" s="2" t="s">
        <v>1</v>
      </c>
      <c r="V68" t="s">
        <v>21</v>
      </c>
      <c r="W68" t="s">
        <v>187</v>
      </c>
      <c r="X68" s="2" t="s">
        <v>1</v>
      </c>
      <c r="Y68">
        <f t="shared" si="1"/>
        <v>696</v>
      </c>
    </row>
    <row r="69" spans="1:25" ht="240" x14ac:dyDescent="0.25">
      <c r="A69" t="s">
        <v>183</v>
      </c>
      <c r="B69" t="s">
        <v>184</v>
      </c>
      <c r="C69" s="2" t="s">
        <v>1072</v>
      </c>
      <c r="D69" s="2" t="s">
        <v>1075</v>
      </c>
      <c r="E69" s="2" t="s">
        <v>268</v>
      </c>
      <c r="F69" s="2" t="s">
        <v>266</v>
      </c>
      <c r="G69" t="s">
        <v>21</v>
      </c>
      <c r="H69" s="2" t="s">
        <v>187</v>
      </c>
      <c r="I69" s="2" t="s">
        <v>1</v>
      </c>
      <c r="J69" t="s">
        <v>21</v>
      </c>
      <c r="K69" s="2" t="s">
        <v>187</v>
      </c>
      <c r="L69" s="2" t="s">
        <v>1</v>
      </c>
      <c r="M69" t="s">
        <v>21</v>
      </c>
      <c r="N69" s="2" t="s">
        <v>187</v>
      </c>
      <c r="O69" s="2" t="s">
        <v>1</v>
      </c>
      <c r="P69" t="s">
        <v>21</v>
      </c>
      <c r="Q69" s="2" t="s">
        <v>187</v>
      </c>
      <c r="R69" s="2" t="s">
        <v>1</v>
      </c>
      <c r="S69" t="s">
        <v>21</v>
      </c>
      <c r="T69" t="s">
        <v>187</v>
      </c>
      <c r="U69" s="2" t="s">
        <v>1</v>
      </c>
      <c r="V69" t="s">
        <v>18</v>
      </c>
      <c r="W69" t="s">
        <v>194</v>
      </c>
      <c r="X69" s="2" t="s">
        <v>1</v>
      </c>
      <c r="Y69">
        <f t="shared" si="1"/>
        <v>709</v>
      </c>
    </row>
    <row r="70" spans="1:25" ht="240" x14ac:dyDescent="0.25">
      <c r="A70" t="s">
        <v>183</v>
      </c>
      <c r="B70" t="s">
        <v>184</v>
      </c>
      <c r="C70" s="2" t="s">
        <v>1072</v>
      </c>
      <c r="D70" s="2" t="s">
        <v>1075</v>
      </c>
      <c r="E70" s="2" t="s">
        <v>269</v>
      </c>
      <c r="F70" s="2" t="s">
        <v>266</v>
      </c>
      <c r="G70" t="s">
        <v>21</v>
      </c>
      <c r="H70" s="2" t="s">
        <v>187</v>
      </c>
      <c r="I70" s="2" t="s">
        <v>1</v>
      </c>
      <c r="J70" t="s">
        <v>1079</v>
      </c>
      <c r="K70" s="2" t="s">
        <v>187</v>
      </c>
      <c r="L70" s="2" t="s">
        <v>1</v>
      </c>
      <c r="M70" t="s">
        <v>21</v>
      </c>
      <c r="N70" s="2" t="s">
        <v>187</v>
      </c>
      <c r="O70" s="2" t="s">
        <v>1</v>
      </c>
      <c r="P70" t="s">
        <v>21</v>
      </c>
      <c r="Q70" s="2" t="s">
        <v>187</v>
      </c>
      <c r="R70" s="2" t="s">
        <v>1</v>
      </c>
      <c r="S70" t="s">
        <v>21</v>
      </c>
      <c r="T70" t="s">
        <v>187</v>
      </c>
      <c r="U70" s="2" t="s">
        <v>1</v>
      </c>
      <c r="V70" t="s">
        <v>18</v>
      </c>
      <c r="W70" t="s">
        <v>194</v>
      </c>
      <c r="X70" s="2" t="s">
        <v>1</v>
      </c>
      <c r="Y70">
        <f t="shared" si="1"/>
        <v>705</v>
      </c>
    </row>
    <row r="71" spans="1:25" ht="240" x14ac:dyDescent="0.25">
      <c r="A71" t="s">
        <v>183</v>
      </c>
      <c r="B71" t="s">
        <v>184</v>
      </c>
      <c r="C71" s="2" t="s">
        <v>1072</v>
      </c>
      <c r="D71" s="2" t="s">
        <v>1075</v>
      </c>
      <c r="E71" s="2" t="s">
        <v>270</v>
      </c>
      <c r="F71" s="2" t="s">
        <v>266</v>
      </c>
      <c r="G71" t="s">
        <v>21</v>
      </c>
      <c r="H71" s="2" t="s">
        <v>187</v>
      </c>
      <c r="I71" s="2" t="s">
        <v>1</v>
      </c>
      <c r="J71" t="s">
        <v>21</v>
      </c>
      <c r="K71" s="2" t="s">
        <v>187</v>
      </c>
      <c r="L71" s="2" t="s">
        <v>1</v>
      </c>
      <c r="M71" t="s">
        <v>21</v>
      </c>
      <c r="N71" s="2" t="s">
        <v>187</v>
      </c>
      <c r="O71" s="2" t="s">
        <v>1</v>
      </c>
      <c r="P71" t="s">
        <v>21</v>
      </c>
      <c r="Q71" s="2" t="s">
        <v>187</v>
      </c>
      <c r="R71" s="2" t="s">
        <v>1</v>
      </c>
      <c r="S71" t="s">
        <v>21</v>
      </c>
      <c r="T71" t="s">
        <v>187</v>
      </c>
      <c r="U71" s="2" t="s">
        <v>1</v>
      </c>
      <c r="V71" t="s">
        <v>18</v>
      </c>
      <c r="W71" t="s">
        <v>194</v>
      </c>
      <c r="X71" s="2" t="s">
        <v>1</v>
      </c>
      <c r="Y71">
        <f t="shared" si="1"/>
        <v>704</v>
      </c>
    </row>
    <row r="72" spans="1:25" ht="240" x14ac:dyDescent="0.25">
      <c r="A72" t="s">
        <v>183</v>
      </c>
      <c r="B72" t="s">
        <v>184</v>
      </c>
      <c r="C72" s="2" t="s">
        <v>1072</v>
      </c>
      <c r="D72" s="2" t="s">
        <v>1075</v>
      </c>
      <c r="E72" s="2" t="s">
        <v>271</v>
      </c>
      <c r="F72" s="2" t="s">
        <v>272</v>
      </c>
      <c r="G72" t="s">
        <v>21</v>
      </c>
      <c r="H72" s="2" t="s">
        <v>187</v>
      </c>
      <c r="I72" s="2" t="s">
        <v>1</v>
      </c>
      <c r="J72" s="2" t="s">
        <v>1107</v>
      </c>
      <c r="K72" s="2" t="s">
        <v>194</v>
      </c>
      <c r="L72" s="2" t="s">
        <v>1</v>
      </c>
      <c r="M72" t="s">
        <v>21</v>
      </c>
      <c r="N72" s="2" t="s">
        <v>187</v>
      </c>
      <c r="O72" s="2" t="s">
        <v>1</v>
      </c>
      <c r="P72" t="s">
        <v>21</v>
      </c>
      <c r="Q72" s="2" t="s">
        <v>187</v>
      </c>
      <c r="R72" s="2" t="s">
        <v>1</v>
      </c>
      <c r="S72" t="s">
        <v>21</v>
      </c>
      <c r="T72" t="s">
        <v>187</v>
      </c>
      <c r="U72" s="2" t="s">
        <v>1</v>
      </c>
      <c r="V72" t="s">
        <v>21</v>
      </c>
      <c r="W72" t="s">
        <v>187</v>
      </c>
      <c r="X72" s="2" t="s">
        <v>1</v>
      </c>
      <c r="Y72">
        <f t="shared" si="1"/>
        <v>690</v>
      </c>
    </row>
    <row r="73" spans="1:25" ht="240" x14ac:dyDescent="0.25">
      <c r="A73" t="s">
        <v>183</v>
      </c>
      <c r="B73" t="s">
        <v>184</v>
      </c>
      <c r="C73" s="2" t="s">
        <v>1072</v>
      </c>
      <c r="D73" s="2" t="s">
        <v>1075</v>
      </c>
      <c r="E73" s="2" t="s">
        <v>273</v>
      </c>
      <c r="F73" s="2" t="s">
        <v>272</v>
      </c>
      <c r="G73" t="s">
        <v>21</v>
      </c>
      <c r="H73" s="2" t="s">
        <v>187</v>
      </c>
      <c r="I73" s="2" t="s">
        <v>1</v>
      </c>
      <c r="J73" t="s">
        <v>21</v>
      </c>
      <c r="K73" s="2" t="s">
        <v>187</v>
      </c>
      <c r="L73" s="2" t="s">
        <v>1</v>
      </c>
      <c r="M73" t="s">
        <v>21</v>
      </c>
      <c r="N73" s="2" t="s">
        <v>187</v>
      </c>
      <c r="O73" s="2" t="s">
        <v>1</v>
      </c>
      <c r="P73" t="s">
        <v>18</v>
      </c>
      <c r="Q73" s="2" t="s">
        <v>194</v>
      </c>
      <c r="R73" s="2" t="s">
        <v>1</v>
      </c>
      <c r="S73" t="s">
        <v>18</v>
      </c>
      <c r="T73" t="s">
        <v>194</v>
      </c>
      <c r="U73" s="2" t="s">
        <v>1</v>
      </c>
      <c r="V73" t="s">
        <v>18</v>
      </c>
      <c r="W73" t="s">
        <v>194</v>
      </c>
      <c r="X73" s="2" t="s">
        <v>1</v>
      </c>
      <c r="Y73">
        <f t="shared" si="1"/>
        <v>703</v>
      </c>
    </row>
    <row r="74" spans="1:25" ht="240" x14ac:dyDescent="0.25">
      <c r="A74" t="s">
        <v>183</v>
      </c>
      <c r="B74" t="s">
        <v>184</v>
      </c>
      <c r="C74" s="2" t="s">
        <v>1072</v>
      </c>
      <c r="D74" s="2" t="s">
        <v>1075</v>
      </c>
      <c r="E74" s="2" t="s">
        <v>274</v>
      </c>
      <c r="F74" s="2" t="s">
        <v>272</v>
      </c>
      <c r="G74" t="s">
        <v>23</v>
      </c>
      <c r="H74" s="2" t="s">
        <v>194</v>
      </c>
      <c r="I74" s="2" t="s">
        <v>1</v>
      </c>
      <c r="J74" s="2" t="s">
        <v>1088</v>
      </c>
      <c r="K74" s="2" t="s">
        <v>194</v>
      </c>
      <c r="L74" s="2" t="s">
        <v>1</v>
      </c>
      <c r="M74" t="s">
        <v>21</v>
      </c>
      <c r="N74" s="2" t="s">
        <v>187</v>
      </c>
      <c r="O74" s="2" t="s">
        <v>1</v>
      </c>
      <c r="P74" t="s">
        <v>21</v>
      </c>
      <c r="Q74" s="2" t="s">
        <v>187</v>
      </c>
      <c r="R74" s="2" t="s">
        <v>1</v>
      </c>
      <c r="S74" t="s">
        <v>21</v>
      </c>
      <c r="T74" t="s">
        <v>187</v>
      </c>
      <c r="U74" s="2" t="s">
        <v>1</v>
      </c>
      <c r="V74" t="s">
        <v>18</v>
      </c>
      <c r="W74" t="s">
        <v>194</v>
      </c>
      <c r="X74" s="2" t="s">
        <v>1</v>
      </c>
      <c r="Y74">
        <f t="shared" si="1"/>
        <v>692</v>
      </c>
    </row>
    <row r="75" spans="1:25" ht="240" x14ac:dyDescent="0.25">
      <c r="A75" t="s">
        <v>183</v>
      </c>
      <c r="B75" t="s">
        <v>184</v>
      </c>
      <c r="C75" s="2" t="s">
        <v>1072</v>
      </c>
      <c r="D75" s="2" t="s">
        <v>1075</v>
      </c>
      <c r="E75" s="2" t="s">
        <v>275</v>
      </c>
      <c r="F75" s="2" t="s">
        <v>272</v>
      </c>
      <c r="G75" t="s">
        <v>21</v>
      </c>
      <c r="H75" s="2" t="s">
        <v>187</v>
      </c>
      <c r="I75" s="2" t="s">
        <v>1</v>
      </c>
      <c r="J75" t="s">
        <v>21</v>
      </c>
      <c r="K75" s="2" t="s">
        <v>187</v>
      </c>
      <c r="L75" s="2" t="s">
        <v>1</v>
      </c>
      <c r="M75" t="s">
        <v>21</v>
      </c>
      <c r="N75" s="2" t="s">
        <v>187</v>
      </c>
      <c r="O75" s="2" t="s">
        <v>1</v>
      </c>
      <c r="P75" t="s">
        <v>21</v>
      </c>
      <c r="Q75" s="2" t="s">
        <v>187</v>
      </c>
      <c r="R75" s="2" t="s">
        <v>1</v>
      </c>
      <c r="S75" t="s">
        <v>21</v>
      </c>
      <c r="T75" t="s">
        <v>187</v>
      </c>
      <c r="U75" s="2" t="s">
        <v>1</v>
      </c>
      <c r="V75" t="s">
        <v>21</v>
      </c>
      <c r="W75" t="s">
        <v>187</v>
      </c>
      <c r="X75" s="2" t="s">
        <v>1</v>
      </c>
      <c r="Y75">
        <f t="shared" si="1"/>
        <v>692</v>
      </c>
    </row>
    <row r="76" spans="1:25" ht="240" x14ac:dyDescent="0.25">
      <c r="A76" t="s">
        <v>183</v>
      </c>
      <c r="B76" t="s">
        <v>184</v>
      </c>
      <c r="C76" s="2" t="s">
        <v>1072</v>
      </c>
      <c r="D76" s="2" t="s">
        <v>1075</v>
      </c>
      <c r="E76" s="2" t="s">
        <v>276</v>
      </c>
      <c r="F76" s="2" t="s">
        <v>272</v>
      </c>
      <c r="G76" t="s">
        <v>21</v>
      </c>
      <c r="H76" s="2" t="s">
        <v>187</v>
      </c>
      <c r="I76" s="2" t="s">
        <v>1</v>
      </c>
      <c r="J76" t="s">
        <v>1099</v>
      </c>
      <c r="K76" s="2" t="s">
        <v>187</v>
      </c>
      <c r="L76" s="2" t="s">
        <v>1</v>
      </c>
      <c r="M76" t="s">
        <v>21</v>
      </c>
      <c r="N76" s="2" t="s">
        <v>187</v>
      </c>
      <c r="O76" s="2" t="s">
        <v>1</v>
      </c>
      <c r="P76" t="s">
        <v>21</v>
      </c>
      <c r="Q76" s="2" t="s">
        <v>187</v>
      </c>
      <c r="R76" s="2" t="s">
        <v>1</v>
      </c>
      <c r="S76" t="s">
        <v>21</v>
      </c>
      <c r="T76" t="s">
        <v>187</v>
      </c>
      <c r="U76" s="2" t="s">
        <v>1</v>
      </c>
      <c r="V76" t="s">
        <v>21</v>
      </c>
      <c r="W76" t="s">
        <v>187</v>
      </c>
      <c r="X76" s="2" t="s">
        <v>1</v>
      </c>
      <c r="Y76">
        <f t="shared" si="1"/>
        <v>694</v>
      </c>
    </row>
    <row r="77" spans="1:25" ht="240" x14ac:dyDescent="0.25">
      <c r="A77" t="s">
        <v>183</v>
      </c>
      <c r="B77" t="s">
        <v>184</v>
      </c>
      <c r="C77" s="2" t="s">
        <v>1072</v>
      </c>
      <c r="D77" s="2" t="s">
        <v>1075</v>
      </c>
      <c r="E77" s="2" t="s">
        <v>277</v>
      </c>
      <c r="F77" s="2" t="s">
        <v>278</v>
      </c>
      <c r="G77" t="s">
        <v>18</v>
      </c>
      <c r="H77" s="2" t="s">
        <v>187</v>
      </c>
      <c r="I77" s="2" t="s">
        <v>1</v>
      </c>
      <c r="J77" t="s">
        <v>18</v>
      </c>
      <c r="K77" s="2" t="s">
        <v>187</v>
      </c>
      <c r="L77" s="2" t="s">
        <v>1</v>
      </c>
      <c r="M77" t="s">
        <v>18</v>
      </c>
      <c r="N77" s="2" t="s">
        <v>187</v>
      </c>
      <c r="O77" s="2" t="s">
        <v>1</v>
      </c>
      <c r="P77" t="s">
        <v>18</v>
      </c>
      <c r="Q77" s="2" t="s">
        <v>187</v>
      </c>
      <c r="R77" s="2" t="s">
        <v>1</v>
      </c>
      <c r="S77" t="s">
        <v>18</v>
      </c>
      <c r="T77" s="2" t="s">
        <v>187</v>
      </c>
      <c r="U77" s="2" t="s">
        <v>1</v>
      </c>
      <c r="V77" t="s">
        <v>18</v>
      </c>
      <c r="W77" s="2" t="s">
        <v>187</v>
      </c>
      <c r="X77" s="2" t="s">
        <v>1</v>
      </c>
      <c r="Y77">
        <f t="shared" si="1"/>
        <v>714</v>
      </c>
    </row>
    <row r="78" spans="1:25" ht="240" x14ac:dyDescent="0.25">
      <c r="A78" t="s">
        <v>183</v>
      </c>
      <c r="B78" t="s">
        <v>184</v>
      </c>
      <c r="C78" s="2" t="s">
        <v>1072</v>
      </c>
      <c r="D78" s="2" t="s">
        <v>1075</v>
      </c>
      <c r="E78" s="2" t="s">
        <v>279</v>
      </c>
      <c r="F78" s="2" t="s">
        <v>278</v>
      </c>
      <c r="G78" t="s">
        <v>23</v>
      </c>
      <c r="H78" s="2" t="s">
        <v>187</v>
      </c>
      <c r="I78" s="2" t="s">
        <v>1</v>
      </c>
      <c r="J78" t="s">
        <v>1108</v>
      </c>
      <c r="K78" s="2" t="s">
        <v>187</v>
      </c>
      <c r="L78" s="2" t="s">
        <v>1</v>
      </c>
      <c r="M78" t="s">
        <v>23</v>
      </c>
      <c r="N78" s="2" t="s">
        <v>187</v>
      </c>
      <c r="O78" s="2" t="s">
        <v>1</v>
      </c>
      <c r="P78" t="s">
        <v>21</v>
      </c>
      <c r="Q78" s="2" t="s">
        <v>187</v>
      </c>
      <c r="R78" s="2" t="s">
        <v>1</v>
      </c>
      <c r="S78" t="s">
        <v>23</v>
      </c>
      <c r="T78" s="2" t="s">
        <v>187</v>
      </c>
      <c r="U78" s="2" t="s">
        <v>1</v>
      </c>
      <c r="V78" t="s">
        <v>18</v>
      </c>
      <c r="W78" s="2" t="s">
        <v>187</v>
      </c>
      <c r="X78" s="2" t="s">
        <v>1</v>
      </c>
      <c r="Y78">
        <f t="shared" si="1"/>
        <v>706</v>
      </c>
    </row>
    <row r="79" spans="1:25" ht="409.5" x14ac:dyDescent="0.25">
      <c r="A79" t="s">
        <v>183</v>
      </c>
      <c r="B79" t="s">
        <v>184</v>
      </c>
      <c r="C79" s="2" t="s">
        <v>1072</v>
      </c>
      <c r="D79" s="2" t="s">
        <v>1075</v>
      </c>
      <c r="E79" s="2" t="s">
        <v>280</v>
      </c>
      <c r="F79" s="2" t="s">
        <v>278</v>
      </c>
      <c r="G79" t="s">
        <v>18</v>
      </c>
      <c r="H79" s="2" t="s">
        <v>187</v>
      </c>
      <c r="I79" s="2" t="s">
        <v>1</v>
      </c>
      <c r="J79" s="2" t="s">
        <v>1109</v>
      </c>
      <c r="K79" s="2" t="s">
        <v>187</v>
      </c>
      <c r="L79" s="2" t="s">
        <v>2</v>
      </c>
      <c r="M79" t="s">
        <v>23</v>
      </c>
      <c r="N79" s="2" t="s">
        <v>187</v>
      </c>
      <c r="O79" s="2" t="s">
        <v>1</v>
      </c>
      <c r="P79" t="s">
        <v>18</v>
      </c>
      <c r="Q79" s="2" t="s">
        <v>187</v>
      </c>
      <c r="R79" s="2" t="s">
        <v>1</v>
      </c>
      <c r="S79" t="s">
        <v>23</v>
      </c>
      <c r="T79" s="2" t="s">
        <v>187</v>
      </c>
      <c r="U79" s="2" t="s">
        <v>1</v>
      </c>
      <c r="V79" t="s">
        <v>18</v>
      </c>
      <c r="W79" s="2" t="s">
        <v>187</v>
      </c>
      <c r="X79" s="2" t="s">
        <v>1</v>
      </c>
      <c r="Y79">
        <f t="shared" si="1"/>
        <v>707</v>
      </c>
    </row>
    <row r="80" spans="1:25" ht="240" hidden="1" x14ac:dyDescent="0.25">
      <c r="A80" t="s">
        <v>183</v>
      </c>
      <c r="B80" t="s">
        <v>184</v>
      </c>
      <c r="C80" s="2" t="s">
        <v>1072</v>
      </c>
      <c r="D80" s="2" t="s">
        <v>1075</v>
      </c>
      <c r="E80" s="2" t="s">
        <v>281</v>
      </c>
      <c r="F80" s="2" t="s">
        <v>278</v>
      </c>
      <c r="G80" t="s">
        <v>18</v>
      </c>
      <c r="H80" s="2" t="s">
        <v>187</v>
      </c>
      <c r="I80" s="2" t="s">
        <v>1</v>
      </c>
      <c r="J80" t="s">
        <v>21</v>
      </c>
      <c r="K80" s="2" t="s">
        <v>187</v>
      </c>
      <c r="L80" s="2" t="s">
        <v>1</v>
      </c>
      <c r="M80" t="s">
        <v>21</v>
      </c>
      <c r="N80" s="2" t="s">
        <v>194</v>
      </c>
      <c r="O80" s="2" t="s">
        <v>1</v>
      </c>
      <c r="P80" t="s">
        <v>18</v>
      </c>
      <c r="Q80" s="2" t="s">
        <v>187</v>
      </c>
      <c r="R80" s="2" t="s">
        <v>1</v>
      </c>
      <c r="S80" t="s">
        <v>18</v>
      </c>
      <c r="T80" s="2" t="s">
        <v>187</v>
      </c>
      <c r="U80" s="2" t="s">
        <v>1</v>
      </c>
      <c r="V80" t="s">
        <v>18</v>
      </c>
      <c r="W80" s="2" t="s">
        <v>187</v>
      </c>
      <c r="X80" s="2" t="s">
        <v>1</v>
      </c>
      <c r="Y80">
        <f t="shared" si="1"/>
        <v>712</v>
      </c>
    </row>
    <row r="81" spans="1:25" ht="240" x14ac:dyDescent="0.25">
      <c r="A81" t="s">
        <v>183</v>
      </c>
      <c r="B81" t="s">
        <v>184</v>
      </c>
      <c r="C81" s="2" t="s">
        <v>1072</v>
      </c>
      <c r="D81" s="2" t="s">
        <v>1075</v>
      </c>
      <c r="E81" s="2" t="s">
        <v>282</v>
      </c>
      <c r="F81" s="2" t="s">
        <v>278</v>
      </c>
      <c r="G81" t="s">
        <v>18</v>
      </c>
      <c r="H81" s="2" t="s">
        <v>187</v>
      </c>
      <c r="I81" s="2" t="s">
        <v>1</v>
      </c>
      <c r="J81" t="s">
        <v>18</v>
      </c>
      <c r="K81" s="2" t="s">
        <v>187</v>
      </c>
      <c r="L81" s="2" t="s">
        <v>1</v>
      </c>
      <c r="M81" t="s">
        <v>18</v>
      </c>
      <c r="N81" s="2" t="s">
        <v>187</v>
      </c>
      <c r="O81" s="2" t="s">
        <v>1</v>
      </c>
      <c r="P81" t="s">
        <v>18</v>
      </c>
      <c r="Q81" s="2" t="s">
        <v>187</v>
      </c>
      <c r="R81" s="2" t="s">
        <v>1</v>
      </c>
      <c r="S81" t="s">
        <v>18</v>
      </c>
      <c r="T81" s="2" t="s">
        <v>187</v>
      </c>
      <c r="U81" s="2" t="s">
        <v>1</v>
      </c>
      <c r="V81" t="s">
        <v>18</v>
      </c>
      <c r="W81" s="2" t="s">
        <v>187</v>
      </c>
      <c r="X81" s="2" t="s">
        <v>1</v>
      </c>
      <c r="Y81">
        <f t="shared" si="1"/>
        <v>706</v>
      </c>
    </row>
    <row r="82" spans="1:25" ht="240" x14ac:dyDescent="0.25">
      <c r="A82" t="s">
        <v>183</v>
      </c>
      <c r="B82" t="s">
        <v>184</v>
      </c>
      <c r="C82" s="2" t="s">
        <v>1072</v>
      </c>
      <c r="D82" s="2" t="s">
        <v>1075</v>
      </c>
      <c r="E82" s="2" t="s">
        <v>283</v>
      </c>
      <c r="F82" s="2" t="s">
        <v>284</v>
      </c>
      <c r="G82" t="s">
        <v>18</v>
      </c>
      <c r="H82" s="2" t="s">
        <v>194</v>
      </c>
      <c r="I82" s="2" t="s">
        <v>1</v>
      </c>
      <c r="J82" s="2" t="s">
        <v>1110</v>
      </c>
      <c r="K82" s="2" t="s">
        <v>194</v>
      </c>
      <c r="L82" s="2" t="s">
        <v>2</v>
      </c>
      <c r="M82" t="s">
        <v>21</v>
      </c>
      <c r="N82" s="2" t="s">
        <v>187</v>
      </c>
      <c r="O82" s="2" t="s">
        <v>1</v>
      </c>
      <c r="P82" t="s">
        <v>18</v>
      </c>
      <c r="Q82" s="2" t="s">
        <v>194</v>
      </c>
      <c r="R82" s="2" t="s">
        <v>1</v>
      </c>
      <c r="S82" t="s">
        <v>21</v>
      </c>
      <c r="T82" t="s">
        <v>187</v>
      </c>
      <c r="U82" s="2" t="s">
        <v>1</v>
      </c>
      <c r="V82" t="s">
        <v>18</v>
      </c>
      <c r="W82" t="s">
        <v>194</v>
      </c>
      <c r="X82" s="2" t="s">
        <v>1</v>
      </c>
      <c r="Y82">
        <f t="shared" si="1"/>
        <v>710</v>
      </c>
    </row>
    <row r="83" spans="1:25" ht="240" x14ac:dyDescent="0.25">
      <c r="A83" t="s">
        <v>183</v>
      </c>
      <c r="B83" t="s">
        <v>184</v>
      </c>
      <c r="C83" s="2" t="s">
        <v>1072</v>
      </c>
      <c r="D83" s="2" t="s">
        <v>1075</v>
      </c>
      <c r="E83" s="2" t="s">
        <v>285</v>
      </c>
      <c r="F83" s="2" t="s">
        <v>284</v>
      </c>
      <c r="G83" t="s">
        <v>21</v>
      </c>
      <c r="H83" s="2" t="s">
        <v>187</v>
      </c>
      <c r="I83" s="2" t="s">
        <v>1</v>
      </c>
      <c r="J83" t="s">
        <v>1079</v>
      </c>
      <c r="K83" s="2" t="s">
        <v>187</v>
      </c>
      <c r="L83" s="2" t="s">
        <v>1</v>
      </c>
      <c r="M83" t="s">
        <v>21</v>
      </c>
      <c r="N83" s="2" t="s">
        <v>187</v>
      </c>
      <c r="O83" s="2" t="s">
        <v>1</v>
      </c>
      <c r="P83" t="s">
        <v>21</v>
      </c>
      <c r="Q83" s="2" t="s">
        <v>187</v>
      </c>
      <c r="R83" s="2" t="s">
        <v>1</v>
      </c>
      <c r="S83" t="s">
        <v>18</v>
      </c>
      <c r="T83" t="s">
        <v>194</v>
      </c>
      <c r="U83" s="2" t="s">
        <v>1</v>
      </c>
      <c r="V83" t="s">
        <v>18</v>
      </c>
      <c r="W83" t="s">
        <v>194</v>
      </c>
      <c r="X83" s="2" t="s">
        <v>1</v>
      </c>
      <c r="Y83">
        <f t="shared" si="1"/>
        <v>710</v>
      </c>
    </row>
    <row r="84" spans="1:25" ht="240" x14ac:dyDescent="0.25">
      <c r="A84" t="s">
        <v>183</v>
      </c>
      <c r="B84" t="s">
        <v>184</v>
      </c>
      <c r="C84" s="2" t="s">
        <v>1072</v>
      </c>
      <c r="D84" s="2" t="s">
        <v>1075</v>
      </c>
      <c r="E84" s="2" t="s">
        <v>286</v>
      </c>
      <c r="F84" s="2" t="s">
        <v>284</v>
      </c>
      <c r="G84" t="s">
        <v>21</v>
      </c>
      <c r="H84" s="2" t="s">
        <v>187</v>
      </c>
      <c r="I84" s="2" t="s">
        <v>1</v>
      </c>
      <c r="J84" s="2" t="s">
        <v>1111</v>
      </c>
      <c r="K84" s="2" t="s">
        <v>187</v>
      </c>
      <c r="L84" s="2" t="s">
        <v>1</v>
      </c>
      <c r="M84" t="s">
        <v>21</v>
      </c>
      <c r="N84" s="2" t="s">
        <v>187</v>
      </c>
      <c r="O84" s="2" t="s">
        <v>1</v>
      </c>
      <c r="P84" t="s">
        <v>18</v>
      </c>
      <c r="Q84" s="2" t="s">
        <v>194</v>
      </c>
      <c r="R84" s="2" t="s">
        <v>1</v>
      </c>
      <c r="S84" t="s">
        <v>21</v>
      </c>
      <c r="T84" t="s">
        <v>187</v>
      </c>
      <c r="U84" s="2" t="s">
        <v>1</v>
      </c>
      <c r="V84" t="s">
        <v>18</v>
      </c>
      <c r="W84" t="s">
        <v>194</v>
      </c>
      <c r="X84" s="2" t="s">
        <v>1</v>
      </c>
      <c r="Y84">
        <f t="shared" si="1"/>
        <v>694</v>
      </c>
    </row>
    <row r="85" spans="1:25" ht="240" x14ac:dyDescent="0.25">
      <c r="A85" t="s">
        <v>183</v>
      </c>
      <c r="B85" t="s">
        <v>184</v>
      </c>
      <c r="C85" s="2" t="s">
        <v>1072</v>
      </c>
      <c r="D85" s="2" t="s">
        <v>1075</v>
      </c>
      <c r="E85" s="2" t="s">
        <v>287</v>
      </c>
      <c r="F85" s="2" t="s">
        <v>284</v>
      </c>
      <c r="G85" t="s">
        <v>18</v>
      </c>
      <c r="H85" s="2" t="s">
        <v>194</v>
      </c>
      <c r="I85" s="2" t="s">
        <v>1</v>
      </c>
      <c r="J85" s="2" t="s">
        <v>1080</v>
      </c>
      <c r="K85" s="2" t="s">
        <v>187</v>
      </c>
      <c r="L85" s="2" t="s">
        <v>1</v>
      </c>
      <c r="M85" t="s">
        <v>21</v>
      </c>
      <c r="N85" s="2" t="s">
        <v>187</v>
      </c>
      <c r="O85" s="2" t="s">
        <v>1</v>
      </c>
      <c r="P85" t="s">
        <v>18</v>
      </c>
      <c r="Q85" s="2" t="s">
        <v>194</v>
      </c>
      <c r="R85" s="2" t="s">
        <v>1</v>
      </c>
      <c r="S85" t="s">
        <v>18</v>
      </c>
      <c r="T85" t="s">
        <v>194</v>
      </c>
      <c r="U85" s="2" t="s">
        <v>1</v>
      </c>
      <c r="V85" t="s">
        <v>18</v>
      </c>
      <c r="W85" t="s">
        <v>194</v>
      </c>
      <c r="X85" s="2" t="s">
        <v>1</v>
      </c>
      <c r="Y85">
        <f t="shared" si="1"/>
        <v>701</v>
      </c>
    </row>
    <row r="86" spans="1:25" ht="240" x14ac:dyDescent="0.25">
      <c r="A86" t="s">
        <v>183</v>
      </c>
      <c r="B86" t="s">
        <v>184</v>
      </c>
      <c r="C86" s="2" t="s">
        <v>1072</v>
      </c>
      <c r="D86" s="2" t="s">
        <v>1075</v>
      </c>
      <c r="E86" s="2" t="s">
        <v>288</v>
      </c>
      <c r="F86" s="2" t="s">
        <v>284</v>
      </c>
      <c r="G86" t="s">
        <v>18</v>
      </c>
      <c r="H86" s="2" t="s">
        <v>194</v>
      </c>
      <c r="I86" s="2" t="s">
        <v>1</v>
      </c>
      <c r="J86" s="2" t="s">
        <v>1112</v>
      </c>
      <c r="K86" s="2" t="s">
        <v>194</v>
      </c>
      <c r="L86" s="2" t="s">
        <v>1</v>
      </c>
      <c r="M86" t="s">
        <v>21</v>
      </c>
      <c r="N86" s="2" t="s">
        <v>187</v>
      </c>
      <c r="O86" s="2" t="s">
        <v>1</v>
      </c>
      <c r="P86" t="s">
        <v>18</v>
      </c>
      <c r="Q86" s="2" t="s">
        <v>194</v>
      </c>
      <c r="R86" s="2" t="s">
        <v>1</v>
      </c>
      <c r="S86" t="s">
        <v>21</v>
      </c>
      <c r="T86" t="s">
        <v>187</v>
      </c>
      <c r="U86" s="2" t="s">
        <v>1</v>
      </c>
      <c r="V86" t="s">
        <v>18</v>
      </c>
      <c r="W86" t="s">
        <v>194</v>
      </c>
      <c r="X86" s="2" t="s">
        <v>1</v>
      </c>
      <c r="Y86">
        <f t="shared" si="1"/>
        <v>701</v>
      </c>
    </row>
    <row r="87" spans="1:25" ht="240" x14ac:dyDescent="0.25">
      <c r="A87" t="s">
        <v>183</v>
      </c>
      <c r="B87" t="s">
        <v>184</v>
      </c>
      <c r="C87" s="2" t="s">
        <v>1072</v>
      </c>
      <c r="D87" s="2" t="s">
        <v>1075</v>
      </c>
      <c r="E87" s="2" t="s">
        <v>289</v>
      </c>
      <c r="F87" s="2" t="s">
        <v>290</v>
      </c>
      <c r="G87" t="s">
        <v>18</v>
      </c>
      <c r="H87" s="2" t="s">
        <v>187</v>
      </c>
      <c r="I87" s="2" t="s">
        <v>1</v>
      </c>
      <c r="J87" t="s">
        <v>18</v>
      </c>
      <c r="K87" s="2" t="s">
        <v>187</v>
      </c>
      <c r="L87" s="2" t="s">
        <v>1</v>
      </c>
      <c r="M87" t="s">
        <v>18</v>
      </c>
      <c r="N87" s="2" t="s">
        <v>187</v>
      </c>
      <c r="O87" s="2" t="s">
        <v>1</v>
      </c>
      <c r="P87" t="s">
        <v>18</v>
      </c>
      <c r="Q87" s="2" t="s">
        <v>187</v>
      </c>
      <c r="R87" s="2" t="s">
        <v>1</v>
      </c>
      <c r="S87" t="s">
        <v>23</v>
      </c>
      <c r="T87" t="s">
        <v>194</v>
      </c>
      <c r="U87" s="2" t="s">
        <v>1</v>
      </c>
      <c r="V87" t="s">
        <v>18</v>
      </c>
      <c r="W87" t="s">
        <v>187</v>
      </c>
      <c r="X87" s="2" t="s">
        <v>1</v>
      </c>
      <c r="Y87">
        <f t="shared" si="1"/>
        <v>699</v>
      </c>
    </row>
    <row r="88" spans="1:25" ht="240" x14ac:dyDescent="0.25">
      <c r="A88" t="s">
        <v>183</v>
      </c>
      <c r="B88" t="s">
        <v>184</v>
      </c>
      <c r="C88" s="2" t="s">
        <v>1072</v>
      </c>
      <c r="D88" s="2" t="s">
        <v>1075</v>
      </c>
      <c r="E88" s="2" t="s">
        <v>291</v>
      </c>
      <c r="F88" s="2" t="s">
        <v>290</v>
      </c>
      <c r="G88" t="s">
        <v>18</v>
      </c>
      <c r="H88" s="2" t="s">
        <v>187</v>
      </c>
      <c r="I88" s="2" t="s">
        <v>1</v>
      </c>
      <c r="J88" t="s">
        <v>18</v>
      </c>
      <c r="K88" s="2" t="s">
        <v>187</v>
      </c>
      <c r="L88" s="2" t="s">
        <v>1</v>
      </c>
      <c r="M88" t="s">
        <v>18</v>
      </c>
      <c r="N88" s="2" t="s">
        <v>187</v>
      </c>
      <c r="O88" s="2" t="s">
        <v>1</v>
      </c>
      <c r="P88" t="s">
        <v>18</v>
      </c>
      <c r="Q88" s="2" t="s">
        <v>187</v>
      </c>
      <c r="R88" s="2" t="s">
        <v>1</v>
      </c>
      <c r="S88" t="s">
        <v>18</v>
      </c>
      <c r="T88" t="s">
        <v>187</v>
      </c>
      <c r="U88" s="2" t="s">
        <v>1</v>
      </c>
      <c r="V88" t="s">
        <v>18</v>
      </c>
      <c r="W88" t="s">
        <v>187</v>
      </c>
      <c r="X88" s="2" t="s">
        <v>1</v>
      </c>
      <c r="Y88">
        <f t="shared" si="1"/>
        <v>692</v>
      </c>
    </row>
    <row r="89" spans="1:25" ht="315" x14ac:dyDescent="0.25">
      <c r="A89" t="s">
        <v>183</v>
      </c>
      <c r="B89" t="s">
        <v>184</v>
      </c>
      <c r="C89" s="2" t="s">
        <v>1072</v>
      </c>
      <c r="D89" s="2" t="s">
        <v>1075</v>
      </c>
      <c r="E89" s="2" t="s">
        <v>292</v>
      </c>
      <c r="F89" s="2" t="s">
        <v>290</v>
      </c>
      <c r="G89" t="s">
        <v>18</v>
      </c>
      <c r="H89" s="2" t="s">
        <v>187</v>
      </c>
      <c r="I89" s="2" t="s">
        <v>1</v>
      </c>
      <c r="J89" s="2" t="s">
        <v>1113</v>
      </c>
      <c r="K89" s="2" t="s">
        <v>187</v>
      </c>
      <c r="L89" s="2" t="s">
        <v>2</v>
      </c>
      <c r="M89" t="s">
        <v>18</v>
      </c>
      <c r="N89" s="2" t="s">
        <v>187</v>
      </c>
      <c r="O89" s="2" t="s">
        <v>1</v>
      </c>
      <c r="P89" t="s">
        <v>18</v>
      </c>
      <c r="Q89" s="2" t="s">
        <v>187</v>
      </c>
      <c r="R89" s="2" t="s">
        <v>1</v>
      </c>
      <c r="S89" t="s">
        <v>18</v>
      </c>
      <c r="T89" t="s">
        <v>187</v>
      </c>
      <c r="U89" s="2" t="s">
        <v>1</v>
      </c>
      <c r="V89" t="s">
        <v>18</v>
      </c>
      <c r="W89" t="s">
        <v>187</v>
      </c>
      <c r="X89" s="2" t="s">
        <v>1</v>
      </c>
      <c r="Y89">
        <f t="shared" si="1"/>
        <v>690</v>
      </c>
    </row>
    <row r="90" spans="1:25" ht="240" x14ac:dyDescent="0.25">
      <c r="A90" t="s">
        <v>183</v>
      </c>
      <c r="B90" t="s">
        <v>184</v>
      </c>
      <c r="C90" s="2" t="s">
        <v>1072</v>
      </c>
      <c r="D90" s="2" t="s">
        <v>1075</v>
      </c>
      <c r="E90" s="2" t="s">
        <v>293</v>
      </c>
      <c r="F90" s="2" t="s">
        <v>290</v>
      </c>
      <c r="G90" t="s">
        <v>18</v>
      </c>
      <c r="H90" s="2" t="s">
        <v>187</v>
      </c>
      <c r="I90" s="2" t="s">
        <v>1</v>
      </c>
      <c r="J90" t="s">
        <v>18</v>
      </c>
      <c r="K90" s="2" t="s">
        <v>187</v>
      </c>
      <c r="L90" s="2" t="s">
        <v>1</v>
      </c>
      <c r="M90" t="s">
        <v>18</v>
      </c>
      <c r="N90" s="2" t="s">
        <v>187</v>
      </c>
      <c r="O90" s="2" t="s">
        <v>1</v>
      </c>
      <c r="P90" t="s">
        <v>18</v>
      </c>
      <c r="Q90" s="2" t="s">
        <v>187</v>
      </c>
      <c r="R90" s="2" t="s">
        <v>1</v>
      </c>
      <c r="S90" t="s">
        <v>18</v>
      </c>
      <c r="T90" t="s">
        <v>187</v>
      </c>
      <c r="U90" s="2" t="s">
        <v>1</v>
      </c>
      <c r="V90" t="s">
        <v>18</v>
      </c>
      <c r="W90" t="s">
        <v>187</v>
      </c>
      <c r="X90" s="2" t="s">
        <v>1</v>
      </c>
      <c r="Y90">
        <f t="shared" si="1"/>
        <v>697</v>
      </c>
    </row>
    <row r="91" spans="1:25" ht="240" x14ac:dyDescent="0.25">
      <c r="A91" t="s">
        <v>183</v>
      </c>
      <c r="B91" t="s">
        <v>184</v>
      </c>
      <c r="C91" s="2" t="s">
        <v>1072</v>
      </c>
      <c r="D91" s="2" t="s">
        <v>1075</v>
      </c>
      <c r="E91" s="2" t="s">
        <v>294</v>
      </c>
      <c r="F91" s="2" t="s">
        <v>290</v>
      </c>
      <c r="G91" t="s">
        <v>23</v>
      </c>
      <c r="H91" s="2" t="s">
        <v>194</v>
      </c>
      <c r="I91" s="2" t="s">
        <v>1</v>
      </c>
      <c r="J91" t="s">
        <v>1107</v>
      </c>
      <c r="K91" s="2" t="s">
        <v>187</v>
      </c>
      <c r="L91" s="2" t="s">
        <v>1</v>
      </c>
      <c r="M91" t="s">
        <v>18</v>
      </c>
      <c r="N91" s="2" t="s">
        <v>187</v>
      </c>
      <c r="O91" s="2" t="s">
        <v>1</v>
      </c>
      <c r="P91" t="s">
        <v>18</v>
      </c>
      <c r="Q91" s="2" t="s">
        <v>187</v>
      </c>
      <c r="R91" s="2" t="s">
        <v>1</v>
      </c>
      <c r="S91" t="s">
        <v>23</v>
      </c>
      <c r="T91" t="s">
        <v>194</v>
      </c>
      <c r="U91" s="2" t="s">
        <v>1</v>
      </c>
      <c r="V91" t="s">
        <v>23</v>
      </c>
      <c r="W91" t="s">
        <v>194</v>
      </c>
      <c r="X91" s="2" t="s">
        <v>1</v>
      </c>
      <c r="Y91">
        <f t="shared" si="1"/>
        <v>703</v>
      </c>
    </row>
    <row r="92" spans="1:25" ht="240" x14ac:dyDescent="0.25">
      <c r="A92" t="s">
        <v>183</v>
      </c>
      <c r="B92" t="s">
        <v>184</v>
      </c>
      <c r="C92" s="2" t="s">
        <v>1072</v>
      </c>
      <c r="D92" s="2" t="s">
        <v>1075</v>
      </c>
      <c r="E92" s="2" t="s">
        <v>295</v>
      </c>
      <c r="F92" s="2" t="s">
        <v>296</v>
      </c>
      <c r="G92" t="s">
        <v>23</v>
      </c>
      <c r="H92" s="2" t="s">
        <v>187</v>
      </c>
      <c r="I92" s="2" t="s">
        <v>1</v>
      </c>
      <c r="J92" t="s">
        <v>23</v>
      </c>
      <c r="K92" s="2" t="s">
        <v>187</v>
      </c>
      <c r="L92" s="2" t="s">
        <v>1</v>
      </c>
      <c r="M92" t="s">
        <v>23</v>
      </c>
      <c r="N92" s="2" t="s">
        <v>187</v>
      </c>
      <c r="O92" s="2" t="s">
        <v>1</v>
      </c>
      <c r="P92" t="s">
        <v>23</v>
      </c>
      <c r="Q92" s="2" t="s">
        <v>187</v>
      </c>
      <c r="R92" s="2" t="s">
        <v>1</v>
      </c>
      <c r="S92" t="s">
        <v>23</v>
      </c>
      <c r="T92" s="2" t="s">
        <v>187</v>
      </c>
      <c r="U92" s="2" t="s">
        <v>1</v>
      </c>
      <c r="V92" t="s">
        <v>23</v>
      </c>
      <c r="W92" s="2" t="s">
        <v>187</v>
      </c>
      <c r="X92" s="2" t="s">
        <v>1</v>
      </c>
      <c r="Y92">
        <f t="shared" si="1"/>
        <v>711</v>
      </c>
    </row>
    <row r="93" spans="1:25" ht="240" x14ac:dyDescent="0.25">
      <c r="A93" t="s">
        <v>183</v>
      </c>
      <c r="B93" t="s">
        <v>184</v>
      </c>
      <c r="C93" s="2" t="s">
        <v>1072</v>
      </c>
      <c r="D93" s="2" t="s">
        <v>1075</v>
      </c>
      <c r="E93" s="2" t="s">
        <v>297</v>
      </c>
      <c r="F93" s="2" t="s">
        <v>296</v>
      </c>
      <c r="G93" t="s">
        <v>23</v>
      </c>
      <c r="H93" s="2" t="s">
        <v>187</v>
      </c>
      <c r="I93" s="2" t="s">
        <v>1</v>
      </c>
      <c r="J93" t="s">
        <v>23</v>
      </c>
      <c r="K93" s="2" t="s">
        <v>187</v>
      </c>
      <c r="L93" s="2" t="s">
        <v>1</v>
      </c>
      <c r="M93" t="s">
        <v>23</v>
      </c>
      <c r="N93" s="2" t="s">
        <v>187</v>
      </c>
      <c r="O93" s="2" t="s">
        <v>1</v>
      </c>
      <c r="P93" t="s">
        <v>18</v>
      </c>
      <c r="Q93" s="2" t="s">
        <v>194</v>
      </c>
      <c r="R93" s="2" t="s">
        <v>1</v>
      </c>
      <c r="S93" t="s">
        <v>18</v>
      </c>
      <c r="T93" s="2" t="s">
        <v>194</v>
      </c>
      <c r="U93" s="2" t="s">
        <v>1</v>
      </c>
      <c r="V93" t="s">
        <v>18</v>
      </c>
      <c r="W93" t="s">
        <v>194</v>
      </c>
      <c r="X93" s="2" t="s">
        <v>1</v>
      </c>
      <c r="Y93">
        <f t="shared" si="1"/>
        <v>700</v>
      </c>
    </row>
    <row r="94" spans="1:25" ht="240" x14ac:dyDescent="0.25">
      <c r="A94" t="s">
        <v>183</v>
      </c>
      <c r="B94" t="s">
        <v>184</v>
      </c>
      <c r="C94" s="2" t="s">
        <v>1072</v>
      </c>
      <c r="D94" s="2" t="s">
        <v>1075</v>
      </c>
      <c r="E94" s="2" t="s">
        <v>298</v>
      </c>
      <c r="F94" s="2" t="s">
        <v>296</v>
      </c>
      <c r="G94" t="s">
        <v>23</v>
      </c>
      <c r="H94" s="2" t="s">
        <v>187</v>
      </c>
      <c r="I94" s="2" t="s">
        <v>1</v>
      </c>
      <c r="J94" s="2" t="s">
        <v>18</v>
      </c>
      <c r="K94" s="2" t="s">
        <v>194</v>
      </c>
      <c r="L94" s="2" t="s">
        <v>1</v>
      </c>
      <c r="M94" t="s">
        <v>23</v>
      </c>
      <c r="N94" s="2" t="s">
        <v>187</v>
      </c>
      <c r="O94" s="2" t="s">
        <v>1</v>
      </c>
      <c r="P94" t="s">
        <v>18</v>
      </c>
      <c r="Q94" s="2" t="s">
        <v>194</v>
      </c>
      <c r="R94" s="2" t="s">
        <v>1</v>
      </c>
      <c r="S94" t="s">
        <v>18</v>
      </c>
      <c r="T94" s="2" t="s">
        <v>194</v>
      </c>
      <c r="U94" s="2" t="s">
        <v>1</v>
      </c>
      <c r="V94" t="s">
        <v>18</v>
      </c>
      <c r="W94" t="s">
        <v>194</v>
      </c>
      <c r="X94" s="2" t="s">
        <v>1</v>
      </c>
      <c r="Y94">
        <f t="shared" si="1"/>
        <v>710</v>
      </c>
    </row>
    <row r="95" spans="1:25" ht="240" x14ac:dyDescent="0.25">
      <c r="A95" t="s">
        <v>183</v>
      </c>
      <c r="B95" t="s">
        <v>184</v>
      </c>
      <c r="C95" s="2" t="s">
        <v>1072</v>
      </c>
      <c r="D95" s="2" t="s">
        <v>1075</v>
      </c>
      <c r="E95" s="2" t="s">
        <v>299</v>
      </c>
      <c r="F95" s="2" t="s">
        <v>296</v>
      </c>
      <c r="G95" t="s">
        <v>23</v>
      </c>
      <c r="H95" s="2" t="s">
        <v>187</v>
      </c>
      <c r="I95" s="2" t="s">
        <v>1</v>
      </c>
      <c r="J95" s="2" t="s">
        <v>1042</v>
      </c>
      <c r="K95" s="2" t="s">
        <v>187</v>
      </c>
      <c r="L95" s="2" t="s">
        <v>1</v>
      </c>
      <c r="M95" t="s">
        <v>23</v>
      </c>
      <c r="N95" s="2" t="s">
        <v>187</v>
      </c>
      <c r="O95" s="2" t="s">
        <v>1</v>
      </c>
      <c r="P95" t="s">
        <v>23</v>
      </c>
      <c r="Q95" s="2" t="s">
        <v>187</v>
      </c>
      <c r="R95" s="2" t="s">
        <v>1</v>
      </c>
      <c r="S95" t="s">
        <v>23</v>
      </c>
      <c r="T95" s="2" t="s">
        <v>187</v>
      </c>
      <c r="U95" s="2" t="s">
        <v>1</v>
      </c>
      <c r="V95" t="s">
        <v>23</v>
      </c>
      <c r="W95" s="2" t="s">
        <v>187</v>
      </c>
      <c r="X95" s="2" t="s">
        <v>1</v>
      </c>
      <c r="Y95">
        <f t="shared" si="1"/>
        <v>709</v>
      </c>
    </row>
    <row r="96" spans="1:25" ht="360" x14ac:dyDescent="0.25">
      <c r="A96" t="s">
        <v>183</v>
      </c>
      <c r="B96" t="s">
        <v>184</v>
      </c>
      <c r="C96" s="2" t="s">
        <v>1072</v>
      </c>
      <c r="D96" s="2" t="s">
        <v>1075</v>
      </c>
      <c r="E96" s="2" t="s">
        <v>300</v>
      </c>
      <c r="F96" s="2" t="s">
        <v>296</v>
      </c>
      <c r="G96" t="s">
        <v>23</v>
      </c>
      <c r="H96" s="2" t="s">
        <v>187</v>
      </c>
      <c r="I96" s="2" t="s">
        <v>1</v>
      </c>
      <c r="J96" s="2" t="s">
        <v>1114</v>
      </c>
      <c r="K96" s="2" t="s">
        <v>187</v>
      </c>
      <c r="L96" s="2" t="s">
        <v>2</v>
      </c>
      <c r="M96" t="s">
        <v>23</v>
      </c>
      <c r="N96" s="2" t="s">
        <v>187</v>
      </c>
      <c r="O96" s="2" t="s">
        <v>1</v>
      </c>
      <c r="P96" t="s">
        <v>18</v>
      </c>
      <c r="Q96" s="2" t="s">
        <v>194</v>
      </c>
      <c r="R96" s="2" t="s">
        <v>1</v>
      </c>
      <c r="S96" t="s">
        <v>18</v>
      </c>
      <c r="T96" s="2" t="s">
        <v>194</v>
      </c>
      <c r="U96" s="2" t="s">
        <v>1</v>
      </c>
      <c r="V96" t="s">
        <v>18</v>
      </c>
      <c r="W96" t="s">
        <v>194</v>
      </c>
      <c r="X96" s="2" t="s">
        <v>1</v>
      </c>
      <c r="Y96">
        <f t="shared" si="1"/>
        <v>711</v>
      </c>
    </row>
    <row r="97" spans="1:25" ht="240" x14ac:dyDescent="0.25">
      <c r="A97" t="s">
        <v>183</v>
      </c>
      <c r="B97" t="s">
        <v>184</v>
      </c>
      <c r="C97" s="2" t="s">
        <v>1072</v>
      </c>
      <c r="D97" s="2" t="s">
        <v>1075</v>
      </c>
      <c r="E97" s="2" t="s">
        <v>301</v>
      </c>
      <c r="F97" s="2" t="s">
        <v>302</v>
      </c>
      <c r="G97" t="s">
        <v>23</v>
      </c>
      <c r="H97" s="2" t="s">
        <v>187</v>
      </c>
      <c r="I97" s="2" t="s">
        <v>1</v>
      </c>
      <c r="J97" t="s">
        <v>21</v>
      </c>
      <c r="K97" s="2" t="s">
        <v>187</v>
      </c>
      <c r="L97" s="2" t="s">
        <v>1</v>
      </c>
      <c r="M97" t="s">
        <v>18</v>
      </c>
      <c r="N97" s="2" t="s">
        <v>187</v>
      </c>
      <c r="O97" s="2" t="s">
        <v>1</v>
      </c>
      <c r="P97" t="s">
        <v>18</v>
      </c>
      <c r="Q97" s="2" t="s">
        <v>187</v>
      </c>
      <c r="R97" s="2" t="s">
        <v>1</v>
      </c>
      <c r="S97" t="s">
        <v>23</v>
      </c>
      <c r="T97" s="2" t="s">
        <v>187</v>
      </c>
      <c r="U97" s="2" t="s">
        <v>1</v>
      </c>
      <c r="V97" t="s">
        <v>18</v>
      </c>
      <c r="W97" s="2" t="s">
        <v>187</v>
      </c>
      <c r="X97" s="2" t="s">
        <v>1</v>
      </c>
      <c r="Y97">
        <f t="shared" si="1"/>
        <v>710</v>
      </c>
    </row>
    <row r="98" spans="1:25" ht="240" x14ac:dyDescent="0.25">
      <c r="A98" t="s">
        <v>183</v>
      </c>
      <c r="B98" t="s">
        <v>184</v>
      </c>
      <c r="C98" s="2" t="s">
        <v>1072</v>
      </c>
      <c r="D98" s="2" t="s">
        <v>1075</v>
      </c>
      <c r="E98" s="2" t="s">
        <v>303</v>
      </c>
      <c r="F98" s="2" t="s">
        <v>302</v>
      </c>
      <c r="G98" t="s">
        <v>23</v>
      </c>
      <c r="H98" s="2" t="s">
        <v>187</v>
      </c>
      <c r="I98" s="2" t="s">
        <v>1</v>
      </c>
      <c r="J98" t="s">
        <v>1082</v>
      </c>
      <c r="K98" s="2" t="s">
        <v>187</v>
      </c>
      <c r="L98" s="2" t="s">
        <v>1</v>
      </c>
      <c r="M98" t="s">
        <v>23</v>
      </c>
      <c r="N98" s="2" t="s">
        <v>187</v>
      </c>
      <c r="O98" s="2" t="s">
        <v>1</v>
      </c>
      <c r="P98" t="s">
        <v>21</v>
      </c>
      <c r="Q98" s="2" t="s">
        <v>187</v>
      </c>
      <c r="R98" s="2" t="s">
        <v>1</v>
      </c>
      <c r="S98" t="s">
        <v>18</v>
      </c>
      <c r="T98" s="2" t="s">
        <v>187</v>
      </c>
      <c r="U98" s="2" t="s">
        <v>1</v>
      </c>
      <c r="V98" t="s">
        <v>18</v>
      </c>
      <c r="W98" s="2" t="s">
        <v>187</v>
      </c>
      <c r="X98" s="2" t="s">
        <v>1</v>
      </c>
      <c r="Y98">
        <f t="shared" si="1"/>
        <v>699</v>
      </c>
    </row>
    <row r="99" spans="1:25" ht="240" hidden="1" x14ac:dyDescent="0.25">
      <c r="A99" t="s">
        <v>183</v>
      </c>
      <c r="B99" t="s">
        <v>184</v>
      </c>
      <c r="C99" s="2" t="s">
        <v>1072</v>
      </c>
      <c r="D99" s="2" t="s">
        <v>1075</v>
      </c>
      <c r="E99" s="2" t="s">
        <v>304</v>
      </c>
      <c r="F99" s="2" t="s">
        <v>302</v>
      </c>
      <c r="G99" t="s">
        <v>23</v>
      </c>
      <c r="H99" s="2" t="s">
        <v>187</v>
      </c>
      <c r="I99" s="2" t="s">
        <v>1</v>
      </c>
      <c r="J99" t="s">
        <v>1082</v>
      </c>
      <c r="K99" s="2" t="s">
        <v>187</v>
      </c>
      <c r="L99" s="2" t="s">
        <v>1</v>
      </c>
      <c r="M99" t="s">
        <v>21</v>
      </c>
      <c r="N99" s="2" t="s">
        <v>194</v>
      </c>
      <c r="O99" s="2" t="s">
        <v>1</v>
      </c>
      <c r="P99" t="s">
        <v>18</v>
      </c>
      <c r="Q99" s="2" t="s">
        <v>187</v>
      </c>
      <c r="R99" s="2" t="s">
        <v>1</v>
      </c>
      <c r="S99" t="s">
        <v>23</v>
      </c>
      <c r="T99" s="2" t="s">
        <v>187</v>
      </c>
      <c r="U99" s="2" t="s">
        <v>1</v>
      </c>
      <c r="V99" t="s">
        <v>18</v>
      </c>
      <c r="W99" s="2" t="s">
        <v>187</v>
      </c>
      <c r="X99" s="2" t="s">
        <v>1</v>
      </c>
      <c r="Y99">
        <f t="shared" si="1"/>
        <v>700</v>
      </c>
    </row>
    <row r="100" spans="1:25" ht="240" hidden="1" x14ac:dyDescent="0.25">
      <c r="A100" t="s">
        <v>183</v>
      </c>
      <c r="B100" t="s">
        <v>184</v>
      </c>
      <c r="C100" s="2" t="s">
        <v>1072</v>
      </c>
      <c r="D100" s="2" t="s">
        <v>1075</v>
      </c>
      <c r="E100" s="2" t="s">
        <v>305</v>
      </c>
      <c r="F100" s="2" t="s">
        <v>302</v>
      </c>
      <c r="G100" t="s">
        <v>21</v>
      </c>
      <c r="H100" s="2" t="s">
        <v>187</v>
      </c>
      <c r="I100" s="2" t="s">
        <v>1</v>
      </c>
      <c r="J100" t="s">
        <v>1079</v>
      </c>
      <c r="K100" s="2" t="s">
        <v>187</v>
      </c>
      <c r="L100" s="2" t="s">
        <v>1</v>
      </c>
      <c r="M100" t="s">
        <v>21</v>
      </c>
      <c r="N100" s="2" t="s">
        <v>194</v>
      </c>
      <c r="O100" s="2" t="s">
        <v>1</v>
      </c>
      <c r="P100" t="s">
        <v>21</v>
      </c>
      <c r="Q100" s="2" t="s">
        <v>187</v>
      </c>
      <c r="R100" s="2" t="s">
        <v>1</v>
      </c>
      <c r="S100" t="s">
        <v>18</v>
      </c>
      <c r="T100" s="2" t="s">
        <v>187</v>
      </c>
      <c r="U100" s="2" t="s">
        <v>1</v>
      </c>
      <c r="V100" t="s">
        <v>18</v>
      </c>
      <c r="W100" s="2" t="s">
        <v>187</v>
      </c>
      <c r="X100" s="2" t="s">
        <v>1</v>
      </c>
      <c r="Y100">
        <f t="shared" si="1"/>
        <v>693</v>
      </c>
    </row>
    <row r="101" spans="1:25" ht="240" hidden="1" x14ac:dyDescent="0.25">
      <c r="A101" t="s">
        <v>183</v>
      </c>
      <c r="B101" t="s">
        <v>184</v>
      </c>
      <c r="C101" s="2" t="s">
        <v>1072</v>
      </c>
      <c r="D101" s="2" t="s">
        <v>1075</v>
      </c>
      <c r="E101" s="2" t="s">
        <v>306</v>
      </c>
      <c r="F101" s="2" t="s">
        <v>302</v>
      </c>
      <c r="G101" t="s">
        <v>21</v>
      </c>
      <c r="H101" s="2" t="s">
        <v>187</v>
      </c>
      <c r="I101" s="2" t="s">
        <v>1</v>
      </c>
      <c r="J101" t="s">
        <v>1079</v>
      </c>
      <c r="K101" s="2" t="s">
        <v>187</v>
      </c>
      <c r="L101" s="2" t="s">
        <v>1</v>
      </c>
      <c r="M101" t="s">
        <v>21</v>
      </c>
      <c r="N101" s="2" t="s">
        <v>194</v>
      </c>
      <c r="O101" s="2" t="s">
        <v>1</v>
      </c>
      <c r="P101" t="s">
        <v>18</v>
      </c>
      <c r="Q101" s="2" t="s">
        <v>187</v>
      </c>
      <c r="R101" s="2" t="s">
        <v>1</v>
      </c>
      <c r="S101" t="s">
        <v>18</v>
      </c>
      <c r="T101" s="2" t="s">
        <v>187</v>
      </c>
      <c r="U101" s="2" t="s">
        <v>1</v>
      </c>
      <c r="V101" t="s">
        <v>18</v>
      </c>
      <c r="W101" s="2" t="s">
        <v>187</v>
      </c>
      <c r="X101" s="2" t="s">
        <v>1</v>
      </c>
      <c r="Y101">
        <f t="shared" si="1"/>
        <v>709</v>
      </c>
    </row>
    <row r="102" spans="1:25" ht="240" x14ac:dyDescent="0.25">
      <c r="A102" t="s">
        <v>183</v>
      </c>
      <c r="B102" t="s">
        <v>184</v>
      </c>
      <c r="C102" s="2" t="s">
        <v>1072</v>
      </c>
      <c r="D102" s="2" t="s">
        <v>1075</v>
      </c>
      <c r="E102" s="2" t="s">
        <v>307</v>
      </c>
      <c r="F102" s="2" t="s">
        <v>203</v>
      </c>
      <c r="G102" t="s">
        <v>23</v>
      </c>
      <c r="H102" s="2" t="s">
        <v>194</v>
      </c>
      <c r="I102" s="2" t="s">
        <v>1</v>
      </c>
      <c r="J102" t="s">
        <v>181</v>
      </c>
      <c r="K102" s="2" t="s">
        <v>187</v>
      </c>
      <c r="L102" s="2" t="s">
        <v>1</v>
      </c>
      <c r="M102" t="s">
        <v>18</v>
      </c>
      <c r="N102" s="2" t="s">
        <v>187</v>
      </c>
      <c r="O102" s="2" t="s">
        <v>1</v>
      </c>
      <c r="P102" t="s">
        <v>18</v>
      </c>
      <c r="Q102" s="2" t="s">
        <v>187</v>
      </c>
      <c r="R102" s="2" t="s">
        <v>1</v>
      </c>
      <c r="S102" t="s">
        <v>18</v>
      </c>
      <c r="T102" t="s">
        <v>187</v>
      </c>
      <c r="U102" s="2" t="s">
        <v>1</v>
      </c>
      <c r="V102" t="s">
        <v>18</v>
      </c>
      <c r="W102" t="s">
        <v>187</v>
      </c>
      <c r="X102" s="2" t="s">
        <v>1</v>
      </c>
      <c r="Y102">
        <f t="shared" si="1"/>
        <v>705</v>
      </c>
    </row>
    <row r="103" spans="1:25" ht="240" x14ac:dyDescent="0.25">
      <c r="A103" t="s">
        <v>183</v>
      </c>
      <c r="B103" t="s">
        <v>184</v>
      </c>
      <c r="C103" s="2" t="s">
        <v>1072</v>
      </c>
      <c r="D103" s="2" t="s">
        <v>1075</v>
      </c>
      <c r="E103" s="2" t="s">
        <v>308</v>
      </c>
      <c r="F103" s="2" t="s">
        <v>203</v>
      </c>
      <c r="G103" t="s">
        <v>23</v>
      </c>
      <c r="H103" s="2" t="s">
        <v>194</v>
      </c>
      <c r="I103" s="2" t="s">
        <v>1</v>
      </c>
      <c r="J103" t="s">
        <v>181</v>
      </c>
      <c r="K103" s="2" t="s">
        <v>187</v>
      </c>
      <c r="L103" s="2" t="s">
        <v>1</v>
      </c>
      <c r="M103" t="s">
        <v>18</v>
      </c>
      <c r="N103" s="2" t="s">
        <v>187</v>
      </c>
      <c r="O103" s="2" t="s">
        <v>1</v>
      </c>
      <c r="P103" t="s">
        <v>18</v>
      </c>
      <c r="Q103" s="2" t="s">
        <v>187</v>
      </c>
      <c r="R103" s="2" t="s">
        <v>1</v>
      </c>
      <c r="S103" t="s">
        <v>18</v>
      </c>
      <c r="T103" t="s">
        <v>187</v>
      </c>
      <c r="U103" s="2" t="s">
        <v>1</v>
      </c>
      <c r="V103" t="s">
        <v>18</v>
      </c>
      <c r="W103" t="s">
        <v>187</v>
      </c>
      <c r="X103" s="2" t="s">
        <v>1</v>
      </c>
      <c r="Y103">
        <f t="shared" si="1"/>
        <v>692</v>
      </c>
    </row>
    <row r="104" spans="1:25" ht="240" hidden="1" x14ac:dyDescent="0.25">
      <c r="A104" t="s">
        <v>183</v>
      </c>
      <c r="B104" t="s">
        <v>184</v>
      </c>
      <c r="C104" s="2" t="s">
        <v>1072</v>
      </c>
      <c r="D104" s="2" t="s">
        <v>1075</v>
      </c>
      <c r="E104" s="2" t="s">
        <v>309</v>
      </c>
      <c r="F104" s="2" t="s">
        <v>203</v>
      </c>
      <c r="G104" t="s">
        <v>23</v>
      </c>
      <c r="H104" s="2" t="s">
        <v>194</v>
      </c>
      <c r="I104" s="2" t="s">
        <v>1</v>
      </c>
      <c r="J104" s="2" t="s">
        <v>1115</v>
      </c>
      <c r="K104" s="2" t="s">
        <v>187</v>
      </c>
      <c r="L104" s="2" t="s">
        <v>2</v>
      </c>
      <c r="M104" t="s">
        <v>23</v>
      </c>
      <c r="N104" s="2" t="s">
        <v>194</v>
      </c>
      <c r="O104" s="2" t="s">
        <v>1</v>
      </c>
      <c r="P104" t="s">
        <v>18</v>
      </c>
      <c r="Q104" s="2" t="s">
        <v>187</v>
      </c>
      <c r="R104" s="2" t="s">
        <v>1</v>
      </c>
      <c r="S104" t="s">
        <v>23</v>
      </c>
      <c r="T104" t="s">
        <v>194</v>
      </c>
      <c r="U104" s="2" t="s">
        <v>1</v>
      </c>
      <c r="V104" t="s">
        <v>23</v>
      </c>
      <c r="W104" t="s">
        <v>194</v>
      </c>
      <c r="X104" s="2" t="s">
        <v>1</v>
      </c>
      <c r="Y104">
        <f t="shared" si="1"/>
        <v>695</v>
      </c>
    </row>
    <row r="105" spans="1:25" ht="240" x14ac:dyDescent="0.25">
      <c r="A105" t="s">
        <v>183</v>
      </c>
      <c r="B105" t="s">
        <v>184</v>
      </c>
      <c r="C105" s="2" t="s">
        <v>1072</v>
      </c>
      <c r="D105" s="2" t="s">
        <v>1075</v>
      </c>
      <c r="E105" s="2" t="s">
        <v>310</v>
      </c>
      <c r="F105" s="2" t="s">
        <v>203</v>
      </c>
      <c r="G105" t="s">
        <v>21</v>
      </c>
      <c r="H105" s="2" t="s">
        <v>194</v>
      </c>
      <c r="I105" s="2" t="s">
        <v>1</v>
      </c>
      <c r="J105" t="s">
        <v>1116</v>
      </c>
      <c r="K105" s="2" t="s">
        <v>187</v>
      </c>
      <c r="L105" s="2" t="s">
        <v>1</v>
      </c>
      <c r="M105" t="s">
        <v>18</v>
      </c>
      <c r="N105" s="2" t="s">
        <v>187</v>
      </c>
      <c r="O105" s="2" t="s">
        <v>1</v>
      </c>
      <c r="P105" t="s">
        <v>21</v>
      </c>
      <c r="Q105" s="2" t="s">
        <v>194</v>
      </c>
      <c r="R105" s="2" t="s">
        <v>1</v>
      </c>
      <c r="S105" t="s">
        <v>21</v>
      </c>
      <c r="T105" s="2" t="s">
        <v>194</v>
      </c>
      <c r="U105" s="2" t="s">
        <v>1</v>
      </c>
      <c r="V105" t="s">
        <v>18</v>
      </c>
      <c r="W105" t="s">
        <v>187</v>
      </c>
      <c r="X105" s="2" t="s">
        <v>1</v>
      </c>
      <c r="Y105">
        <f t="shared" si="1"/>
        <v>697</v>
      </c>
    </row>
    <row r="106" spans="1:25" ht="240" x14ac:dyDescent="0.25">
      <c r="A106" t="s">
        <v>183</v>
      </c>
      <c r="B106" t="s">
        <v>184</v>
      </c>
      <c r="C106" s="2" t="s">
        <v>1072</v>
      </c>
      <c r="D106" s="2" t="s">
        <v>1075</v>
      </c>
      <c r="E106" s="2" t="s">
        <v>311</v>
      </c>
      <c r="F106" s="2" t="s">
        <v>203</v>
      </c>
      <c r="G106" t="s">
        <v>23</v>
      </c>
      <c r="H106" s="2" t="s">
        <v>194</v>
      </c>
      <c r="I106" s="2" t="s">
        <v>1</v>
      </c>
      <c r="J106" t="s">
        <v>1117</v>
      </c>
      <c r="K106" s="2" t="s">
        <v>187</v>
      </c>
      <c r="L106" s="2" t="s">
        <v>1</v>
      </c>
      <c r="M106" t="s">
        <v>18</v>
      </c>
      <c r="N106" s="2" t="s">
        <v>187</v>
      </c>
      <c r="O106" s="2" t="s">
        <v>1</v>
      </c>
      <c r="P106" t="s">
        <v>18</v>
      </c>
      <c r="Q106" s="2" t="s">
        <v>187</v>
      </c>
      <c r="R106" s="2" t="s">
        <v>1</v>
      </c>
      <c r="S106" t="s">
        <v>23</v>
      </c>
      <c r="T106" t="s">
        <v>194</v>
      </c>
      <c r="U106" s="2" t="s">
        <v>1</v>
      </c>
      <c r="V106" t="s">
        <v>18</v>
      </c>
      <c r="W106" t="s">
        <v>187</v>
      </c>
      <c r="X106" s="2" t="s">
        <v>1</v>
      </c>
      <c r="Y106">
        <f t="shared" si="1"/>
        <v>694</v>
      </c>
    </row>
    <row r="107" spans="1:25" ht="240" x14ac:dyDescent="0.25">
      <c r="A107" t="s">
        <v>183</v>
      </c>
      <c r="B107" t="s">
        <v>184</v>
      </c>
      <c r="C107" s="2" t="s">
        <v>1072</v>
      </c>
      <c r="D107" s="2" t="s">
        <v>1075</v>
      </c>
      <c r="E107" s="2" t="s">
        <v>312</v>
      </c>
      <c r="F107" s="2" t="s">
        <v>313</v>
      </c>
      <c r="G107" t="s">
        <v>18</v>
      </c>
      <c r="H107" s="2" t="s">
        <v>187</v>
      </c>
      <c r="I107" s="2" t="s">
        <v>1</v>
      </c>
      <c r="J107" s="2" t="s">
        <v>1118</v>
      </c>
      <c r="K107" s="2" t="s">
        <v>187</v>
      </c>
      <c r="L107" s="2" t="s">
        <v>2</v>
      </c>
      <c r="M107" t="s">
        <v>18</v>
      </c>
      <c r="N107" s="2" t="s">
        <v>187</v>
      </c>
      <c r="O107" s="2" t="s">
        <v>1</v>
      </c>
      <c r="P107" t="s">
        <v>18</v>
      </c>
      <c r="Q107" s="2" t="s">
        <v>187</v>
      </c>
      <c r="R107" s="2" t="s">
        <v>1</v>
      </c>
      <c r="S107" t="s">
        <v>18</v>
      </c>
      <c r="T107" s="2" t="s">
        <v>187</v>
      </c>
      <c r="U107" s="2" t="s">
        <v>1</v>
      </c>
      <c r="V107" t="s">
        <v>18</v>
      </c>
      <c r="W107" s="2" t="s">
        <v>187</v>
      </c>
      <c r="X107" s="2" t="s">
        <v>1</v>
      </c>
      <c r="Y107">
        <f t="shared" si="1"/>
        <v>711</v>
      </c>
    </row>
    <row r="108" spans="1:25" ht="240" hidden="1" x14ac:dyDescent="0.25">
      <c r="A108" t="s">
        <v>183</v>
      </c>
      <c r="B108" t="s">
        <v>184</v>
      </c>
      <c r="C108" s="2" t="s">
        <v>1072</v>
      </c>
      <c r="D108" s="2" t="s">
        <v>1075</v>
      </c>
      <c r="E108" s="2" t="s">
        <v>314</v>
      </c>
      <c r="F108" s="2" t="s">
        <v>313</v>
      </c>
      <c r="G108" t="s">
        <v>18</v>
      </c>
      <c r="H108" s="2" t="s">
        <v>187</v>
      </c>
      <c r="I108" s="2" t="s">
        <v>1</v>
      </c>
      <c r="J108" t="s">
        <v>21</v>
      </c>
      <c r="K108" s="2" t="s">
        <v>187</v>
      </c>
      <c r="L108" s="2" t="s">
        <v>1</v>
      </c>
      <c r="M108" t="s">
        <v>21</v>
      </c>
      <c r="N108" s="2" t="s">
        <v>194</v>
      </c>
      <c r="O108" s="2" t="s">
        <v>1</v>
      </c>
      <c r="P108" t="s">
        <v>18</v>
      </c>
      <c r="Q108" s="2" t="s">
        <v>187</v>
      </c>
      <c r="R108" s="2" t="s">
        <v>1</v>
      </c>
      <c r="S108" t="s">
        <v>23</v>
      </c>
      <c r="T108" s="2" t="s">
        <v>187</v>
      </c>
      <c r="U108" s="2" t="s">
        <v>1</v>
      </c>
      <c r="V108" t="s">
        <v>18</v>
      </c>
      <c r="W108" s="2" t="s">
        <v>187</v>
      </c>
      <c r="X108" s="2" t="s">
        <v>1</v>
      </c>
      <c r="Y108">
        <f t="shared" si="1"/>
        <v>704</v>
      </c>
    </row>
    <row r="109" spans="1:25" ht="240" x14ac:dyDescent="0.25">
      <c r="A109" t="s">
        <v>183</v>
      </c>
      <c r="B109" t="s">
        <v>184</v>
      </c>
      <c r="C109" s="2" t="s">
        <v>1072</v>
      </c>
      <c r="D109" s="2" t="s">
        <v>1075</v>
      </c>
      <c r="E109" s="2" t="s">
        <v>315</v>
      </c>
      <c r="F109" s="2" t="s">
        <v>313</v>
      </c>
      <c r="G109" t="s">
        <v>23</v>
      </c>
      <c r="H109" s="2" t="s">
        <v>187</v>
      </c>
      <c r="I109" s="2" t="s">
        <v>1</v>
      </c>
      <c r="J109" t="s">
        <v>1119</v>
      </c>
      <c r="K109" s="2" t="s">
        <v>187</v>
      </c>
      <c r="L109" s="2" t="s">
        <v>1</v>
      </c>
      <c r="M109" t="s">
        <v>18</v>
      </c>
      <c r="N109" s="2" t="s">
        <v>187</v>
      </c>
      <c r="O109" s="2" t="s">
        <v>1</v>
      </c>
      <c r="P109" t="s">
        <v>18</v>
      </c>
      <c r="Q109" s="2" t="s">
        <v>187</v>
      </c>
      <c r="R109" s="2" t="s">
        <v>1</v>
      </c>
      <c r="S109" t="s">
        <v>23</v>
      </c>
      <c r="T109" s="2" t="s">
        <v>187</v>
      </c>
      <c r="U109" s="2" t="s">
        <v>1</v>
      </c>
      <c r="V109" t="s">
        <v>18</v>
      </c>
      <c r="W109" s="2" t="s">
        <v>187</v>
      </c>
      <c r="X109" s="2" t="s">
        <v>1</v>
      </c>
      <c r="Y109">
        <f t="shared" si="1"/>
        <v>696</v>
      </c>
    </row>
    <row r="110" spans="1:25" ht="240" x14ac:dyDescent="0.25">
      <c r="A110" t="s">
        <v>183</v>
      </c>
      <c r="B110" t="s">
        <v>184</v>
      </c>
      <c r="C110" s="2" t="s">
        <v>1072</v>
      </c>
      <c r="D110" s="2" t="s">
        <v>1075</v>
      </c>
      <c r="E110" s="2" t="s">
        <v>316</v>
      </c>
      <c r="F110" s="2" t="s">
        <v>313</v>
      </c>
      <c r="G110" t="s">
        <v>23</v>
      </c>
      <c r="H110" s="2" t="s">
        <v>187</v>
      </c>
      <c r="I110" s="2" t="s">
        <v>1</v>
      </c>
      <c r="J110" t="s">
        <v>1087</v>
      </c>
      <c r="K110" s="2" t="s">
        <v>187</v>
      </c>
      <c r="L110" s="2" t="s">
        <v>1</v>
      </c>
      <c r="M110" t="s">
        <v>23</v>
      </c>
      <c r="N110" s="2" t="s">
        <v>187</v>
      </c>
      <c r="O110" s="2" t="s">
        <v>1</v>
      </c>
      <c r="P110" t="s">
        <v>18</v>
      </c>
      <c r="Q110" s="2" t="s">
        <v>187</v>
      </c>
      <c r="R110" s="2" t="s">
        <v>1</v>
      </c>
      <c r="S110" t="s">
        <v>23</v>
      </c>
      <c r="T110" s="2" t="s">
        <v>187</v>
      </c>
      <c r="U110" s="2" t="s">
        <v>1</v>
      </c>
      <c r="V110" t="s">
        <v>18</v>
      </c>
      <c r="W110" s="2" t="s">
        <v>187</v>
      </c>
      <c r="X110" s="2" t="s">
        <v>1</v>
      </c>
      <c r="Y110">
        <f t="shared" si="1"/>
        <v>706</v>
      </c>
    </row>
    <row r="111" spans="1:25" ht="240" x14ac:dyDescent="0.25">
      <c r="A111" t="s">
        <v>183</v>
      </c>
      <c r="B111" t="s">
        <v>184</v>
      </c>
      <c r="C111" s="2" t="s">
        <v>1072</v>
      </c>
      <c r="D111" s="2" t="s">
        <v>1075</v>
      </c>
      <c r="E111" s="2" t="s">
        <v>317</v>
      </c>
      <c r="F111" s="2" t="s">
        <v>313</v>
      </c>
      <c r="G111" t="s">
        <v>23</v>
      </c>
      <c r="H111" s="2" t="s">
        <v>187</v>
      </c>
      <c r="I111" s="2" t="s">
        <v>1</v>
      </c>
      <c r="J111" t="s">
        <v>1108</v>
      </c>
      <c r="K111" s="2" t="s">
        <v>187</v>
      </c>
      <c r="L111" s="2" t="s">
        <v>1</v>
      </c>
      <c r="M111" t="s">
        <v>18</v>
      </c>
      <c r="N111" s="2" t="s">
        <v>187</v>
      </c>
      <c r="O111" s="2" t="s">
        <v>1</v>
      </c>
      <c r="P111" t="s">
        <v>18</v>
      </c>
      <c r="Q111" s="2" t="s">
        <v>187</v>
      </c>
      <c r="R111" s="2" t="s">
        <v>1</v>
      </c>
      <c r="S111" t="s">
        <v>23</v>
      </c>
      <c r="T111" s="2" t="s">
        <v>187</v>
      </c>
      <c r="U111" s="2" t="s">
        <v>1</v>
      </c>
      <c r="V111" t="s">
        <v>18</v>
      </c>
      <c r="W111" s="2" t="s">
        <v>187</v>
      </c>
      <c r="X111" s="2" t="s">
        <v>1</v>
      </c>
      <c r="Y111">
        <f t="shared" si="1"/>
        <v>716</v>
      </c>
    </row>
    <row r="112" spans="1:25" ht="240" x14ac:dyDescent="0.25">
      <c r="A112" t="s">
        <v>183</v>
      </c>
      <c r="B112" t="s">
        <v>184</v>
      </c>
      <c r="C112" s="2" t="s">
        <v>1072</v>
      </c>
      <c r="D112" s="2" t="s">
        <v>1075</v>
      </c>
      <c r="E112" s="2" t="s">
        <v>318</v>
      </c>
      <c r="F112" s="2" t="s">
        <v>319</v>
      </c>
      <c r="G112" t="s">
        <v>21</v>
      </c>
      <c r="H112" s="2" t="s">
        <v>187</v>
      </c>
      <c r="I112" s="2" t="s">
        <v>1</v>
      </c>
      <c r="J112" t="s">
        <v>21</v>
      </c>
      <c r="K112" s="2" t="s">
        <v>187</v>
      </c>
      <c r="L112" s="2" t="s">
        <v>1</v>
      </c>
      <c r="M112" t="s">
        <v>21</v>
      </c>
      <c r="N112" s="2" t="s">
        <v>187</v>
      </c>
      <c r="O112" s="2" t="s">
        <v>1</v>
      </c>
      <c r="P112" t="s">
        <v>21</v>
      </c>
      <c r="Q112" s="2" t="s">
        <v>187</v>
      </c>
      <c r="R112" s="2" t="s">
        <v>1</v>
      </c>
      <c r="S112" t="s">
        <v>18</v>
      </c>
      <c r="T112" s="2" t="s">
        <v>194</v>
      </c>
      <c r="U112" s="2" t="s">
        <v>1</v>
      </c>
      <c r="V112" t="s">
        <v>18</v>
      </c>
      <c r="W112" s="2" t="s">
        <v>187</v>
      </c>
      <c r="X112" s="2" t="s">
        <v>1</v>
      </c>
      <c r="Y112">
        <f t="shared" si="1"/>
        <v>700</v>
      </c>
    </row>
    <row r="113" spans="1:25" ht="240" x14ac:dyDescent="0.25">
      <c r="A113" t="s">
        <v>183</v>
      </c>
      <c r="B113" t="s">
        <v>184</v>
      </c>
      <c r="C113" s="2" t="s">
        <v>1072</v>
      </c>
      <c r="D113" s="2" t="s">
        <v>1075</v>
      </c>
      <c r="E113" s="2" t="s">
        <v>320</v>
      </c>
      <c r="F113" s="2" t="s">
        <v>319</v>
      </c>
      <c r="G113" t="s">
        <v>21</v>
      </c>
      <c r="H113" s="2" t="s">
        <v>187</v>
      </c>
      <c r="I113" s="2" t="s">
        <v>1</v>
      </c>
      <c r="J113" t="s">
        <v>1082</v>
      </c>
      <c r="K113" s="2" t="s">
        <v>187</v>
      </c>
      <c r="L113" s="2" t="s">
        <v>1</v>
      </c>
      <c r="M113" t="s">
        <v>21</v>
      </c>
      <c r="N113" s="2" t="s">
        <v>187</v>
      </c>
      <c r="O113" s="2" t="s">
        <v>1</v>
      </c>
      <c r="P113" t="s">
        <v>21</v>
      </c>
      <c r="Q113" s="2" t="s">
        <v>187</v>
      </c>
      <c r="R113" s="2" t="s">
        <v>1</v>
      </c>
      <c r="S113" t="s">
        <v>18</v>
      </c>
      <c r="T113" s="2" t="s">
        <v>194</v>
      </c>
      <c r="U113" s="2" t="s">
        <v>1</v>
      </c>
      <c r="V113" t="s">
        <v>18</v>
      </c>
      <c r="W113" s="2" t="s">
        <v>187</v>
      </c>
      <c r="X113" s="2" t="s">
        <v>1</v>
      </c>
      <c r="Y113">
        <f t="shared" si="1"/>
        <v>696</v>
      </c>
    </row>
    <row r="114" spans="1:25" ht="240" x14ac:dyDescent="0.25">
      <c r="A114" t="s">
        <v>183</v>
      </c>
      <c r="B114" t="s">
        <v>184</v>
      </c>
      <c r="C114" s="2" t="s">
        <v>1072</v>
      </c>
      <c r="D114" s="2" t="s">
        <v>1075</v>
      </c>
      <c r="E114" s="2" t="s">
        <v>321</v>
      </c>
      <c r="F114" s="2" t="s">
        <v>319</v>
      </c>
      <c r="G114" t="s">
        <v>18</v>
      </c>
      <c r="H114" s="2" t="s">
        <v>194</v>
      </c>
      <c r="I114" s="2" t="s">
        <v>1</v>
      </c>
      <c r="J114" t="s">
        <v>1082</v>
      </c>
      <c r="K114" s="2" t="s">
        <v>187</v>
      </c>
      <c r="L114" s="2" t="s">
        <v>1</v>
      </c>
      <c r="M114" t="s">
        <v>21</v>
      </c>
      <c r="N114" s="2" t="s">
        <v>187</v>
      </c>
      <c r="O114" s="2" t="s">
        <v>1</v>
      </c>
      <c r="P114" t="s">
        <v>21</v>
      </c>
      <c r="Q114" s="2" t="s">
        <v>187</v>
      </c>
      <c r="R114" s="2" t="s">
        <v>1</v>
      </c>
      <c r="S114" t="s">
        <v>21</v>
      </c>
      <c r="T114" s="2" t="s">
        <v>187</v>
      </c>
      <c r="U114" s="2" t="s">
        <v>1</v>
      </c>
      <c r="V114" t="s">
        <v>18</v>
      </c>
      <c r="W114" s="2" t="s">
        <v>187</v>
      </c>
      <c r="X114" s="2" t="s">
        <v>1</v>
      </c>
      <c r="Y114">
        <f t="shared" si="1"/>
        <v>712</v>
      </c>
    </row>
    <row r="115" spans="1:25" ht="240" x14ac:dyDescent="0.25">
      <c r="A115" t="s">
        <v>183</v>
      </c>
      <c r="B115" t="s">
        <v>184</v>
      </c>
      <c r="C115" s="2" t="s">
        <v>1072</v>
      </c>
      <c r="D115" s="2" t="s">
        <v>1075</v>
      </c>
      <c r="E115" s="2" t="s">
        <v>322</v>
      </c>
      <c r="F115" s="2" t="s">
        <v>319</v>
      </c>
      <c r="G115" t="s">
        <v>18</v>
      </c>
      <c r="H115" s="2" t="s">
        <v>194</v>
      </c>
      <c r="I115" s="2" t="s">
        <v>1</v>
      </c>
      <c r="J115" t="s">
        <v>1082</v>
      </c>
      <c r="K115" s="2" t="s">
        <v>187</v>
      </c>
      <c r="L115" s="2" t="s">
        <v>1</v>
      </c>
      <c r="M115" t="s">
        <v>21</v>
      </c>
      <c r="N115" s="2" t="s">
        <v>187</v>
      </c>
      <c r="O115" s="2" t="s">
        <v>1</v>
      </c>
      <c r="P115" t="s">
        <v>18</v>
      </c>
      <c r="Q115" s="2" t="s">
        <v>187</v>
      </c>
      <c r="R115" s="2" t="s">
        <v>1</v>
      </c>
      <c r="S115" t="s">
        <v>18</v>
      </c>
      <c r="T115" s="2" t="s">
        <v>194</v>
      </c>
      <c r="U115" s="2" t="s">
        <v>1</v>
      </c>
      <c r="V115" t="s">
        <v>18</v>
      </c>
      <c r="W115" s="2" t="s">
        <v>187</v>
      </c>
      <c r="X115" s="2" t="s">
        <v>1</v>
      </c>
      <c r="Y115">
        <f t="shared" si="1"/>
        <v>700</v>
      </c>
    </row>
    <row r="116" spans="1:25" ht="240" x14ac:dyDescent="0.25">
      <c r="A116" t="s">
        <v>183</v>
      </c>
      <c r="B116" t="s">
        <v>184</v>
      </c>
      <c r="C116" s="2" t="s">
        <v>1072</v>
      </c>
      <c r="D116" s="2" t="s">
        <v>1075</v>
      </c>
      <c r="E116" s="2" t="s">
        <v>323</v>
      </c>
      <c r="F116" s="2" t="s">
        <v>319</v>
      </c>
      <c r="G116" t="s">
        <v>21</v>
      </c>
      <c r="H116" s="2" t="s">
        <v>187</v>
      </c>
      <c r="I116" s="2" t="s">
        <v>1</v>
      </c>
      <c r="J116" t="s">
        <v>21</v>
      </c>
      <c r="K116" s="2" t="s">
        <v>187</v>
      </c>
      <c r="L116" s="2" t="s">
        <v>1</v>
      </c>
      <c r="M116" t="s">
        <v>21</v>
      </c>
      <c r="N116" s="2" t="s">
        <v>187</v>
      </c>
      <c r="O116" s="2" t="s">
        <v>1</v>
      </c>
      <c r="P116" t="s">
        <v>21</v>
      </c>
      <c r="Q116" s="2" t="s">
        <v>187</v>
      </c>
      <c r="R116" s="2" t="s">
        <v>1</v>
      </c>
      <c r="S116" t="s">
        <v>21</v>
      </c>
      <c r="T116" s="2" t="s">
        <v>187</v>
      </c>
      <c r="U116" s="2" t="s">
        <v>1</v>
      </c>
      <c r="V116" t="s">
        <v>21</v>
      </c>
      <c r="W116" s="2" t="s">
        <v>187</v>
      </c>
      <c r="X116" s="2" t="s">
        <v>1</v>
      </c>
      <c r="Y116">
        <f t="shared" si="1"/>
        <v>707</v>
      </c>
    </row>
    <row r="117" spans="1:25" ht="240" x14ac:dyDescent="0.25">
      <c r="A117" t="s">
        <v>183</v>
      </c>
      <c r="B117" t="s">
        <v>184</v>
      </c>
      <c r="C117" s="2" t="s">
        <v>1072</v>
      </c>
      <c r="D117" s="2" t="s">
        <v>1075</v>
      </c>
      <c r="E117" s="2" t="s">
        <v>324</v>
      </c>
      <c r="F117" s="2" t="s">
        <v>325</v>
      </c>
      <c r="G117" t="s">
        <v>21</v>
      </c>
      <c r="H117" s="2" t="s">
        <v>194</v>
      </c>
      <c r="I117" s="2" t="s">
        <v>1</v>
      </c>
      <c r="J117" t="s">
        <v>18</v>
      </c>
      <c r="K117" s="2" t="s">
        <v>187</v>
      </c>
      <c r="L117" s="2" t="s">
        <v>1</v>
      </c>
      <c r="M117" t="s">
        <v>18</v>
      </c>
      <c r="N117" s="2" t="s">
        <v>187</v>
      </c>
      <c r="O117" s="2" t="s">
        <v>1</v>
      </c>
      <c r="P117" t="s">
        <v>18</v>
      </c>
      <c r="Q117" s="2" t="s">
        <v>187</v>
      </c>
      <c r="R117" s="2" t="s">
        <v>1</v>
      </c>
      <c r="S117" t="s">
        <v>21</v>
      </c>
      <c r="T117" t="s">
        <v>194</v>
      </c>
      <c r="U117" s="2" t="s">
        <v>1</v>
      </c>
      <c r="V117" t="s">
        <v>18</v>
      </c>
      <c r="W117" t="s">
        <v>187</v>
      </c>
      <c r="X117" s="2" t="s">
        <v>1</v>
      </c>
      <c r="Y117">
        <f t="shared" si="1"/>
        <v>679</v>
      </c>
    </row>
    <row r="118" spans="1:25" ht="240" x14ac:dyDescent="0.25">
      <c r="A118" t="s">
        <v>183</v>
      </c>
      <c r="B118" t="s">
        <v>184</v>
      </c>
      <c r="C118" s="2" t="s">
        <v>1072</v>
      </c>
      <c r="D118" s="2" t="s">
        <v>1075</v>
      </c>
      <c r="E118" s="2" t="s">
        <v>326</v>
      </c>
      <c r="F118" s="2" t="s">
        <v>325</v>
      </c>
      <c r="G118" t="s">
        <v>18</v>
      </c>
      <c r="H118" s="2" t="s">
        <v>187</v>
      </c>
      <c r="I118" s="2" t="s">
        <v>1</v>
      </c>
      <c r="J118" s="2" t="s">
        <v>21</v>
      </c>
      <c r="K118" s="2" t="s">
        <v>194</v>
      </c>
      <c r="L118" s="2" t="s">
        <v>1</v>
      </c>
      <c r="M118" t="s">
        <v>18</v>
      </c>
      <c r="N118" s="2" t="s">
        <v>187</v>
      </c>
      <c r="O118" s="2" t="s">
        <v>1</v>
      </c>
      <c r="P118" t="s">
        <v>21</v>
      </c>
      <c r="Q118" s="2" t="s">
        <v>194</v>
      </c>
      <c r="R118" s="2" t="s">
        <v>1</v>
      </c>
      <c r="S118" t="s">
        <v>18</v>
      </c>
      <c r="T118" t="s">
        <v>187</v>
      </c>
      <c r="U118" s="2" t="s">
        <v>1</v>
      </c>
      <c r="V118" t="s">
        <v>18</v>
      </c>
      <c r="W118" t="s">
        <v>187</v>
      </c>
      <c r="X118" s="2" t="s">
        <v>1</v>
      </c>
      <c r="Y118">
        <f t="shared" si="1"/>
        <v>705</v>
      </c>
    </row>
    <row r="119" spans="1:25" ht="240" x14ac:dyDescent="0.25">
      <c r="A119" t="s">
        <v>183</v>
      </c>
      <c r="B119" t="s">
        <v>184</v>
      </c>
      <c r="C119" s="2" t="s">
        <v>1072</v>
      </c>
      <c r="D119" s="2" t="s">
        <v>1075</v>
      </c>
      <c r="E119" s="2" t="s">
        <v>327</v>
      </c>
      <c r="F119" s="2" t="s">
        <v>325</v>
      </c>
      <c r="G119" t="s">
        <v>21</v>
      </c>
      <c r="H119" s="2" t="s">
        <v>194</v>
      </c>
      <c r="I119" s="2" t="s">
        <v>1</v>
      </c>
      <c r="J119" s="2" t="s">
        <v>1120</v>
      </c>
      <c r="K119" s="2" t="s">
        <v>194</v>
      </c>
      <c r="L119" s="2" t="s">
        <v>1</v>
      </c>
      <c r="M119" t="s">
        <v>18</v>
      </c>
      <c r="N119" s="2" t="s">
        <v>187</v>
      </c>
      <c r="O119" s="2" t="s">
        <v>1</v>
      </c>
      <c r="P119" t="s">
        <v>18</v>
      </c>
      <c r="Q119" s="2" t="s">
        <v>187</v>
      </c>
      <c r="R119" s="2" t="s">
        <v>1</v>
      </c>
      <c r="S119" t="s">
        <v>18</v>
      </c>
      <c r="T119" t="s">
        <v>187</v>
      </c>
      <c r="U119" s="2" t="s">
        <v>1</v>
      </c>
      <c r="V119" t="s">
        <v>18</v>
      </c>
      <c r="W119" t="s">
        <v>187</v>
      </c>
      <c r="X119" s="2" t="s">
        <v>1</v>
      </c>
      <c r="Y119">
        <f t="shared" si="1"/>
        <v>689</v>
      </c>
    </row>
    <row r="120" spans="1:25" ht="240" x14ac:dyDescent="0.25">
      <c r="A120" t="s">
        <v>183</v>
      </c>
      <c r="B120" t="s">
        <v>184</v>
      </c>
      <c r="C120" s="2" t="s">
        <v>1072</v>
      </c>
      <c r="D120" s="2" t="s">
        <v>1075</v>
      </c>
      <c r="E120" s="2" t="s">
        <v>328</v>
      </c>
      <c r="F120" s="2" t="s">
        <v>325</v>
      </c>
      <c r="G120" t="s">
        <v>23</v>
      </c>
      <c r="H120" s="2" t="s">
        <v>194</v>
      </c>
      <c r="I120" s="2" t="s">
        <v>1</v>
      </c>
      <c r="J120" t="s">
        <v>181</v>
      </c>
      <c r="K120" s="2" t="s">
        <v>187</v>
      </c>
      <c r="L120" s="2" t="s">
        <v>1</v>
      </c>
      <c r="M120" t="s">
        <v>18</v>
      </c>
      <c r="N120" s="2" t="s">
        <v>187</v>
      </c>
      <c r="O120" s="2" t="s">
        <v>1</v>
      </c>
      <c r="P120" t="s">
        <v>21</v>
      </c>
      <c r="Q120" s="2" t="s">
        <v>194</v>
      </c>
      <c r="R120" s="2" t="s">
        <v>1</v>
      </c>
      <c r="S120" t="s">
        <v>18</v>
      </c>
      <c r="T120" t="s">
        <v>187</v>
      </c>
      <c r="U120" s="2" t="s">
        <v>1</v>
      </c>
      <c r="V120" t="s">
        <v>18</v>
      </c>
      <c r="W120" t="s">
        <v>187</v>
      </c>
      <c r="X120" s="2" t="s">
        <v>1</v>
      </c>
      <c r="Y120">
        <f t="shared" si="1"/>
        <v>687</v>
      </c>
    </row>
    <row r="121" spans="1:25" ht="240" hidden="1" x14ac:dyDescent="0.25">
      <c r="A121" t="s">
        <v>183</v>
      </c>
      <c r="B121" t="s">
        <v>184</v>
      </c>
      <c r="C121" s="2" t="s">
        <v>1072</v>
      </c>
      <c r="D121" s="2" t="s">
        <v>1075</v>
      </c>
      <c r="E121" s="2" t="s">
        <v>329</v>
      </c>
      <c r="F121" s="2" t="s">
        <v>325</v>
      </c>
      <c r="G121" t="s">
        <v>21</v>
      </c>
      <c r="H121" s="2" t="s">
        <v>194</v>
      </c>
      <c r="I121" s="2" t="s">
        <v>1</v>
      </c>
      <c r="J121" t="s">
        <v>181</v>
      </c>
      <c r="K121" s="2" t="s">
        <v>187</v>
      </c>
      <c r="L121" s="2" t="s">
        <v>1</v>
      </c>
      <c r="M121" t="s">
        <v>21</v>
      </c>
      <c r="N121" s="2" t="s">
        <v>194</v>
      </c>
      <c r="O121" s="2" t="s">
        <v>1</v>
      </c>
      <c r="P121" t="s">
        <v>18</v>
      </c>
      <c r="Q121" s="2" t="s">
        <v>187</v>
      </c>
      <c r="R121" s="2" t="s">
        <v>1</v>
      </c>
      <c r="S121" t="s">
        <v>21</v>
      </c>
      <c r="T121" t="s">
        <v>194</v>
      </c>
      <c r="U121" s="2" t="s">
        <v>1</v>
      </c>
      <c r="V121" t="s">
        <v>18</v>
      </c>
      <c r="W121" t="s">
        <v>187</v>
      </c>
      <c r="X121" s="2" t="s">
        <v>1</v>
      </c>
      <c r="Y121">
        <f t="shared" si="1"/>
        <v>710</v>
      </c>
    </row>
    <row r="122" spans="1:25" ht="240" x14ac:dyDescent="0.25">
      <c r="A122" t="s">
        <v>183</v>
      </c>
      <c r="B122" t="s">
        <v>184</v>
      </c>
      <c r="C122" s="2" t="s">
        <v>1072</v>
      </c>
      <c r="D122" s="2" t="s">
        <v>1075</v>
      </c>
      <c r="E122" s="2" t="s">
        <v>330</v>
      </c>
      <c r="F122" s="2" t="s">
        <v>331</v>
      </c>
      <c r="G122" t="s">
        <v>18</v>
      </c>
      <c r="H122" s="2" t="s">
        <v>187</v>
      </c>
      <c r="I122" s="2" t="s">
        <v>1</v>
      </c>
      <c r="J122" t="s">
        <v>181</v>
      </c>
      <c r="K122" s="2" t="s">
        <v>187</v>
      </c>
      <c r="L122" s="2" t="s">
        <v>1</v>
      </c>
      <c r="M122" t="s">
        <v>18</v>
      </c>
      <c r="N122" s="2" t="s">
        <v>187</v>
      </c>
      <c r="O122" s="2" t="s">
        <v>1</v>
      </c>
      <c r="P122" t="s">
        <v>18</v>
      </c>
      <c r="Q122" s="2" t="s">
        <v>187</v>
      </c>
      <c r="R122" s="2" t="s">
        <v>1</v>
      </c>
      <c r="S122" t="s">
        <v>18</v>
      </c>
      <c r="T122" t="s">
        <v>187</v>
      </c>
      <c r="U122" s="2" t="s">
        <v>1</v>
      </c>
      <c r="V122" t="s">
        <v>18</v>
      </c>
      <c r="W122" t="s">
        <v>187</v>
      </c>
      <c r="X122" s="2" t="s">
        <v>1</v>
      </c>
      <c r="Y122">
        <f t="shared" si="1"/>
        <v>706</v>
      </c>
    </row>
    <row r="123" spans="1:25" ht="240" x14ac:dyDescent="0.25">
      <c r="A123" t="s">
        <v>183</v>
      </c>
      <c r="B123" t="s">
        <v>184</v>
      </c>
      <c r="C123" s="2" t="s">
        <v>1072</v>
      </c>
      <c r="D123" s="2" t="s">
        <v>1075</v>
      </c>
      <c r="E123" s="2" t="s">
        <v>332</v>
      </c>
      <c r="F123" s="2" t="s">
        <v>331</v>
      </c>
      <c r="G123" t="s">
        <v>18</v>
      </c>
      <c r="H123" s="2" t="s">
        <v>187</v>
      </c>
      <c r="I123" s="2" t="s">
        <v>1</v>
      </c>
      <c r="J123" s="2" t="s">
        <v>1121</v>
      </c>
      <c r="K123" s="2" t="s">
        <v>194</v>
      </c>
      <c r="L123" s="2" t="s">
        <v>2</v>
      </c>
      <c r="M123" t="s">
        <v>18</v>
      </c>
      <c r="N123" s="2" t="s">
        <v>187</v>
      </c>
      <c r="O123" s="2" t="s">
        <v>1</v>
      </c>
      <c r="P123" t="s">
        <v>18</v>
      </c>
      <c r="Q123" s="2" t="s">
        <v>187</v>
      </c>
      <c r="R123" s="2" t="s">
        <v>1</v>
      </c>
      <c r="S123" t="s">
        <v>18</v>
      </c>
      <c r="T123" t="s">
        <v>187</v>
      </c>
      <c r="U123" s="2" t="s">
        <v>1</v>
      </c>
      <c r="V123" t="s">
        <v>18</v>
      </c>
      <c r="W123" t="s">
        <v>187</v>
      </c>
      <c r="X123" s="2" t="s">
        <v>1</v>
      </c>
      <c r="Y123">
        <f t="shared" si="1"/>
        <v>713</v>
      </c>
    </row>
    <row r="124" spans="1:25" ht="300" x14ac:dyDescent="0.25">
      <c r="A124" t="s">
        <v>183</v>
      </c>
      <c r="B124" t="s">
        <v>184</v>
      </c>
      <c r="C124" s="2" t="s">
        <v>1072</v>
      </c>
      <c r="D124" s="2" t="s">
        <v>1075</v>
      </c>
      <c r="E124" s="2" t="s">
        <v>333</v>
      </c>
      <c r="F124" s="2" t="s">
        <v>331</v>
      </c>
      <c r="G124" t="s">
        <v>23</v>
      </c>
      <c r="H124" s="2" t="s">
        <v>194</v>
      </c>
      <c r="I124" s="2" t="s">
        <v>1</v>
      </c>
      <c r="J124" s="2" t="s">
        <v>1122</v>
      </c>
      <c r="K124" s="2" t="s">
        <v>187</v>
      </c>
      <c r="L124" s="2" t="s">
        <v>2</v>
      </c>
      <c r="M124" t="s">
        <v>18</v>
      </c>
      <c r="N124" s="2" t="s">
        <v>187</v>
      </c>
      <c r="O124" s="2" t="s">
        <v>1</v>
      </c>
      <c r="P124" t="s">
        <v>18</v>
      </c>
      <c r="Q124" s="2" t="s">
        <v>187</v>
      </c>
      <c r="R124" s="2" t="s">
        <v>1</v>
      </c>
      <c r="S124" t="s">
        <v>18</v>
      </c>
      <c r="T124" t="s">
        <v>187</v>
      </c>
      <c r="U124" s="2" t="s">
        <v>1</v>
      </c>
      <c r="V124" t="s">
        <v>18</v>
      </c>
      <c r="W124" t="s">
        <v>187</v>
      </c>
      <c r="X124" s="2" t="s">
        <v>1</v>
      </c>
      <c r="Y124">
        <f t="shared" si="1"/>
        <v>710</v>
      </c>
    </row>
    <row r="125" spans="1:25" ht="270" x14ac:dyDescent="0.25">
      <c r="A125" t="s">
        <v>183</v>
      </c>
      <c r="B125" t="s">
        <v>184</v>
      </c>
      <c r="C125" s="2" t="s">
        <v>1072</v>
      </c>
      <c r="D125" s="2" t="s">
        <v>1075</v>
      </c>
      <c r="E125" s="2" t="s">
        <v>334</v>
      </c>
      <c r="F125" s="2" t="s">
        <v>331</v>
      </c>
      <c r="G125" t="s">
        <v>18</v>
      </c>
      <c r="H125" s="2" t="s">
        <v>187</v>
      </c>
      <c r="I125" s="2" t="s">
        <v>1</v>
      </c>
      <c r="J125" s="2" t="s">
        <v>1123</v>
      </c>
      <c r="K125" s="2" t="s">
        <v>187</v>
      </c>
      <c r="L125" s="2" t="s">
        <v>2</v>
      </c>
      <c r="M125" t="s">
        <v>18</v>
      </c>
      <c r="N125" s="2" t="s">
        <v>187</v>
      </c>
      <c r="O125" s="2" t="s">
        <v>1</v>
      </c>
      <c r="P125" t="s">
        <v>18</v>
      </c>
      <c r="Q125" s="2" t="s">
        <v>187</v>
      </c>
      <c r="R125" s="2" t="s">
        <v>1</v>
      </c>
      <c r="S125" t="s">
        <v>18</v>
      </c>
      <c r="T125" t="s">
        <v>187</v>
      </c>
      <c r="U125" s="2" t="s">
        <v>1</v>
      </c>
      <c r="V125" t="s">
        <v>18</v>
      </c>
      <c r="W125" t="s">
        <v>187</v>
      </c>
      <c r="X125" s="2" t="s">
        <v>1</v>
      </c>
      <c r="Y125">
        <f t="shared" si="1"/>
        <v>704</v>
      </c>
    </row>
    <row r="126" spans="1:25" ht="240" x14ac:dyDescent="0.25">
      <c r="A126" t="s">
        <v>183</v>
      </c>
      <c r="B126" t="s">
        <v>184</v>
      </c>
      <c r="C126" s="2" t="s">
        <v>1072</v>
      </c>
      <c r="D126" s="2" t="s">
        <v>1075</v>
      </c>
      <c r="E126" s="2" t="s">
        <v>335</v>
      </c>
      <c r="F126" s="2" t="s">
        <v>331</v>
      </c>
      <c r="G126" t="s">
        <v>18</v>
      </c>
      <c r="H126" s="2" t="s">
        <v>187</v>
      </c>
      <c r="I126" s="2" t="s">
        <v>1</v>
      </c>
      <c r="J126" t="s">
        <v>18</v>
      </c>
      <c r="K126" s="2" t="s">
        <v>187</v>
      </c>
      <c r="L126" s="2" t="s">
        <v>1</v>
      </c>
      <c r="M126" t="s">
        <v>18</v>
      </c>
      <c r="N126" s="2" t="s">
        <v>187</v>
      </c>
      <c r="O126" s="2" t="s">
        <v>1</v>
      </c>
      <c r="P126" t="s">
        <v>18</v>
      </c>
      <c r="Q126" s="2" t="s">
        <v>187</v>
      </c>
      <c r="R126" s="2" t="s">
        <v>1</v>
      </c>
      <c r="S126" t="s">
        <v>18</v>
      </c>
      <c r="T126" t="s">
        <v>187</v>
      </c>
      <c r="U126" s="2" t="s">
        <v>1</v>
      </c>
      <c r="V126" t="s">
        <v>18</v>
      </c>
      <c r="W126" t="s">
        <v>187</v>
      </c>
      <c r="X126" s="2" t="s">
        <v>1</v>
      </c>
      <c r="Y126">
        <f t="shared" si="1"/>
        <v>703</v>
      </c>
    </row>
    <row r="127" spans="1:25" ht="240" hidden="1" x14ac:dyDescent="0.25">
      <c r="A127" t="s">
        <v>183</v>
      </c>
      <c r="B127" t="s">
        <v>184</v>
      </c>
      <c r="C127" s="2" t="s">
        <v>1072</v>
      </c>
      <c r="D127" s="2" t="s">
        <v>1075</v>
      </c>
      <c r="E127" s="2" t="s">
        <v>336</v>
      </c>
      <c r="F127" s="2" t="s">
        <v>337</v>
      </c>
      <c r="G127" t="s">
        <v>18</v>
      </c>
      <c r="H127" s="2" t="s">
        <v>187</v>
      </c>
      <c r="I127" s="2" t="s">
        <v>1</v>
      </c>
      <c r="J127" t="s">
        <v>18</v>
      </c>
      <c r="K127" s="2" t="s">
        <v>187</v>
      </c>
      <c r="L127" s="2" t="s">
        <v>1</v>
      </c>
      <c r="M127" t="s">
        <v>21</v>
      </c>
      <c r="N127" s="2" t="s">
        <v>194</v>
      </c>
      <c r="O127" s="2" t="s">
        <v>1</v>
      </c>
      <c r="P127" t="s">
        <v>18</v>
      </c>
      <c r="Q127" s="2" t="s">
        <v>187</v>
      </c>
      <c r="R127" s="2" t="s">
        <v>1</v>
      </c>
      <c r="S127" t="s">
        <v>18</v>
      </c>
      <c r="T127" t="s">
        <v>187</v>
      </c>
      <c r="U127" s="2" t="s">
        <v>1</v>
      </c>
      <c r="V127" t="s">
        <v>18</v>
      </c>
      <c r="W127" t="s">
        <v>187</v>
      </c>
      <c r="X127" s="2" t="s">
        <v>1</v>
      </c>
      <c r="Y127">
        <f t="shared" si="1"/>
        <v>706</v>
      </c>
    </row>
    <row r="128" spans="1:25" ht="315" x14ac:dyDescent="0.25">
      <c r="A128" t="s">
        <v>183</v>
      </c>
      <c r="B128" t="s">
        <v>184</v>
      </c>
      <c r="C128" s="2" t="s">
        <v>1072</v>
      </c>
      <c r="D128" s="2" t="s">
        <v>1075</v>
      </c>
      <c r="E128" s="2" t="s">
        <v>338</v>
      </c>
      <c r="F128" s="2" t="s">
        <v>337</v>
      </c>
      <c r="G128" t="s">
        <v>18</v>
      </c>
      <c r="H128" s="2" t="s">
        <v>187</v>
      </c>
      <c r="I128" s="2" t="s">
        <v>1</v>
      </c>
      <c r="J128" s="2" t="s">
        <v>1124</v>
      </c>
      <c r="K128" s="2" t="s">
        <v>187</v>
      </c>
      <c r="L128" s="2" t="s">
        <v>2</v>
      </c>
      <c r="M128" t="s">
        <v>18</v>
      </c>
      <c r="N128" s="2" t="s">
        <v>187</v>
      </c>
      <c r="O128" s="2" t="s">
        <v>1</v>
      </c>
      <c r="P128" t="s">
        <v>18</v>
      </c>
      <c r="Q128" s="2" t="s">
        <v>187</v>
      </c>
      <c r="R128" s="2" t="s">
        <v>1</v>
      </c>
      <c r="S128" t="s">
        <v>18</v>
      </c>
      <c r="T128" t="s">
        <v>187</v>
      </c>
      <c r="U128" s="2" t="s">
        <v>1</v>
      </c>
      <c r="V128" t="s">
        <v>18</v>
      </c>
      <c r="W128" t="s">
        <v>187</v>
      </c>
      <c r="X128" s="2" t="s">
        <v>1</v>
      </c>
      <c r="Y128">
        <f t="shared" si="1"/>
        <v>703</v>
      </c>
    </row>
    <row r="129" spans="1:25" ht="240" x14ac:dyDescent="0.25">
      <c r="A129" t="s">
        <v>183</v>
      </c>
      <c r="B129" t="s">
        <v>184</v>
      </c>
      <c r="C129" s="2" t="s">
        <v>1072</v>
      </c>
      <c r="D129" s="2" t="s">
        <v>1075</v>
      </c>
      <c r="E129" s="2" t="s">
        <v>339</v>
      </c>
      <c r="F129" s="2" t="s">
        <v>337</v>
      </c>
      <c r="G129" t="s">
        <v>18</v>
      </c>
      <c r="H129" s="2" t="s">
        <v>187</v>
      </c>
      <c r="I129" s="2" t="s">
        <v>1</v>
      </c>
      <c r="J129" s="2" t="s">
        <v>1082</v>
      </c>
      <c r="K129" s="2" t="s">
        <v>194</v>
      </c>
      <c r="L129" s="2" t="s">
        <v>1</v>
      </c>
      <c r="M129" t="s">
        <v>18</v>
      </c>
      <c r="N129" s="2" t="s">
        <v>187</v>
      </c>
      <c r="O129" s="2" t="s">
        <v>1</v>
      </c>
      <c r="P129" t="s">
        <v>18</v>
      </c>
      <c r="Q129" s="2" t="s">
        <v>187</v>
      </c>
      <c r="R129" s="2" t="s">
        <v>1</v>
      </c>
      <c r="S129" t="s">
        <v>18</v>
      </c>
      <c r="T129" t="s">
        <v>187</v>
      </c>
      <c r="U129" s="2" t="s">
        <v>1</v>
      </c>
      <c r="V129" t="s">
        <v>18</v>
      </c>
      <c r="W129" t="s">
        <v>187</v>
      </c>
      <c r="X129" s="2" t="s">
        <v>1</v>
      </c>
      <c r="Y129">
        <f t="shared" si="1"/>
        <v>693</v>
      </c>
    </row>
    <row r="130" spans="1:25" ht="240" x14ac:dyDescent="0.25">
      <c r="A130" t="s">
        <v>183</v>
      </c>
      <c r="B130" t="s">
        <v>184</v>
      </c>
      <c r="C130" s="2" t="s">
        <v>1072</v>
      </c>
      <c r="D130" s="2" t="s">
        <v>1075</v>
      </c>
      <c r="E130" s="2" t="s">
        <v>340</v>
      </c>
      <c r="F130" s="2" t="s">
        <v>337</v>
      </c>
      <c r="G130" t="s">
        <v>18</v>
      </c>
      <c r="H130" s="2" t="s">
        <v>187</v>
      </c>
      <c r="I130" s="2" t="s">
        <v>1</v>
      </c>
      <c r="J130" s="2" t="s">
        <v>1125</v>
      </c>
      <c r="K130" s="2" t="s">
        <v>194</v>
      </c>
      <c r="L130" s="2" t="s">
        <v>1</v>
      </c>
      <c r="M130" t="s">
        <v>18</v>
      </c>
      <c r="N130" s="2" t="s">
        <v>187</v>
      </c>
      <c r="O130" s="2" t="s">
        <v>1</v>
      </c>
      <c r="P130" t="s">
        <v>18</v>
      </c>
      <c r="Q130" s="2" t="s">
        <v>187</v>
      </c>
      <c r="R130" s="2" t="s">
        <v>1</v>
      </c>
      <c r="S130" t="s">
        <v>18</v>
      </c>
      <c r="T130" t="s">
        <v>187</v>
      </c>
      <c r="U130" s="2" t="s">
        <v>1</v>
      </c>
      <c r="V130" t="s">
        <v>18</v>
      </c>
      <c r="W130" t="s">
        <v>187</v>
      </c>
      <c r="X130" s="2" t="s">
        <v>1</v>
      </c>
      <c r="Y130">
        <f t="shared" si="1"/>
        <v>704</v>
      </c>
    </row>
    <row r="131" spans="1:25" ht="405" x14ac:dyDescent="0.25">
      <c r="A131" t="s">
        <v>183</v>
      </c>
      <c r="B131" t="s">
        <v>184</v>
      </c>
      <c r="C131" s="2" t="s">
        <v>1072</v>
      </c>
      <c r="D131" s="2" t="s">
        <v>1075</v>
      </c>
      <c r="E131" s="2" t="s">
        <v>341</v>
      </c>
      <c r="F131" s="2" t="s">
        <v>337</v>
      </c>
      <c r="G131" t="s">
        <v>21</v>
      </c>
      <c r="H131" s="2" t="s">
        <v>194</v>
      </c>
      <c r="I131" s="2" t="s">
        <v>1</v>
      </c>
      <c r="J131" s="2" t="s">
        <v>1126</v>
      </c>
      <c r="K131" s="2" t="s">
        <v>187</v>
      </c>
      <c r="L131" s="2" t="s">
        <v>2</v>
      </c>
      <c r="M131" t="s">
        <v>18</v>
      </c>
      <c r="N131" s="2" t="s">
        <v>187</v>
      </c>
      <c r="O131" s="2" t="s">
        <v>1</v>
      </c>
      <c r="P131" t="s">
        <v>18</v>
      </c>
      <c r="Q131" s="2" t="s">
        <v>187</v>
      </c>
      <c r="R131" s="2" t="s">
        <v>1</v>
      </c>
      <c r="S131" t="s">
        <v>21</v>
      </c>
      <c r="T131" t="s">
        <v>194</v>
      </c>
      <c r="U131" s="2" t="s">
        <v>1</v>
      </c>
      <c r="V131" t="s">
        <v>18</v>
      </c>
      <c r="W131" t="s">
        <v>187</v>
      </c>
      <c r="X131" s="2" t="s">
        <v>1</v>
      </c>
      <c r="Y131">
        <f t="shared" ref="Y131:Y146" si="2">LEN(D131)+LEN(E131)</f>
        <v>718</v>
      </c>
    </row>
    <row r="132" spans="1:25" ht="315" x14ac:dyDescent="0.25">
      <c r="A132" t="s">
        <v>183</v>
      </c>
      <c r="B132" t="s">
        <v>184</v>
      </c>
      <c r="C132" s="2" t="s">
        <v>1072</v>
      </c>
      <c r="D132" s="2" t="s">
        <v>1075</v>
      </c>
      <c r="E132" s="2" t="s">
        <v>342</v>
      </c>
      <c r="F132" s="2" t="s">
        <v>343</v>
      </c>
      <c r="G132" t="s">
        <v>18</v>
      </c>
      <c r="H132" s="2" t="s">
        <v>187</v>
      </c>
      <c r="I132" s="2" t="s">
        <v>1</v>
      </c>
      <c r="J132" s="2" t="s">
        <v>1127</v>
      </c>
      <c r="K132" s="2" t="s">
        <v>187</v>
      </c>
      <c r="L132" s="2" t="s">
        <v>2</v>
      </c>
      <c r="M132" t="s">
        <v>18</v>
      </c>
      <c r="N132" s="2" t="s">
        <v>187</v>
      </c>
      <c r="O132" s="2" t="s">
        <v>1</v>
      </c>
      <c r="P132" t="s">
        <v>18</v>
      </c>
      <c r="Q132" s="2" t="s">
        <v>187</v>
      </c>
      <c r="R132" s="2" t="s">
        <v>1</v>
      </c>
      <c r="S132" t="s">
        <v>18</v>
      </c>
      <c r="T132" t="s">
        <v>187</v>
      </c>
      <c r="U132" s="2" t="s">
        <v>1</v>
      </c>
      <c r="V132" t="s">
        <v>18</v>
      </c>
      <c r="W132" t="s">
        <v>187</v>
      </c>
      <c r="X132" s="2" t="s">
        <v>1</v>
      </c>
      <c r="Y132">
        <f t="shared" si="2"/>
        <v>703</v>
      </c>
    </row>
    <row r="133" spans="1:25" ht="240" x14ac:dyDescent="0.25">
      <c r="A133" t="s">
        <v>183</v>
      </c>
      <c r="B133" t="s">
        <v>184</v>
      </c>
      <c r="C133" s="2" t="s">
        <v>1072</v>
      </c>
      <c r="D133" s="2" t="s">
        <v>1075</v>
      </c>
      <c r="E133" s="2" t="s">
        <v>344</v>
      </c>
      <c r="F133" s="2" t="s">
        <v>343</v>
      </c>
      <c r="G133" t="s">
        <v>18</v>
      </c>
      <c r="H133" s="2" t="s">
        <v>187</v>
      </c>
      <c r="I133" s="2" t="s">
        <v>1</v>
      </c>
      <c r="J133" t="s">
        <v>18</v>
      </c>
      <c r="K133" s="2" t="s">
        <v>187</v>
      </c>
      <c r="L133" s="2" t="s">
        <v>1</v>
      </c>
      <c r="M133" t="s">
        <v>18</v>
      </c>
      <c r="N133" s="2" t="s">
        <v>187</v>
      </c>
      <c r="O133" s="2" t="s">
        <v>1</v>
      </c>
      <c r="P133" t="s">
        <v>18</v>
      </c>
      <c r="Q133" s="2" t="s">
        <v>187</v>
      </c>
      <c r="R133" s="2" t="s">
        <v>1</v>
      </c>
      <c r="S133" t="s">
        <v>18</v>
      </c>
      <c r="T133" t="s">
        <v>187</v>
      </c>
      <c r="U133" s="2" t="s">
        <v>1</v>
      </c>
      <c r="V133" t="s">
        <v>18</v>
      </c>
      <c r="W133" t="s">
        <v>187</v>
      </c>
      <c r="X133" s="2" t="s">
        <v>1</v>
      </c>
      <c r="Y133">
        <f t="shared" si="2"/>
        <v>704</v>
      </c>
    </row>
    <row r="134" spans="1:25" ht="240" x14ac:dyDescent="0.25">
      <c r="A134" t="s">
        <v>183</v>
      </c>
      <c r="B134" t="s">
        <v>184</v>
      </c>
      <c r="C134" s="2" t="s">
        <v>1072</v>
      </c>
      <c r="D134" s="2" t="s">
        <v>1075</v>
      </c>
      <c r="E134" s="2" t="s">
        <v>345</v>
      </c>
      <c r="F134" s="2" t="s">
        <v>343</v>
      </c>
      <c r="G134" t="s">
        <v>18</v>
      </c>
      <c r="H134" s="2" t="s">
        <v>187</v>
      </c>
      <c r="I134" s="2" t="s">
        <v>1</v>
      </c>
      <c r="J134" s="2" t="s">
        <v>1128</v>
      </c>
      <c r="K134" s="2" t="s">
        <v>187</v>
      </c>
      <c r="L134" s="2" t="s">
        <v>1</v>
      </c>
      <c r="M134" t="s">
        <v>18</v>
      </c>
      <c r="N134" s="2" t="s">
        <v>187</v>
      </c>
      <c r="O134" s="2" t="s">
        <v>1</v>
      </c>
      <c r="P134" t="s">
        <v>18</v>
      </c>
      <c r="Q134" s="2" t="s">
        <v>187</v>
      </c>
      <c r="R134" s="2" t="s">
        <v>1</v>
      </c>
      <c r="S134" t="s">
        <v>18</v>
      </c>
      <c r="T134" t="s">
        <v>187</v>
      </c>
      <c r="U134" s="2" t="s">
        <v>1</v>
      </c>
      <c r="V134" t="s">
        <v>18</v>
      </c>
      <c r="W134" t="s">
        <v>187</v>
      </c>
      <c r="X134" s="2" t="s">
        <v>1</v>
      </c>
      <c r="Y134">
        <f t="shared" si="2"/>
        <v>695</v>
      </c>
    </row>
    <row r="135" spans="1:25" ht="240" x14ac:dyDescent="0.25">
      <c r="A135" t="s">
        <v>183</v>
      </c>
      <c r="B135" t="s">
        <v>184</v>
      </c>
      <c r="C135" s="2" t="s">
        <v>1072</v>
      </c>
      <c r="D135" s="2" t="s">
        <v>1075</v>
      </c>
      <c r="E135" s="2" t="s">
        <v>346</v>
      </c>
      <c r="F135" s="2" t="s">
        <v>343</v>
      </c>
      <c r="G135" t="s">
        <v>18</v>
      </c>
      <c r="H135" s="2" t="s">
        <v>187</v>
      </c>
      <c r="I135" s="2" t="s">
        <v>1</v>
      </c>
      <c r="J135" t="s">
        <v>181</v>
      </c>
      <c r="K135" s="2" t="s">
        <v>187</v>
      </c>
      <c r="L135" s="2" t="s">
        <v>1</v>
      </c>
      <c r="M135" t="s">
        <v>18</v>
      </c>
      <c r="N135" s="2" t="s">
        <v>187</v>
      </c>
      <c r="O135" s="2" t="s">
        <v>1</v>
      </c>
      <c r="P135" t="s">
        <v>18</v>
      </c>
      <c r="Q135" s="2" t="s">
        <v>187</v>
      </c>
      <c r="R135" s="2" t="s">
        <v>1</v>
      </c>
      <c r="S135" t="s">
        <v>18</v>
      </c>
      <c r="T135" t="s">
        <v>187</v>
      </c>
      <c r="U135" s="2" t="s">
        <v>1</v>
      </c>
      <c r="V135" t="s">
        <v>18</v>
      </c>
      <c r="W135" t="s">
        <v>187</v>
      </c>
      <c r="X135" s="2" t="s">
        <v>1</v>
      </c>
      <c r="Y135">
        <f t="shared" si="2"/>
        <v>698</v>
      </c>
    </row>
    <row r="136" spans="1:25" ht="240" x14ac:dyDescent="0.25">
      <c r="A136" t="s">
        <v>183</v>
      </c>
      <c r="B136" t="s">
        <v>184</v>
      </c>
      <c r="C136" s="2" t="s">
        <v>1072</v>
      </c>
      <c r="D136" s="2" t="s">
        <v>1075</v>
      </c>
      <c r="E136" s="2" t="s">
        <v>347</v>
      </c>
      <c r="F136" s="2" t="s">
        <v>343</v>
      </c>
      <c r="G136" t="s">
        <v>18</v>
      </c>
      <c r="H136" s="2" t="s">
        <v>187</v>
      </c>
      <c r="I136" s="2" t="s">
        <v>1</v>
      </c>
      <c r="J136" t="s">
        <v>18</v>
      </c>
      <c r="K136" s="2" t="s">
        <v>187</v>
      </c>
      <c r="L136" s="2" t="s">
        <v>1</v>
      </c>
      <c r="M136" t="s">
        <v>18</v>
      </c>
      <c r="N136" s="2" t="s">
        <v>187</v>
      </c>
      <c r="O136" s="2" t="s">
        <v>1</v>
      </c>
      <c r="P136" t="s">
        <v>18</v>
      </c>
      <c r="Q136" s="2" t="s">
        <v>187</v>
      </c>
      <c r="R136" s="2" t="s">
        <v>1</v>
      </c>
      <c r="S136" t="s">
        <v>18</v>
      </c>
      <c r="T136" t="s">
        <v>187</v>
      </c>
      <c r="U136" s="2" t="s">
        <v>1</v>
      </c>
      <c r="V136" t="s">
        <v>18</v>
      </c>
      <c r="W136" t="s">
        <v>187</v>
      </c>
      <c r="X136" s="2" t="s">
        <v>1</v>
      </c>
      <c r="Y136">
        <f t="shared" si="2"/>
        <v>712</v>
      </c>
    </row>
    <row r="137" spans="1:25" ht="240" x14ac:dyDescent="0.25">
      <c r="A137" t="s">
        <v>183</v>
      </c>
      <c r="B137" t="s">
        <v>184</v>
      </c>
      <c r="C137" s="2" t="s">
        <v>1072</v>
      </c>
      <c r="D137" s="2" t="s">
        <v>1075</v>
      </c>
      <c r="E137" s="2" t="s">
        <v>348</v>
      </c>
      <c r="F137" s="2" t="s">
        <v>249</v>
      </c>
      <c r="G137" t="s">
        <v>21</v>
      </c>
      <c r="H137" s="2" t="s">
        <v>187</v>
      </c>
      <c r="I137" s="2" t="s">
        <v>1</v>
      </c>
      <c r="J137" s="2" t="s">
        <v>23</v>
      </c>
      <c r="K137" s="2" t="s">
        <v>194</v>
      </c>
      <c r="L137" s="2" t="s">
        <v>1</v>
      </c>
      <c r="M137" t="s">
        <v>21</v>
      </c>
      <c r="N137" s="2" t="s">
        <v>187</v>
      </c>
      <c r="O137" s="2" t="s">
        <v>1</v>
      </c>
      <c r="P137" t="s">
        <v>18</v>
      </c>
      <c r="Q137" s="2" t="s">
        <v>194</v>
      </c>
      <c r="R137" s="2" t="s">
        <v>1</v>
      </c>
      <c r="S137" t="s">
        <v>21</v>
      </c>
      <c r="T137" t="s">
        <v>187</v>
      </c>
      <c r="U137" s="2" t="s">
        <v>1</v>
      </c>
      <c r="V137" t="s">
        <v>18</v>
      </c>
      <c r="W137" t="s">
        <v>194</v>
      </c>
      <c r="X137" s="2" t="s">
        <v>1</v>
      </c>
      <c r="Y137">
        <f t="shared" si="2"/>
        <v>726</v>
      </c>
    </row>
    <row r="138" spans="1:25" ht="255" x14ac:dyDescent="0.25">
      <c r="A138" t="s">
        <v>183</v>
      </c>
      <c r="B138" t="s">
        <v>184</v>
      </c>
      <c r="C138" s="2" t="s">
        <v>1072</v>
      </c>
      <c r="D138" s="2" t="s">
        <v>1075</v>
      </c>
      <c r="E138" s="2" t="s">
        <v>349</v>
      </c>
      <c r="F138" s="2" t="s">
        <v>296</v>
      </c>
      <c r="G138" t="s">
        <v>23</v>
      </c>
      <c r="H138" s="2" t="s">
        <v>187</v>
      </c>
      <c r="I138" s="2" t="s">
        <v>1</v>
      </c>
      <c r="J138" s="2" t="s">
        <v>1129</v>
      </c>
      <c r="K138" s="2" t="s">
        <v>187</v>
      </c>
      <c r="L138" s="2" t="s">
        <v>2</v>
      </c>
      <c r="M138" t="s">
        <v>23</v>
      </c>
      <c r="N138" s="2" t="s">
        <v>187</v>
      </c>
      <c r="O138" s="2" t="s">
        <v>1</v>
      </c>
      <c r="P138" t="s">
        <v>18</v>
      </c>
      <c r="Q138" s="2" t="s">
        <v>194</v>
      </c>
      <c r="R138" s="2" t="s">
        <v>1</v>
      </c>
      <c r="S138" t="s">
        <v>23</v>
      </c>
      <c r="T138" s="2" t="s">
        <v>187</v>
      </c>
      <c r="U138" s="2" t="s">
        <v>1</v>
      </c>
      <c r="V138" t="s">
        <v>18</v>
      </c>
      <c r="W138" t="s">
        <v>194</v>
      </c>
      <c r="X138" s="2" t="s">
        <v>1</v>
      </c>
      <c r="Y138">
        <f t="shared" si="2"/>
        <v>745</v>
      </c>
    </row>
    <row r="139" spans="1:25" ht="255" x14ac:dyDescent="0.25">
      <c r="A139" t="s">
        <v>183</v>
      </c>
      <c r="B139" t="s">
        <v>184</v>
      </c>
      <c r="C139" s="2" t="s">
        <v>1072</v>
      </c>
      <c r="D139" s="2" t="s">
        <v>1075</v>
      </c>
      <c r="E139" s="2" t="s">
        <v>350</v>
      </c>
      <c r="F139" s="2" t="s">
        <v>313</v>
      </c>
      <c r="G139" t="s">
        <v>18</v>
      </c>
      <c r="H139" s="2" t="s">
        <v>187</v>
      </c>
      <c r="I139" s="2" t="s">
        <v>1</v>
      </c>
      <c r="J139" s="2" t="s">
        <v>1130</v>
      </c>
      <c r="K139" s="2" t="s">
        <v>187</v>
      </c>
      <c r="L139" s="2" t="s">
        <v>2</v>
      </c>
      <c r="M139" t="s">
        <v>21</v>
      </c>
      <c r="N139" s="2" t="s">
        <v>187</v>
      </c>
      <c r="O139" s="2" t="s">
        <v>1</v>
      </c>
      <c r="P139" t="s">
        <v>18</v>
      </c>
      <c r="Q139" s="2" t="s">
        <v>187</v>
      </c>
      <c r="R139" s="2" t="s">
        <v>1</v>
      </c>
      <c r="S139" t="s">
        <v>21</v>
      </c>
      <c r="T139" s="2" t="s">
        <v>187</v>
      </c>
      <c r="U139" s="2" t="s">
        <v>1</v>
      </c>
      <c r="V139" t="s">
        <v>18</v>
      </c>
      <c r="W139" s="2" t="s">
        <v>187</v>
      </c>
      <c r="X139" s="2" t="s">
        <v>1</v>
      </c>
      <c r="Y139">
        <f t="shared" si="2"/>
        <v>748</v>
      </c>
    </row>
    <row r="140" spans="1:25" ht="300" x14ac:dyDescent="0.25">
      <c r="A140" t="s">
        <v>183</v>
      </c>
      <c r="B140" t="s">
        <v>184</v>
      </c>
      <c r="C140" s="2" t="s">
        <v>1072</v>
      </c>
      <c r="D140" s="2" t="s">
        <v>1075</v>
      </c>
      <c r="E140" s="2" t="s">
        <v>351</v>
      </c>
      <c r="F140" s="2" t="s">
        <v>331</v>
      </c>
      <c r="G140" t="s">
        <v>18</v>
      </c>
      <c r="H140" s="2" t="s">
        <v>187</v>
      </c>
      <c r="I140" s="2" t="s">
        <v>1</v>
      </c>
      <c r="J140" s="2" t="s">
        <v>1131</v>
      </c>
      <c r="K140" s="2" t="s">
        <v>187</v>
      </c>
      <c r="L140" s="2" t="s">
        <v>2</v>
      </c>
      <c r="M140" t="s">
        <v>18</v>
      </c>
      <c r="N140" s="2" t="s">
        <v>187</v>
      </c>
      <c r="O140" s="2" t="s">
        <v>1</v>
      </c>
      <c r="P140" t="s">
        <v>18</v>
      </c>
      <c r="Q140" s="2" t="s">
        <v>187</v>
      </c>
      <c r="R140" s="2" t="s">
        <v>1</v>
      </c>
      <c r="S140" t="s">
        <v>18</v>
      </c>
      <c r="T140" t="s">
        <v>187</v>
      </c>
      <c r="U140" s="2" t="s">
        <v>1</v>
      </c>
      <c r="V140" t="s">
        <v>18</v>
      </c>
      <c r="W140" t="s">
        <v>187</v>
      </c>
      <c r="X140" s="2" t="s">
        <v>1</v>
      </c>
      <c r="Y140">
        <f t="shared" si="2"/>
        <v>736</v>
      </c>
    </row>
    <row r="141" spans="1:25" ht="240" hidden="1" x14ac:dyDescent="0.25">
      <c r="A141" t="s">
        <v>183</v>
      </c>
      <c r="B141" t="s">
        <v>184</v>
      </c>
      <c r="C141" s="2" t="s">
        <v>1072</v>
      </c>
      <c r="D141" s="2" t="s">
        <v>1075</v>
      </c>
      <c r="E141" s="2" t="s">
        <v>352</v>
      </c>
      <c r="F141" s="2" t="s">
        <v>203</v>
      </c>
      <c r="G141" t="s">
        <v>23</v>
      </c>
      <c r="H141" s="2" t="s">
        <v>194</v>
      </c>
      <c r="I141" s="2" t="s">
        <v>1</v>
      </c>
      <c r="J141" s="2" t="s">
        <v>23</v>
      </c>
      <c r="K141" s="2" t="s">
        <v>194</v>
      </c>
      <c r="L141" s="2" t="s">
        <v>1</v>
      </c>
      <c r="M141" t="s">
        <v>23</v>
      </c>
      <c r="N141" s="2" t="s">
        <v>194</v>
      </c>
      <c r="O141" s="2" t="s">
        <v>1</v>
      </c>
      <c r="P141" t="s">
        <v>21</v>
      </c>
      <c r="Q141" s="2" t="s">
        <v>194</v>
      </c>
      <c r="R141" s="2" t="s">
        <v>1</v>
      </c>
      <c r="S141" t="s">
        <v>23</v>
      </c>
      <c r="T141" t="s">
        <v>194</v>
      </c>
      <c r="U141" s="2" t="s">
        <v>1</v>
      </c>
      <c r="V141" t="s">
        <v>18</v>
      </c>
      <c r="W141" t="s">
        <v>187</v>
      </c>
      <c r="X141" s="2" t="s">
        <v>1</v>
      </c>
      <c r="Y141">
        <f t="shared" si="2"/>
        <v>727</v>
      </c>
    </row>
    <row r="142" spans="1:25" ht="240" x14ac:dyDescent="0.25">
      <c r="A142" t="s">
        <v>183</v>
      </c>
      <c r="B142" t="s">
        <v>184</v>
      </c>
      <c r="C142" s="2" t="s">
        <v>1072</v>
      </c>
      <c r="D142" s="2" t="s">
        <v>1075</v>
      </c>
      <c r="E142" s="2" t="s">
        <v>353</v>
      </c>
      <c r="F142" s="2" t="s">
        <v>243</v>
      </c>
      <c r="G142" t="s">
        <v>23</v>
      </c>
      <c r="H142" s="2" t="s">
        <v>187</v>
      </c>
      <c r="I142" s="2" t="s">
        <v>1</v>
      </c>
      <c r="J142" s="2" t="s">
        <v>1042</v>
      </c>
      <c r="K142" s="2" t="s">
        <v>187</v>
      </c>
      <c r="L142" s="2" t="s">
        <v>1</v>
      </c>
      <c r="M142" t="s">
        <v>23</v>
      </c>
      <c r="N142" s="2" t="s">
        <v>187</v>
      </c>
      <c r="O142" s="2" t="s">
        <v>1</v>
      </c>
      <c r="P142" t="s">
        <v>18</v>
      </c>
      <c r="Q142" s="2" t="s">
        <v>194</v>
      </c>
      <c r="R142" s="2" t="s">
        <v>1</v>
      </c>
      <c r="S142" t="s">
        <v>21</v>
      </c>
      <c r="T142" t="s">
        <v>194</v>
      </c>
      <c r="U142" s="2" t="s">
        <v>1</v>
      </c>
      <c r="V142" t="s">
        <v>18</v>
      </c>
      <c r="W142" t="s">
        <v>194</v>
      </c>
      <c r="X142" s="2" t="s">
        <v>1</v>
      </c>
      <c r="Y142">
        <f t="shared" si="2"/>
        <v>703</v>
      </c>
    </row>
    <row r="143" spans="1:25" ht="240" x14ac:dyDescent="0.25">
      <c r="A143" t="s">
        <v>183</v>
      </c>
      <c r="B143" t="s">
        <v>184</v>
      </c>
      <c r="C143" s="2" t="s">
        <v>1072</v>
      </c>
      <c r="D143" s="2" t="s">
        <v>1075</v>
      </c>
      <c r="E143" s="2" t="s">
        <v>354</v>
      </c>
      <c r="F143" s="2" t="s">
        <v>231</v>
      </c>
      <c r="G143" t="s">
        <v>23</v>
      </c>
      <c r="H143" s="2" t="s">
        <v>187</v>
      </c>
      <c r="I143" s="2" t="s">
        <v>1</v>
      </c>
      <c r="J143" t="s">
        <v>18</v>
      </c>
      <c r="K143" s="2" t="s">
        <v>187</v>
      </c>
      <c r="L143" s="2" t="s">
        <v>1</v>
      </c>
      <c r="M143" t="s">
        <v>18</v>
      </c>
      <c r="N143" s="2" t="s">
        <v>187</v>
      </c>
      <c r="O143" s="2" t="s">
        <v>1</v>
      </c>
      <c r="P143" t="s">
        <v>18</v>
      </c>
      <c r="Q143" s="2" t="s">
        <v>187</v>
      </c>
      <c r="R143" s="2" t="s">
        <v>1</v>
      </c>
      <c r="S143" t="s">
        <v>23</v>
      </c>
      <c r="T143" s="2" t="s">
        <v>187</v>
      </c>
      <c r="U143" s="2" t="s">
        <v>1</v>
      </c>
      <c r="V143" t="s">
        <v>18</v>
      </c>
      <c r="W143" s="2" t="s">
        <v>187</v>
      </c>
      <c r="X143" s="2" t="s">
        <v>1</v>
      </c>
      <c r="Y143">
        <f t="shared" si="2"/>
        <v>733</v>
      </c>
    </row>
    <row r="144" spans="1:25" ht="300" x14ac:dyDescent="0.25">
      <c r="A144" t="s">
        <v>183</v>
      </c>
      <c r="B144" t="s">
        <v>184</v>
      </c>
      <c r="C144" s="2" t="s">
        <v>1072</v>
      </c>
      <c r="D144" s="2" t="s">
        <v>1075</v>
      </c>
      <c r="E144" s="2" t="s">
        <v>355</v>
      </c>
      <c r="F144" s="2" t="s">
        <v>213</v>
      </c>
      <c r="G144" t="s">
        <v>21</v>
      </c>
      <c r="H144" s="2" t="s">
        <v>187</v>
      </c>
      <c r="I144" s="2" t="s">
        <v>1</v>
      </c>
      <c r="J144" s="2" t="s">
        <v>1132</v>
      </c>
      <c r="K144" s="2" t="s">
        <v>194</v>
      </c>
      <c r="L144" s="2" t="s">
        <v>2</v>
      </c>
      <c r="M144" t="s">
        <v>21</v>
      </c>
      <c r="N144" s="2" t="s">
        <v>187</v>
      </c>
      <c r="O144" s="2" t="s">
        <v>1</v>
      </c>
      <c r="P144" t="s">
        <v>18</v>
      </c>
      <c r="Q144" s="2" t="s">
        <v>194</v>
      </c>
      <c r="R144" s="2" t="s">
        <v>1</v>
      </c>
      <c r="S144" t="s">
        <v>18</v>
      </c>
      <c r="T144" s="2" t="s">
        <v>194</v>
      </c>
      <c r="U144" s="2" t="s">
        <v>1</v>
      </c>
      <c r="V144" t="s">
        <v>18</v>
      </c>
      <c r="W144" t="s">
        <v>194</v>
      </c>
      <c r="X144" s="2" t="s">
        <v>1</v>
      </c>
      <c r="Y144">
        <f t="shared" si="2"/>
        <v>723</v>
      </c>
    </row>
    <row r="145" spans="1:25" ht="300" x14ac:dyDescent="0.25">
      <c r="A145" t="s">
        <v>183</v>
      </c>
      <c r="B145" t="s">
        <v>184</v>
      </c>
      <c r="C145" s="2" t="s">
        <v>1072</v>
      </c>
      <c r="D145" s="2" t="s">
        <v>1075</v>
      </c>
      <c r="E145" s="2" t="s">
        <v>356</v>
      </c>
      <c r="F145" s="2" t="s">
        <v>337</v>
      </c>
      <c r="G145" t="s">
        <v>18</v>
      </c>
      <c r="H145" s="2" t="s">
        <v>187</v>
      </c>
      <c r="I145" s="2" t="s">
        <v>1</v>
      </c>
      <c r="J145" s="2" t="s">
        <v>1133</v>
      </c>
      <c r="K145" s="2" t="s">
        <v>194</v>
      </c>
      <c r="L145" s="2" t="s">
        <v>2</v>
      </c>
      <c r="M145" t="s">
        <v>18</v>
      </c>
      <c r="N145" s="2" t="s">
        <v>187</v>
      </c>
      <c r="O145" s="2" t="s">
        <v>1</v>
      </c>
      <c r="P145" t="s">
        <v>18</v>
      </c>
      <c r="Q145" s="2" t="s">
        <v>187</v>
      </c>
      <c r="R145" s="2" t="s">
        <v>1</v>
      </c>
      <c r="S145" t="s">
        <v>18</v>
      </c>
      <c r="T145" t="s">
        <v>187</v>
      </c>
      <c r="U145" s="2" t="s">
        <v>1</v>
      </c>
      <c r="V145" t="s">
        <v>18</v>
      </c>
      <c r="W145" t="s">
        <v>187</v>
      </c>
      <c r="X145" s="2" t="s">
        <v>1</v>
      </c>
      <c r="Y145">
        <f t="shared" si="2"/>
        <v>730</v>
      </c>
    </row>
    <row r="146" spans="1:25" ht="285" hidden="1" x14ac:dyDescent="0.25">
      <c r="A146" t="s">
        <v>183</v>
      </c>
      <c r="B146" t="s">
        <v>184</v>
      </c>
      <c r="C146" s="2" t="s">
        <v>1072</v>
      </c>
      <c r="D146" s="2" t="s">
        <v>1075</v>
      </c>
      <c r="E146" s="2" t="s">
        <v>357</v>
      </c>
      <c r="F146" s="2" t="s">
        <v>203</v>
      </c>
      <c r="G146" t="s">
        <v>21</v>
      </c>
      <c r="H146" s="2" t="s">
        <v>194</v>
      </c>
      <c r="I146" s="2" t="s">
        <v>1</v>
      </c>
      <c r="J146" s="2" t="s">
        <v>1134</v>
      </c>
      <c r="K146" s="2" t="s">
        <v>187</v>
      </c>
      <c r="L146" s="2" t="s">
        <v>2</v>
      </c>
      <c r="M146" t="s">
        <v>21</v>
      </c>
      <c r="N146" s="2" t="s">
        <v>194</v>
      </c>
      <c r="O146" s="2" t="s">
        <v>1</v>
      </c>
      <c r="P146" t="s">
        <v>18</v>
      </c>
      <c r="Q146" s="2" t="s">
        <v>187</v>
      </c>
      <c r="R146" s="2" t="s">
        <v>1</v>
      </c>
      <c r="S146" t="s">
        <v>23</v>
      </c>
      <c r="T146" t="s">
        <v>194</v>
      </c>
      <c r="U146" s="2" t="s">
        <v>1</v>
      </c>
      <c r="V146" t="s">
        <v>18</v>
      </c>
      <c r="W146" t="s">
        <v>187</v>
      </c>
      <c r="X146" s="2" t="s">
        <v>1</v>
      </c>
      <c r="Y146">
        <f t="shared" si="2"/>
        <v>728</v>
      </c>
    </row>
    <row r="147" spans="1:25" x14ac:dyDescent="0.25">
      <c r="H147" s="2"/>
      <c r="Q147" s="2"/>
      <c r="T147" s="2"/>
    </row>
    <row r="212" spans="14:14" x14ac:dyDescent="0.25">
      <c r="N212" s="2"/>
    </row>
    <row r="213" spans="14:14" x14ac:dyDescent="0.25">
      <c r="N213" s="2"/>
    </row>
  </sheetData>
  <autoFilter ref="A1:Y146" xr:uid="{49AEA296-3404-47FC-9EE4-9C56EDB4A41C}">
    <filterColumn colId="13">
      <filters>
        <filter val="expected"/>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B1C6D-2F27-432F-AE20-D14A872DA871}">
  <dimension ref="A1:Y146"/>
  <sheetViews>
    <sheetView topLeftCell="A144" workbookViewId="0">
      <selection activeCell="O146" sqref="O146"/>
    </sheetView>
  </sheetViews>
  <sheetFormatPr defaultRowHeight="15" x14ac:dyDescent="0.25"/>
  <cols>
    <col min="3" max="3" width="56.28515625" customWidth="1"/>
    <col min="4" max="4" width="54.5703125" customWidth="1"/>
    <col min="5" max="5" width="38.28515625" customWidth="1"/>
    <col min="6" max="6" width="25" customWidth="1"/>
    <col min="7" max="7" width="24.28515625" customWidth="1"/>
    <col min="8" max="8" width="24.5703125" customWidth="1"/>
    <col min="9" max="12" width="19.85546875" customWidth="1"/>
    <col min="13" max="13" width="19.85546875" style="2" customWidth="1"/>
    <col min="14" max="15" width="19.85546875" customWidth="1"/>
    <col min="16" max="16" width="39.28515625" customWidth="1"/>
    <col min="17" max="17" width="26.28515625" customWidth="1"/>
    <col min="18" max="18" width="23.42578125" customWidth="1"/>
    <col min="19" max="19" width="17.42578125" style="2" customWidth="1"/>
    <col min="20" max="20" width="19.42578125" customWidth="1"/>
    <col min="21" max="21" width="21.28515625" customWidth="1"/>
    <col min="22" max="22" width="22.42578125" customWidth="1"/>
    <col min="23" max="23" width="24" customWidth="1"/>
    <col min="24" max="24" width="17.5703125" customWidth="1"/>
    <col min="25" max="25" width="13.85546875" customWidth="1"/>
  </cols>
  <sheetData>
    <row r="1" spans="1:25" ht="30" x14ac:dyDescent="0.25">
      <c r="A1" s="5" t="s">
        <v>4</v>
      </c>
      <c r="B1" s="5" t="s">
        <v>0</v>
      </c>
      <c r="C1" s="5" t="s">
        <v>7</v>
      </c>
      <c r="D1" s="6" t="s">
        <v>8</v>
      </c>
      <c r="E1" s="6" t="s">
        <v>9</v>
      </c>
      <c r="F1" s="1" t="s">
        <v>10</v>
      </c>
      <c r="G1" s="4" t="s">
        <v>379</v>
      </c>
      <c r="H1" s="4" t="s">
        <v>380</v>
      </c>
      <c r="I1" s="4" t="s">
        <v>1031</v>
      </c>
      <c r="J1" s="4" t="s">
        <v>12</v>
      </c>
      <c r="K1" s="4" t="s">
        <v>13</v>
      </c>
      <c r="L1" s="4" t="s">
        <v>14</v>
      </c>
      <c r="M1" s="22" t="s">
        <v>1069</v>
      </c>
      <c r="N1" s="4" t="s">
        <v>1070</v>
      </c>
      <c r="O1" s="4" t="s">
        <v>1071</v>
      </c>
      <c r="P1" s="12" t="s">
        <v>1035</v>
      </c>
      <c r="Q1" s="12" t="s">
        <v>1066</v>
      </c>
      <c r="R1" s="12" t="s">
        <v>1074</v>
      </c>
      <c r="S1" s="1" t="s">
        <v>1052</v>
      </c>
      <c r="T1" s="4" t="s">
        <v>1053</v>
      </c>
      <c r="U1" s="4" t="s">
        <v>1054</v>
      </c>
      <c r="V1" s="12" t="s">
        <v>1048</v>
      </c>
      <c r="W1" s="12" t="s">
        <v>1050</v>
      </c>
      <c r="X1" s="12" t="s">
        <v>1073</v>
      </c>
      <c r="Y1" s="17" t="s">
        <v>368</v>
      </c>
    </row>
    <row r="2" spans="1:25" ht="142.5" customHeight="1" x14ac:dyDescent="0.25">
      <c r="A2" t="s">
        <v>183</v>
      </c>
      <c r="B2" t="s">
        <v>184</v>
      </c>
      <c r="C2" s="2" t="s">
        <v>1135</v>
      </c>
      <c r="D2" s="2" t="s">
        <v>1136</v>
      </c>
      <c r="E2" s="2" t="s">
        <v>185</v>
      </c>
      <c r="F2" s="2" t="s">
        <v>186</v>
      </c>
      <c r="G2" t="s">
        <v>23</v>
      </c>
      <c r="H2" s="2" t="s">
        <v>187</v>
      </c>
      <c r="I2" s="2" t="s">
        <v>1</v>
      </c>
      <c r="J2" t="s">
        <v>23</v>
      </c>
      <c r="K2" s="2" t="s">
        <v>187</v>
      </c>
      <c r="L2" s="2" t="s">
        <v>1</v>
      </c>
      <c r="M2" t="s">
        <v>23</v>
      </c>
      <c r="N2" s="2" t="s">
        <v>187</v>
      </c>
      <c r="O2" s="2" t="s">
        <v>1</v>
      </c>
      <c r="P2" t="s">
        <v>23</v>
      </c>
      <c r="Q2" s="2" t="s">
        <v>187</v>
      </c>
      <c r="R2" s="2" t="s">
        <v>1</v>
      </c>
      <c r="S2" t="s">
        <v>23</v>
      </c>
      <c r="T2" t="s">
        <v>187</v>
      </c>
      <c r="U2" t="s">
        <v>1</v>
      </c>
      <c r="V2" t="s">
        <v>23</v>
      </c>
      <c r="W2" t="s">
        <v>187</v>
      </c>
      <c r="X2" t="s">
        <v>1</v>
      </c>
      <c r="Y2">
        <f>LEN(D2)+LEN(E2)</f>
        <v>782</v>
      </c>
    </row>
    <row r="3" spans="1:25" ht="142.5" customHeight="1" x14ac:dyDescent="0.25">
      <c r="A3" t="s">
        <v>183</v>
      </c>
      <c r="B3" t="s">
        <v>184</v>
      </c>
      <c r="C3" s="2" t="s">
        <v>1135</v>
      </c>
      <c r="D3" s="2" t="s">
        <v>1136</v>
      </c>
      <c r="E3" s="2" t="s">
        <v>188</v>
      </c>
      <c r="F3" s="2" t="s">
        <v>186</v>
      </c>
      <c r="G3" t="s">
        <v>23</v>
      </c>
      <c r="H3" s="2" t="s">
        <v>187</v>
      </c>
      <c r="I3" s="2" t="s">
        <v>1</v>
      </c>
      <c r="J3" t="s">
        <v>21</v>
      </c>
      <c r="K3" s="2" t="s">
        <v>194</v>
      </c>
      <c r="L3" s="2" t="s">
        <v>1</v>
      </c>
      <c r="M3" t="s">
        <v>23</v>
      </c>
      <c r="N3" s="2" t="s">
        <v>187</v>
      </c>
      <c r="O3" s="2" t="s">
        <v>1</v>
      </c>
      <c r="P3" t="s">
        <v>18</v>
      </c>
      <c r="Q3" s="2" t="s">
        <v>194</v>
      </c>
      <c r="R3" s="2" t="s">
        <v>1</v>
      </c>
      <c r="S3" t="s">
        <v>18</v>
      </c>
      <c r="T3" t="s">
        <v>194</v>
      </c>
      <c r="U3" t="s">
        <v>1</v>
      </c>
      <c r="V3" t="s">
        <v>23</v>
      </c>
      <c r="W3" t="s">
        <v>187</v>
      </c>
      <c r="X3" t="s">
        <v>1</v>
      </c>
      <c r="Y3">
        <f t="shared" ref="Y3:Y66" si="0">LEN(D3)+LEN(E3)</f>
        <v>781</v>
      </c>
    </row>
    <row r="4" spans="1:25" ht="142.5" customHeight="1" x14ac:dyDescent="0.25">
      <c r="A4" t="s">
        <v>183</v>
      </c>
      <c r="B4" t="s">
        <v>184</v>
      </c>
      <c r="C4" s="2" t="s">
        <v>1135</v>
      </c>
      <c r="D4" s="2" t="s">
        <v>1136</v>
      </c>
      <c r="E4" s="2" t="s">
        <v>189</v>
      </c>
      <c r="F4" s="2" t="s">
        <v>186</v>
      </c>
      <c r="G4" t="s">
        <v>23</v>
      </c>
      <c r="H4" s="2" t="s">
        <v>187</v>
      </c>
      <c r="I4" s="2" t="s">
        <v>1</v>
      </c>
      <c r="J4" t="s">
        <v>23</v>
      </c>
      <c r="K4" s="2" t="s">
        <v>187</v>
      </c>
      <c r="L4" s="2" t="s">
        <v>1</v>
      </c>
      <c r="M4" t="s">
        <v>23</v>
      </c>
      <c r="N4" s="2" t="s">
        <v>187</v>
      </c>
      <c r="O4" s="2" t="s">
        <v>1</v>
      </c>
      <c r="P4" t="s">
        <v>23</v>
      </c>
      <c r="Q4" s="2" t="s">
        <v>187</v>
      </c>
      <c r="R4" s="2" t="s">
        <v>1</v>
      </c>
      <c r="S4" t="s">
        <v>23</v>
      </c>
      <c r="T4" t="s">
        <v>187</v>
      </c>
      <c r="U4" t="s">
        <v>1</v>
      </c>
      <c r="V4" t="s">
        <v>23</v>
      </c>
      <c r="W4" t="s">
        <v>187</v>
      </c>
      <c r="X4" t="s">
        <v>1</v>
      </c>
      <c r="Y4">
        <f t="shared" si="0"/>
        <v>775</v>
      </c>
    </row>
    <row r="5" spans="1:25" ht="142.5" customHeight="1" x14ac:dyDescent="0.25">
      <c r="A5" t="s">
        <v>183</v>
      </c>
      <c r="B5" t="s">
        <v>184</v>
      </c>
      <c r="C5" s="2" t="s">
        <v>1135</v>
      </c>
      <c r="D5" s="2" t="s">
        <v>1136</v>
      </c>
      <c r="E5" s="2" t="s">
        <v>190</v>
      </c>
      <c r="F5" s="2" t="s">
        <v>186</v>
      </c>
      <c r="G5" t="s">
        <v>23</v>
      </c>
      <c r="H5" s="2" t="s">
        <v>187</v>
      </c>
      <c r="I5" s="2" t="s">
        <v>1</v>
      </c>
      <c r="J5" t="s">
        <v>23</v>
      </c>
      <c r="K5" s="2" t="s">
        <v>187</v>
      </c>
      <c r="L5" s="2" t="s">
        <v>1</v>
      </c>
      <c r="M5" t="s">
        <v>23</v>
      </c>
      <c r="N5" s="2" t="s">
        <v>187</v>
      </c>
      <c r="O5" s="2" t="s">
        <v>1</v>
      </c>
      <c r="P5" t="s">
        <v>23</v>
      </c>
      <c r="Q5" s="2" t="s">
        <v>187</v>
      </c>
      <c r="R5" s="2" t="s">
        <v>1</v>
      </c>
      <c r="S5" t="s">
        <v>23</v>
      </c>
      <c r="T5" t="s">
        <v>187</v>
      </c>
      <c r="U5" t="s">
        <v>1</v>
      </c>
      <c r="V5" t="s">
        <v>23</v>
      </c>
      <c r="W5" t="s">
        <v>187</v>
      </c>
      <c r="X5" t="s">
        <v>1</v>
      </c>
      <c r="Y5">
        <f t="shared" si="0"/>
        <v>761</v>
      </c>
    </row>
    <row r="6" spans="1:25" ht="142.5" customHeight="1" x14ac:dyDescent="0.25">
      <c r="A6" t="s">
        <v>183</v>
      </c>
      <c r="B6" t="s">
        <v>184</v>
      </c>
      <c r="C6" s="2" t="s">
        <v>1135</v>
      </c>
      <c r="D6" s="2" t="s">
        <v>1136</v>
      </c>
      <c r="E6" s="2" t="s">
        <v>191</v>
      </c>
      <c r="F6" s="2" t="s">
        <v>186</v>
      </c>
      <c r="G6" t="s">
        <v>23</v>
      </c>
      <c r="H6" s="2" t="s">
        <v>187</v>
      </c>
      <c r="I6" s="2" t="s">
        <v>1</v>
      </c>
      <c r="J6" t="s">
        <v>23</v>
      </c>
      <c r="K6" s="2" t="s">
        <v>187</v>
      </c>
      <c r="L6" s="2" t="s">
        <v>1</v>
      </c>
      <c r="M6" t="s">
        <v>23</v>
      </c>
      <c r="N6" s="2" t="s">
        <v>187</v>
      </c>
      <c r="O6" s="2" t="s">
        <v>1</v>
      </c>
      <c r="P6" t="s">
        <v>23</v>
      </c>
      <c r="Q6" s="2" t="s">
        <v>187</v>
      </c>
      <c r="R6" s="2" t="s">
        <v>1</v>
      </c>
      <c r="S6" t="s">
        <v>23</v>
      </c>
      <c r="T6" t="s">
        <v>187</v>
      </c>
      <c r="U6" t="s">
        <v>1</v>
      </c>
      <c r="V6" t="s">
        <v>23</v>
      </c>
      <c r="W6" t="s">
        <v>187</v>
      </c>
      <c r="X6" t="s">
        <v>1</v>
      </c>
      <c r="Y6">
        <f t="shared" si="0"/>
        <v>780</v>
      </c>
    </row>
    <row r="7" spans="1:25" ht="142.5" customHeight="1" x14ac:dyDescent="0.25">
      <c r="A7" t="s">
        <v>183</v>
      </c>
      <c r="B7" t="s">
        <v>184</v>
      </c>
      <c r="C7" s="2" t="s">
        <v>1135</v>
      </c>
      <c r="D7" s="2" t="s">
        <v>1136</v>
      </c>
      <c r="E7" s="2" t="s">
        <v>192</v>
      </c>
      <c r="F7" s="2" t="s">
        <v>193</v>
      </c>
      <c r="G7" t="s">
        <v>23</v>
      </c>
      <c r="H7" s="2" t="s">
        <v>187</v>
      </c>
      <c r="I7" s="2" t="s">
        <v>1</v>
      </c>
      <c r="J7" t="s">
        <v>1168</v>
      </c>
      <c r="K7" s="2" t="s">
        <v>187</v>
      </c>
      <c r="L7" s="2" t="s">
        <v>2</v>
      </c>
      <c r="M7" t="s">
        <v>23</v>
      </c>
      <c r="N7" s="2" t="s">
        <v>187</v>
      </c>
      <c r="O7" s="2" t="s">
        <v>1</v>
      </c>
      <c r="P7" t="s">
        <v>21</v>
      </c>
      <c r="Q7" s="2" t="s">
        <v>194</v>
      </c>
      <c r="R7" s="2" t="s">
        <v>1</v>
      </c>
      <c r="S7" t="s">
        <v>23</v>
      </c>
      <c r="T7" t="s">
        <v>187</v>
      </c>
      <c r="U7" t="s">
        <v>1</v>
      </c>
      <c r="V7" t="s">
        <v>23</v>
      </c>
      <c r="W7" t="s">
        <v>187</v>
      </c>
      <c r="X7" t="s">
        <v>1</v>
      </c>
      <c r="Y7">
        <f t="shared" si="0"/>
        <v>775</v>
      </c>
    </row>
    <row r="8" spans="1:25" ht="142.5" customHeight="1" x14ac:dyDescent="0.25">
      <c r="A8" t="s">
        <v>183</v>
      </c>
      <c r="B8" t="s">
        <v>184</v>
      </c>
      <c r="C8" s="2" t="s">
        <v>1135</v>
      </c>
      <c r="D8" s="2" t="s">
        <v>1136</v>
      </c>
      <c r="E8" s="2" t="s">
        <v>195</v>
      </c>
      <c r="F8" s="2" t="s">
        <v>193</v>
      </c>
      <c r="G8" t="s">
        <v>21</v>
      </c>
      <c r="H8" s="2" t="s">
        <v>194</v>
      </c>
      <c r="I8" s="2" t="s">
        <v>1</v>
      </c>
      <c r="J8" t="s">
        <v>21</v>
      </c>
      <c r="K8" s="2" t="s">
        <v>194</v>
      </c>
      <c r="L8" s="2" t="s">
        <v>1</v>
      </c>
      <c r="M8" t="s">
        <v>21</v>
      </c>
      <c r="N8" s="2" t="s">
        <v>194</v>
      </c>
      <c r="O8" s="2" t="s">
        <v>1</v>
      </c>
      <c r="P8" t="s">
        <v>21</v>
      </c>
      <c r="Q8" s="2" t="s">
        <v>194</v>
      </c>
      <c r="R8" s="2" t="s">
        <v>1</v>
      </c>
      <c r="S8" t="s">
        <v>18</v>
      </c>
      <c r="T8" s="2" t="s">
        <v>194</v>
      </c>
      <c r="U8" t="s">
        <v>1</v>
      </c>
      <c r="V8" t="s">
        <v>18</v>
      </c>
      <c r="W8" s="2" t="s">
        <v>194</v>
      </c>
      <c r="X8" t="s">
        <v>1</v>
      </c>
      <c r="Y8">
        <f t="shared" si="0"/>
        <v>768</v>
      </c>
    </row>
    <row r="9" spans="1:25" ht="142.5" customHeight="1" x14ac:dyDescent="0.25">
      <c r="A9" t="s">
        <v>183</v>
      </c>
      <c r="B9" t="s">
        <v>184</v>
      </c>
      <c r="C9" s="2" t="s">
        <v>1135</v>
      </c>
      <c r="D9" s="2" t="s">
        <v>1136</v>
      </c>
      <c r="E9" s="2" t="s">
        <v>196</v>
      </c>
      <c r="F9" s="2" t="s">
        <v>193</v>
      </c>
      <c r="G9" t="s">
        <v>21</v>
      </c>
      <c r="H9" s="2" t="s">
        <v>194</v>
      </c>
      <c r="I9" s="2" t="s">
        <v>1</v>
      </c>
      <c r="J9" t="s">
        <v>1082</v>
      </c>
      <c r="K9" s="2" t="s">
        <v>194</v>
      </c>
      <c r="L9" s="2" t="s">
        <v>1</v>
      </c>
      <c r="M9" t="s">
        <v>21</v>
      </c>
      <c r="N9" s="2" t="s">
        <v>194</v>
      </c>
      <c r="O9" s="2" t="s">
        <v>1</v>
      </c>
      <c r="P9" t="s">
        <v>21</v>
      </c>
      <c r="Q9" s="2" t="s">
        <v>194</v>
      </c>
      <c r="R9" s="2" t="s">
        <v>1</v>
      </c>
      <c r="S9" t="s">
        <v>21</v>
      </c>
      <c r="T9" s="2" t="s">
        <v>194</v>
      </c>
      <c r="U9" t="s">
        <v>1</v>
      </c>
      <c r="V9" t="s">
        <v>18</v>
      </c>
      <c r="W9" s="2" t="s">
        <v>194</v>
      </c>
      <c r="X9" t="s">
        <v>1</v>
      </c>
      <c r="Y9">
        <f t="shared" si="0"/>
        <v>767</v>
      </c>
    </row>
    <row r="10" spans="1:25" ht="142.5" customHeight="1" x14ac:dyDescent="0.25">
      <c r="A10" t="s">
        <v>183</v>
      </c>
      <c r="B10" t="s">
        <v>184</v>
      </c>
      <c r="C10" s="2" t="s">
        <v>1135</v>
      </c>
      <c r="D10" s="2" t="s">
        <v>1136</v>
      </c>
      <c r="E10" s="2" t="s">
        <v>197</v>
      </c>
      <c r="F10" s="2" t="s">
        <v>193</v>
      </c>
      <c r="G10" t="s">
        <v>23</v>
      </c>
      <c r="H10" s="2" t="s">
        <v>187</v>
      </c>
      <c r="I10" s="2" t="s">
        <v>1</v>
      </c>
      <c r="J10" t="s">
        <v>21</v>
      </c>
      <c r="K10" s="2" t="s">
        <v>194</v>
      </c>
      <c r="L10" s="2" t="s">
        <v>1</v>
      </c>
      <c r="M10" t="s">
        <v>23</v>
      </c>
      <c r="N10" s="2" t="s">
        <v>187</v>
      </c>
      <c r="O10" s="2" t="s">
        <v>1</v>
      </c>
      <c r="P10" t="s">
        <v>18</v>
      </c>
      <c r="Q10" s="2" t="s">
        <v>194</v>
      </c>
      <c r="R10" s="2" t="s">
        <v>1</v>
      </c>
      <c r="S10" t="s">
        <v>18</v>
      </c>
      <c r="T10" s="2" t="s">
        <v>194</v>
      </c>
      <c r="U10" t="s">
        <v>1</v>
      </c>
      <c r="V10" t="s">
        <v>18</v>
      </c>
      <c r="W10" s="2" t="s">
        <v>194</v>
      </c>
      <c r="X10" t="s">
        <v>1</v>
      </c>
      <c r="Y10">
        <f t="shared" si="0"/>
        <v>777</v>
      </c>
    </row>
    <row r="11" spans="1:25" ht="142.5" customHeight="1" x14ac:dyDescent="0.25">
      <c r="A11" t="s">
        <v>183</v>
      </c>
      <c r="B11" t="s">
        <v>184</v>
      </c>
      <c r="C11" s="2" t="s">
        <v>1135</v>
      </c>
      <c r="D11" s="2" t="s">
        <v>1136</v>
      </c>
      <c r="E11" s="2" t="s">
        <v>198</v>
      </c>
      <c r="F11" s="2" t="s">
        <v>193</v>
      </c>
      <c r="G11" t="s">
        <v>21</v>
      </c>
      <c r="H11" s="2" t="s">
        <v>194</v>
      </c>
      <c r="I11" s="2" t="s">
        <v>1</v>
      </c>
      <c r="J11" t="s">
        <v>21</v>
      </c>
      <c r="K11" s="2" t="s">
        <v>194</v>
      </c>
      <c r="L11" s="2" t="s">
        <v>1</v>
      </c>
      <c r="M11" t="s">
        <v>23</v>
      </c>
      <c r="N11" s="2" t="s">
        <v>187</v>
      </c>
      <c r="O11" s="2" t="s">
        <v>1</v>
      </c>
      <c r="P11" t="s">
        <v>21</v>
      </c>
      <c r="Q11" s="2" t="s">
        <v>194</v>
      </c>
      <c r="R11" s="2" t="s">
        <v>1</v>
      </c>
      <c r="S11" t="s">
        <v>23</v>
      </c>
      <c r="T11" t="s">
        <v>187</v>
      </c>
      <c r="U11" t="s">
        <v>1</v>
      </c>
      <c r="V11" t="s">
        <v>18</v>
      </c>
      <c r="W11" s="2" t="s">
        <v>194</v>
      </c>
      <c r="X11" t="s">
        <v>1</v>
      </c>
      <c r="Y11">
        <f t="shared" si="0"/>
        <v>777</v>
      </c>
    </row>
    <row r="12" spans="1:25" ht="142.5" customHeight="1" x14ac:dyDescent="0.25">
      <c r="A12" t="s">
        <v>183</v>
      </c>
      <c r="B12" t="s">
        <v>184</v>
      </c>
      <c r="C12" s="2" t="s">
        <v>1135</v>
      </c>
      <c r="D12" s="2" t="s">
        <v>1136</v>
      </c>
      <c r="E12" s="2" t="s">
        <v>199</v>
      </c>
      <c r="F12" s="2" t="s">
        <v>200</v>
      </c>
      <c r="G12" t="s">
        <v>23</v>
      </c>
      <c r="H12" s="2" t="s">
        <v>187</v>
      </c>
      <c r="I12" s="2" t="s">
        <v>1</v>
      </c>
      <c r="J12" t="s">
        <v>23</v>
      </c>
      <c r="K12" s="2" t="s">
        <v>187</v>
      </c>
      <c r="L12" s="2" t="s">
        <v>1</v>
      </c>
      <c r="M12" t="s">
        <v>23</v>
      </c>
      <c r="N12" s="2" t="s">
        <v>187</v>
      </c>
      <c r="O12" s="2" t="s">
        <v>1</v>
      </c>
      <c r="P12" t="s">
        <v>23</v>
      </c>
      <c r="Q12" s="2" t="s">
        <v>187</v>
      </c>
      <c r="R12" s="2" t="s">
        <v>1</v>
      </c>
      <c r="S12" t="s">
        <v>23</v>
      </c>
      <c r="T12" t="s">
        <v>187</v>
      </c>
      <c r="U12" t="s">
        <v>1</v>
      </c>
      <c r="V12" t="s">
        <v>23</v>
      </c>
      <c r="W12" t="s">
        <v>187</v>
      </c>
      <c r="X12" t="s">
        <v>1</v>
      </c>
      <c r="Y12">
        <f t="shared" si="0"/>
        <v>773</v>
      </c>
    </row>
    <row r="13" spans="1:25" ht="142.5" customHeight="1" x14ac:dyDescent="0.25">
      <c r="A13" t="s">
        <v>183</v>
      </c>
      <c r="B13" t="s">
        <v>184</v>
      </c>
      <c r="C13" s="2" t="s">
        <v>1135</v>
      </c>
      <c r="D13" s="2" t="s">
        <v>1136</v>
      </c>
      <c r="E13" s="2" t="s">
        <v>201</v>
      </c>
      <c r="F13" s="2" t="s">
        <v>200</v>
      </c>
      <c r="G13" t="s">
        <v>23</v>
      </c>
      <c r="H13" s="2" t="s">
        <v>187</v>
      </c>
      <c r="I13" s="2" t="s">
        <v>1</v>
      </c>
      <c r="J13" t="s">
        <v>23</v>
      </c>
      <c r="K13" s="2" t="s">
        <v>187</v>
      </c>
      <c r="L13" s="2" t="s">
        <v>1</v>
      </c>
      <c r="M13" t="s">
        <v>23</v>
      </c>
      <c r="N13" s="2" t="s">
        <v>187</v>
      </c>
      <c r="O13" s="2" t="s">
        <v>1</v>
      </c>
      <c r="P13" t="s">
        <v>21</v>
      </c>
      <c r="Q13" s="2" t="s">
        <v>194</v>
      </c>
      <c r="R13" s="2" t="s">
        <v>1</v>
      </c>
      <c r="S13" t="s">
        <v>23</v>
      </c>
      <c r="T13" t="s">
        <v>187</v>
      </c>
      <c r="U13" t="s">
        <v>1</v>
      </c>
      <c r="V13" t="s">
        <v>23</v>
      </c>
      <c r="W13" t="s">
        <v>187</v>
      </c>
      <c r="X13" t="s">
        <v>1</v>
      </c>
      <c r="Y13">
        <f t="shared" si="0"/>
        <v>773</v>
      </c>
    </row>
    <row r="14" spans="1:25" ht="142.5" customHeight="1" x14ac:dyDescent="0.25">
      <c r="A14" t="s">
        <v>183</v>
      </c>
      <c r="B14" t="s">
        <v>184</v>
      </c>
      <c r="C14" s="2" t="s">
        <v>1135</v>
      </c>
      <c r="D14" s="2" t="s">
        <v>1136</v>
      </c>
      <c r="E14" s="2" t="s">
        <v>202</v>
      </c>
      <c r="F14" s="2" t="s">
        <v>200</v>
      </c>
      <c r="G14" t="s">
        <v>23</v>
      </c>
      <c r="H14" s="2" t="s">
        <v>187</v>
      </c>
      <c r="I14" s="2" t="s">
        <v>1</v>
      </c>
      <c r="J14" t="s">
        <v>23</v>
      </c>
      <c r="K14" s="2" t="s">
        <v>187</v>
      </c>
      <c r="L14" s="2" t="s">
        <v>1</v>
      </c>
      <c r="M14" t="s">
        <v>18</v>
      </c>
      <c r="N14" s="2" t="s">
        <v>194</v>
      </c>
      <c r="O14" s="2" t="s">
        <v>1</v>
      </c>
      <c r="P14" t="s">
        <v>23</v>
      </c>
      <c r="Q14" s="2" t="s">
        <v>187</v>
      </c>
      <c r="R14" s="2" t="s">
        <v>1</v>
      </c>
      <c r="S14" t="s">
        <v>23</v>
      </c>
      <c r="T14" s="2" t="s">
        <v>187</v>
      </c>
      <c r="U14" t="s">
        <v>1</v>
      </c>
      <c r="V14" t="s">
        <v>18</v>
      </c>
      <c r="W14" s="2" t="s">
        <v>194</v>
      </c>
      <c r="X14" t="s">
        <v>1</v>
      </c>
      <c r="Y14">
        <f t="shared" si="0"/>
        <v>778</v>
      </c>
    </row>
    <row r="15" spans="1:25" ht="142.5" customHeight="1" x14ac:dyDescent="0.25">
      <c r="A15" t="s">
        <v>183</v>
      </c>
      <c r="B15" t="s">
        <v>184</v>
      </c>
      <c r="C15" s="2" t="s">
        <v>1135</v>
      </c>
      <c r="D15" s="2" t="s">
        <v>1136</v>
      </c>
      <c r="E15" s="2" t="s">
        <v>204</v>
      </c>
      <c r="F15" s="2" t="s">
        <v>200</v>
      </c>
      <c r="G15" t="s">
        <v>23</v>
      </c>
      <c r="H15" s="2" t="s">
        <v>187</v>
      </c>
      <c r="I15" s="2" t="s">
        <v>1</v>
      </c>
      <c r="J15" t="s">
        <v>23</v>
      </c>
      <c r="K15" s="2" t="s">
        <v>187</v>
      </c>
      <c r="L15" s="2" t="s">
        <v>1</v>
      </c>
      <c r="M15" t="s">
        <v>23</v>
      </c>
      <c r="N15" s="2" t="s">
        <v>187</v>
      </c>
      <c r="O15" s="2" t="s">
        <v>1</v>
      </c>
      <c r="P15" t="s">
        <v>23</v>
      </c>
      <c r="Q15" s="2" t="s">
        <v>187</v>
      </c>
      <c r="R15" s="2" t="s">
        <v>1</v>
      </c>
      <c r="S15" t="s">
        <v>23</v>
      </c>
      <c r="T15" t="s">
        <v>187</v>
      </c>
      <c r="U15" t="s">
        <v>1</v>
      </c>
      <c r="V15" t="s">
        <v>23</v>
      </c>
      <c r="W15" t="s">
        <v>187</v>
      </c>
      <c r="X15" t="s">
        <v>1</v>
      </c>
      <c r="Y15">
        <f t="shared" si="0"/>
        <v>773</v>
      </c>
    </row>
    <row r="16" spans="1:25" ht="142.5" customHeight="1" x14ac:dyDescent="0.25">
      <c r="A16" t="s">
        <v>183</v>
      </c>
      <c r="B16" t="s">
        <v>184</v>
      </c>
      <c r="C16" s="2" t="s">
        <v>1135</v>
      </c>
      <c r="D16" s="2" t="s">
        <v>1136</v>
      </c>
      <c r="E16" s="2" t="s">
        <v>205</v>
      </c>
      <c r="F16" s="2" t="s">
        <v>200</v>
      </c>
      <c r="G16" t="s">
        <v>23</v>
      </c>
      <c r="H16" s="2" t="s">
        <v>187</v>
      </c>
      <c r="I16" s="2" t="s">
        <v>1</v>
      </c>
      <c r="J16" t="s">
        <v>18</v>
      </c>
      <c r="K16" s="2" t="s">
        <v>194</v>
      </c>
      <c r="L16" s="2" t="s">
        <v>1</v>
      </c>
      <c r="M16" t="s">
        <v>18</v>
      </c>
      <c r="N16" s="2" t="s">
        <v>194</v>
      </c>
      <c r="O16" s="2" t="s">
        <v>1</v>
      </c>
      <c r="P16" t="s">
        <v>18</v>
      </c>
      <c r="Q16" s="2" t="s">
        <v>194</v>
      </c>
      <c r="R16" s="2" t="s">
        <v>1</v>
      </c>
      <c r="S16" t="s">
        <v>18</v>
      </c>
      <c r="T16" s="2" t="s">
        <v>194</v>
      </c>
      <c r="U16" t="s">
        <v>1</v>
      </c>
      <c r="V16" t="s">
        <v>18</v>
      </c>
      <c r="W16" s="2" t="s">
        <v>194</v>
      </c>
      <c r="X16" t="s">
        <v>1</v>
      </c>
      <c r="Y16">
        <f t="shared" si="0"/>
        <v>767</v>
      </c>
    </row>
    <row r="17" spans="1:25" ht="142.5" customHeight="1" x14ac:dyDescent="0.25">
      <c r="A17" t="s">
        <v>183</v>
      </c>
      <c r="B17" t="s">
        <v>184</v>
      </c>
      <c r="C17" s="2" t="s">
        <v>1135</v>
      </c>
      <c r="D17" s="2" t="s">
        <v>1136</v>
      </c>
      <c r="E17" s="2" t="s">
        <v>206</v>
      </c>
      <c r="F17" s="2" t="s">
        <v>207</v>
      </c>
      <c r="G17" t="s">
        <v>23</v>
      </c>
      <c r="H17" s="2" t="s">
        <v>187</v>
      </c>
      <c r="I17" s="2" t="s">
        <v>1</v>
      </c>
      <c r="J17" t="s">
        <v>1169</v>
      </c>
      <c r="K17" s="2" t="s">
        <v>187</v>
      </c>
      <c r="L17" s="2" t="s">
        <v>2</v>
      </c>
      <c r="M17" t="s">
        <v>23</v>
      </c>
      <c r="N17" s="2" t="s">
        <v>187</v>
      </c>
      <c r="O17" s="2" t="s">
        <v>1</v>
      </c>
      <c r="P17" t="s">
        <v>21</v>
      </c>
      <c r="Q17" s="2" t="s">
        <v>194</v>
      </c>
      <c r="R17" s="2" t="s">
        <v>1</v>
      </c>
      <c r="S17" t="s">
        <v>23</v>
      </c>
      <c r="T17" t="s">
        <v>187</v>
      </c>
      <c r="U17" t="s">
        <v>1</v>
      </c>
      <c r="V17" t="s">
        <v>23</v>
      </c>
      <c r="W17" t="s">
        <v>187</v>
      </c>
      <c r="X17" t="s">
        <v>1</v>
      </c>
      <c r="Y17">
        <f t="shared" si="0"/>
        <v>775</v>
      </c>
    </row>
    <row r="18" spans="1:25" ht="142.5" customHeight="1" x14ac:dyDescent="0.25">
      <c r="A18" t="s">
        <v>183</v>
      </c>
      <c r="B18" t="s">
        <v>184</v>
      </c>
      <c r="C18" s="2" t="s">
        <v>1135</v>
      </c>
      <c r="D18" s="2" t="s">
        <v>1136</v>
      </c>
      <c r="E18" s="2" t="s">
        <v>208</v>
      </c>
      <c r="F18" s="2" t="s">
        <v>207</v>
      </c>
      <c r="G18" t="s">
        <v>23</v>
      </c>
      <c r="H18" s="2" t="s">
        <v>187</v>
      </c>
      <c r="I18" s="2" t="s">
        <v>1</v>
      </c>
      <c r="J18" t="s">
        <v>21</v>
      </c>
      <c r="K18" s="2" t="s">
        <v>194</v>
      </c>
      <c r="L18" s="2" t="s">
        <v>1</v>
      </c>
      <c r="M18" t="s">
        <v>23</v>
      </c>
      <c r="N18" s="2" t="s">
        <v>187</v>
      </c>
      <c r="O18" s="2" t="s">
        <v>1</v>
      </c>
      <c r="P18" t="s">
        <v>18</v>
      </c>
      <c r="Q18" s="2" t="s">
        <v>194</v>
      </c>
      <c r="R18" s="2" t="s">
        <v>1</v>
      </c>
      <c r="S18" t="s">
        <v>23</v>
      </c>
      <c r="T18" t="s">
        <v>187</v>
      </c>
      <c r="U18" t="s">
        <v>1</v>
      </c>
      <c r="V18" t="s">
        <v>23</v>
      </c>
      <c r="W18" t="s">
        <v>187</v>
      </c>
      <c r="X18" t="s">
        <v>1</v>
      </c>
      <c r="Y18">
        <f t="shared" si="0"/>
        <v>777</v>
      </c>
    </row>
    <row r="19" spans="1:25" ht="142.5" customHeight="1" x14ac:dyDescent="0.25">
      <c r="A19" t="s">
        <v>183</v>
      </c>
      <c r="B19" t="s">
        <v>184</v>
      </c>
      <c r="C19" s="2" t="s">
        <v>1135</v>
      </c>
      <c r="D19" s="2" t="s">
        <v>1136</v>
      </c>
      <c r="E19" s="2" t="s">
        <v>209</v>
      </c>
      <c r="F19" s="2" t="s">
        <v>207</v>
      </c>
      <c r="G19" t="s">
        <v>21</v>
      </c>
      <c r="H19" s="2" t="s">
        <v>194</v>
      </c>
      <c r="I19" s="2" t="s">
        <v>1</v>
      </c>
      <c r="J19" t="s">
        <v>21</v>
      </c>
      <c r="K19" s="2" t="s">
        <v>194</v>
      </c>
      <c r="L19" s="2" t="s">
        <v>1</v>
      </c>
      <c r="M19" t="s">
        <v>21</v>
      </c>
      <c r="N19" s="2" t="s">
        <v>194</v>
      </c>
      <c r="O19" s="2" t="s">
        <v>1</v>
      </c>
      <c r="P19" t="s">
        <v>21</v>
      </c>
      <c r="Q19" s="2" t="s">
        <v>194</v>
      </c>
      <c r="R19" s="2" t="s">
        <v>1</v>
      </c>
      <c r="S19" t="s">
        <v>18</v>
      </c>
      <c r="T19" s="2" t="s">
        <v>194</v>
      </c>
      <c r="U19" t="s">
        <v>1</v>
      </c>
      <c r="V19" t="s">
        <v>18</v>
      </c>
      <c r="W19" s="2" t="s">
        <v>194</v>
      </c>
      <c r="X19" t="s">
        <v>1</v>
      </c>
      <c r="Y19">
        <f t="shared" si="0"/>
        <v>777</v>
      </c>
    </row>
    <row r="20" spans="1:25" ht="142.5" customHeight="1" x14ac:dyDescent="0.25">
      <c r="A20" t="s">
        <v>183</v>
      </c>
      <c r="B20" t="s">
        <v>184</v>
      </c>
      <c r="C20" s="2" t="s">
        <v>1135</v>
      </c>
      <c r="D20" s="2" t="s">
        <v>1136</v>
      </c>
      <c r="E20" s="2" t="s">
        <v>210</v>
      </c>
      <c r="F20" s="2" t="s">
        <v>207</v>
      </c>
      <c r="G20" t="s">
        <v>23</v>
      </c>
      <c r="H20" s="2" t="s">
        <v>187</v>
      </c>
      <c r="I20" s="2" t="s">
        <v>1</v>
      </c>
      <c r="J20" t="s">
        <v>21</v>
      </c>
      <c r="K20" s="2" t="s">
        <v>194</v>
      </c>
      <c r="L20" s="2" t="s">
        <v>1</v>
      </c>
      <c r="M20" t="s">
        <v>21</v>
      </c>
      <c r="N20" s="2" t="s">
        <v>194</v>
      </c>
      <c r="O20" s="2" t="s">
        <v>1</v>
      </c>
      <c r="P20" t="s">
        <v>21</v>
      </c>
      <c r="Q20" s="2" t="s">
        <v>194</v>
      </c>
      <c r="R20" s="2" t="s">
        <v>1</v>
      </c>
      <c r="S20" t="s">
        <v>23</v>
      </c>
      <c r="T20" t="s">
        <v>187</v>
      </c>
      <c r="U20" t="s">
        <v>1</v>
      </c>
      <c r="V20" t="s">
        <v>18</v>
      </c>
      <c r="W20" s="2" t="s">
        <v>194</v>
      </c>
      <c r="X20" t="s">
        <v>1</v>
      </c>
      <c r="Y20">
        <f t="shared" si="0"/>
        <v>768</v>
      </c>
    </row>
    <row r="21" spans="1:25" ht="142.5" customHeight="1" x14ac:dyDescent="0.25">
      <c r="A21" t="s">
        <v>183</v>
      </c>
      <c r="B21" t="s">
        <v>184</v>
      </c>
      <c r="C21" s="2" t="s">
        <v>1135</v>
      </c>
      <c r="D21" s="2" t="s">
        <v>1136</v>
      </c>
      <c r="E21" s="2" t="s">
        <v>211</v>
      </c>
      <c r="F21" s="2" t="s">
        <v>207</v>
      </c>
      <c r="G21" t="s">
        <v>18</v>
      </c>
      <c r="H21" s="2" t="s">
        <v>194</v>
      </c>
      <c r="I21" s="2" t="s">
        <v>1</v>
      </c>
      <c r="J21" t="s">
        <v>23</v>
      </c>
      <c r="K21" s="2" t="s">
        <v>187</v>
      </c>
      <c r="L21" s="2" t="s">
        <v>1</v>
      </c>
      <c r="M21" t="s">
        <v>23</v>
      </c>
      <c r="N21" s="2" t="s">
        <v>187</v>
      </c>
      <c r="O21" s="2" t="s">
        <v>1</v>
      </c>
      <c r="P21" t="s">
        <v>21</v>
      </c>
      <c r="Q21" s="2" t="s">
        <v>194</v>
      </c>
      <c r="R21" s="2" t="s">
        <v>1</v>
      </c>
      <c r="S21" t="s">
        <v>23</v>
      </c>
      <c r="T21" t="s">
        <v>187</v>
      </c>
      <c r="U21" t="s">
        <v>1</v>
      </c>
      <c r="V21" t="s">
        <v>23</v>
      </c>
      <c r="W21" t="s">
        <v>187</v>
      </c>
      <c r="X21" t="s">
        <v>1</v>
      </c>
      <c r="Y21">
        <f t="shared" si="0"/>
        <v>784</v>
      </c>
    </row>
    <row r="22" spans="1:25" ht="142.5" customHeight="1" x14ac:dyDescent="0.25">
      <c r="A22" t="s">
        <v>183</v>
      </c>
      <c r="B22" t="s">
        <v>184</v>
      </c>
      <c r="C22" s="2" t="s">
        <v>1135</v>
      </c>
      <c r="D22" s="2" t="s">
        <v>1136</v>
      </c>
      <c r="E22" s="2" t="s">
        <v>212</v>
      </c>
      <c r="F22" s="2" t="s">
        <v>213</v>
      </c>
      <c r="G22" t="s">
        <v>21</v>
      </c>
      <c r="H22" s="2" t="s">
        <v>187</v>
      </c>
      <c r="I22" s="2" t="s">
        <v>1</v>
      </c>
      <c r="J22" t="s">
        <v>21</v>
      </c>
      <c r="K22" s="2" t="s">
        <v>187</v>
      </c>
      <c r="L22" s="2" t="s">
        <v>1</v>
      </c>
      <c r="M22" t="s">
        <v>21</v>
      </c>
      <c r="N22" s="2" t="s">
        <v>187</v>
      </c>
      <c r="O22" s="2" t="s">
        <v>1</v>
      </c>
      <c r="P22" t="s">
        <v>21</v>
      </c>
      <c r="Q22" s="2" t="s">
        <v>187</v>
      </c>
      <c r="R22" s="2" t="s">
        <v>1</v>
      </c>
      <c r="S22" t="s">
        <v>21</v>
      </c>
      <c r="T22" s="2" t="s">
        <v>187</v>
      </c>
      <c r="U22" t="s">
        <v>1</v>
      </c>
      <c r="V22" t="s">
        <v>18</v>
      </c>
      <c r="W22" s="2" t="s">
        <v>194</v>
      </c>
      <c r="X22" t="s">
        <v>1</v>
      </c>
      <c r="Y22">
        <f t="shared" si="0"/>
        <v>782</v>
      </c>
    </row>
    <row r="23" spans="1:25" ht="142.5" customHeight="1" x14ac:dyDescent="0.25">
      <c r="A23" t="s">
        <v>183</v>
      </c>
      <c r="B23" t="s">
        <v>184</v>
      </c>
      <c r="C23" s="2" t="s">
        <v>1135</v>
      </c>
      <c r="D23" s="2" t="s">
        <v>1136</v>
      </c>
      <c r="E23" s="2" t="s">
        <v>214</v>
      </c>
      <c r="F23" s="2" t="s">
        <v>213</v>
      </c>
      <c r="G23" t="s">
        <v>23</v>
      </c>
      <c r="H23" s="2" t="s">
        <v>194</v>
      </c>
      <c r="I23" s="2" t="s">
        <v>1</v>
      </c>
      <c r="J23" t="s">
        <v>21</v>
      </c>
      <c r="K23" s="2" t="s">
        <v>187</v>
      </c>
      <c r="L23" s="2" t="s">
        <v>1</v>
      </c>
      <c r="M23" t="s">
        <v>21</v>
      </c>
      <c r="N23" s="2" t="s">
        <v>187</v>
      </c>
      <c r="O23" s="2" t="s">
        <v>1</v>
      </c>
      <c r="P23" t="s">
        <v>21</v>
      </c>
      <c r="Q23" s="2" t="s">
        <v>187</v>
      </c>
      <c r="R23" s="2" t="s">
        <v>1</v>
      </c>
      <c r="S23" t="s">
        <v>23</v>
      </c>
      <c r="T23" s="2" t="s">
        <v>194</v>
      </c>
      <c r="U23" t="s">
        <v>1</v>
      </c>
      <c r="V23" t="s">
        <v>18</v>
      </c>
      <c r="W23" s="2" t="s">
        <v>194</v>
      </c>
      <c r="X23" t="s">
        <v>1</v>
      </c>
      <c r="Y23">
        <f t="shared" si="0"/>
        <v>763</v>
      </c>
    </row>
    <row r="24" spans="1:25" ht="142.5" customHeight="1" x14ac:dyDescent="0.25">
      <c r="A24" t="s">
        <v>183</v>
      </c>
      <c r="B24" t="s">
        <v>184</v>
      </c>
      <c r="C24" s="2" t="s">
        <v>1135</v>
      </c>
      <c r="D24" s="2" t="s">
        <v>1136</v>
      </c>
      <c r="E24" s="2" t="s">
        <v>215</v>
      </c>
      <c r="F24" s="2" t="s">
        <v>213</v>
      </c>
      <c r="G24" t="s">
        <v>21</v>
      </c>
      <c r="H24" s="2" t="s">
        <v>187</v>
      </c>
      <c r="I24" s="2" t="s">
        <v>1</v>
      </c>
      <c r="J24" t="s">
        <v>21</v>
      </c>
      <c r="K24" s="2" t="s">
        <v>187</v>
      </c>
      <c r="L24" s="2" t="s">
        <v>1</v>
      </c>
      <c r="M24" t="s">
        <v>21</v>
      </c>
      <c r="N24" s="2" t="s">
        <v>187</v>
      </c>
      <c r="O24" s="2" t="s">
        <v>1</v>
      </c>
      <c r="P24" t="s">
        <v>21</v>
      </c>
      <c r="Q24" s="2" t="s">
        <v>187</v>
      </c>
      <c r="R24" s="2" t="s">
        <v>1</v>
      </c>
      <c r="S24" t="s">
        <v>21</v>
      </c>
      <c r="T24" s="2" t="s">
        <v>187</v>
      </c>
      <c r="U24" t="s">
        <v>1</v>
      </c>
      <c r="V24" t="s">
        <v>18</v>
      </c>
      <c r="W24" s="2" t="s">
        <v>194</v>
      </c>
      <c r="X24" t="s">
        <v>1</v>
      </c>
      <c r="Y24">
        <f t="shared" si="0"/>
        <v>760</v>
      </c>
    </row>
    <row r="25" spans="1:25" ht="142.5" customHeight="1" x14ac:dyDescent="0.25">
      <c r="A25" t="s">
        <v>183</v>
      </c>
      <c r="B25" t="s">
        <v>184</v>
      </c>
      <c r="C25" s="2" t="s">
        <v>1135</v>
      </c>
      <c r="D25" s="2" t="s">
        <v>1136</v>
      </c>
      <c r="E25" s="2" t="s">
        <v>216</v>
      </c>
      <c r="F25" s="2" t="s">
        <v>213</v>
      </c>
      <c r="G25" t="s">
        <v>21</v>
      </c>
      <c r="H25" s="2" t="s">
        <v>187</v>
      </c>
      <c r="I25" s="2" t="s">
        <v>1</v>
      </c>
      <c r="J25" t="s">
        <v>21</v>
      </c>
      <c r="K25" s="2" t="s">
        <v>187</v>
      </c>
      <c r="L25" s="2" t="s">
        <v>1</v>
      </c>
      <c r="M25" t="s">
        <v>21</v>
      </c>
      <c r="N25" s="2" t="s">
        <v>187</v>
      </c>
      <c r="O25" s="2" t="s">
        <v>1</v>
      </c>
      <c r="P25" t="s">
        <v>21</v>
      </c>
      <c r="Q25" s="2" t="s">
        <v>187</v>
      </c>
      <c r="R25" s="2" t="s">
        <v>1</v>
      </c>
      <c r="S25" t="s">
        <v>18</v>
      </c>
      <c r="T25" s="2" t="s">
        <v>194</v>
      </c>
      <c r="U25" t="s">
        <v>1</v>
      </c>
      <c r="V25" t="s">
        <v>18</v>
      </c>
      <c r="W25" s="2" t="s">
        <v>194</v>
      </c>
      <c r="X25" t="s">
        <v>1</v>
      </c>
      <c r="Y25">
        <f t="shared" si="0"/>
        <v>765</v>
      </c>
    </row>
    <row r="26" spans="1:25" ht="142.5" customHeight="1" x14ac:dyDescent="0.25">
      <c r="A26" t="s">
        <v>183</v>
      </c>
      <c r="B26" t="s">
        <v>184</v>
      </c>
      <c r="C26" s="2" t="s">
        <v>1135</v>
      </c>
      <c r="D26" s="2" t="s">
        <v>1136</v>
      </c>
      <c r="E26" s="2" t="s">
        <v>217</v>
      </c>
      <c r="F26" s="2" t="s">
        <v>213</v>
      </c>
      <c r="G26" t="s">
        <v>21</v>
      </c>
      <c r="H26" s="2" t="s">
        <v>187</v>
      </c>
      <c r="I26" s="2" t="s">
        <v>1</v>
      </c>
      <c r="J26" t="s">
        <v>1170</v>
      </c>
      <c r="K26" s="2" t="s">
        <v>187</v>
      </c>
      <c r="L26" s="2" t="s">
        <v>2</v>
      </c>
      <c r="M26" t="s">
        <v>21</v>
      </c>
      <c r="N26" s="2" t="s">
        <v>187</v>
      </c>
      <c r="O26" s="2" t="s">
        <v>1</v>
      </c>
      <c r="P26" t="s">
        <v>21</v>
      </c>
      <c r="Q26" s="2" t="s">
        <v>187</v>
      </c>
      <c r="R26" s="2" t="s">
        <v>1</v>
      </c>
      <c r="S26" t="s">
        <v>21</v>
      </c>
      <c r="T26" s="2" t="s">
        <v>187</v>
      </c>
      <c r="U26" t="s">
        <v>1</v>
      </c>
      <c r="V26" t="s">
        <v>18</v>
      </c>
      <c r="W26" s="2" t="s">
        <v>194</v>
      </c>
      <c r="X26" t="s">
        <v>1</v>
      </c>
      <c r="Y26">
        <f t="shared" si="0"/>
        <v>758</v>
      </c>
    </row>
    <row r="27" spans="1:25" ht="142.5" customHeight="1" x14ac:dyDescent="0.25">
      <c r="A27" t="s">
        <v>183</v>
      </c>
      <c r="B27" t="s">
        <v>184</v>
      </c>
      <c r="C27" s="2" t="s">
        <v>1135</v>
      </c>
      <c r="D27" s="2" t="s">
        <v>1136</v>
      </c>
      <c r="E27" s="2" t="s">
        <v>218</v>
      </c>
      <c r="F27" s="2" t="s">
        <v>219</v>
      </c>
      <c r="G27" t="s">
        <v>23</v>
      </c>
      <c r="H27" s="2" t="s">
        <v>194</v>
      </c>
      <c r="I27" s="2" t="s">
        <v>1</v>
      </c>
      <c r="J27" t="s">
        <v>23</v>
      </c>
      <c r="K27" s="2" t="s">
        <v>194</v>
      </c>
      <c r="L27" s="2" t="s">
        <v>1</v>
      </c>
      <c r="M27" t="s">
        <v>21</v>
      </c>
      <c r="N27" s="2" t="s">
        <v>187</v>
      </c>
      <c r="O27" s="2" t="s">
        <v>1</v>
      </c>
      <c r="P27" t="s">
        <v>23</v>
      </c>
      <c r="Q27" s="2" t="s">
        <v>194</v>
      </c>
      <c r="R27" s="2" t="s">
        <v>1</v>
      </c>
      <c r="S27" t="s">
        <v>23</v>
      </c>
      <c r="T27" s="2" t="s">
        <v>194</v>
      </c>
      <c r="U27" t="s">
        <v>1</v>
      </c>
      <c r="V27" t="s">
        <v>23</v>
      </c>
      <c r="W27" s="2" t="s">
        <v>194</v>
      </c>
      <c r="X27" t="s">
        <v>1</v>
      </c>
      <c r="Y27">
        <f t="shared" si="0"/>
        <v>758</v>
      </c>
    </row>
    <row r="28" spans="1:25" ht="142.5" customHeight="1" x14ac:dyDescent="0.25">
      <c r="A28" t="s">
        <v>183</v>
      </c>
      <c r="B28" t="s">
        <v>184</v>
      </c>
      <c r="C28" s="2" t="s">
        <v>1135</v>
      </c>
      <c r="D28" s="2" t="s">
        <v>1136</v>
      </c>
      <c r="E28" s="2" t="s">
        <v>220</v>
      </c>
      <c r="F28" s="2" t="s">
        <v>219</v>
      </c>
      <c r="G28" t="s">
        <v>18</v>
      </c>
      <c r="H28" s="2" t="s">
        <v>194</v>
      </c>
      <c r="I28" s="2" t="s">
        <v>1</v>
      </c>
      <c r="J28" t="s">
        <v>18</v>
      </c>
      <c r="K28" s="2" t="s">
        <v>194</v>
      </c>
      <c r="L28" s="2" t="s">
        <v>1</v>
      </c>
      <c r="M28" t="s">
        <v>23</v>
      </c>
      <c r="N28" s="2" t="s">
        <v>194</v>
      </c>
      <c r="O28" s="2" t="s">
        <v>1</v>
      </c>
      <c r="P28" t="s">
        <v>18</v>
      </c>
      <c r="Q28" s="2" t="s">
        <v>194</v>
      </c>
      <c r="R28" s="2" t="s">
        <v>1</v>
      </c>
      <c r="S28" t="s">
        <v>18</v>
      </c>
      <c r="T28" s="2" t="s">
        <v>194</v>
      </c>
      <c r="U28" t="s">
        <v>1</v>
      </c>
      <c r="V28" t="s">
        <v>18</v>
      </c>
      <c r="W28" s="2" t="s">
        <v>194</v>
      </c>
      <c r="X28" t="s">
        <v>1</v>
      </c>
      <c r="Y28">
        <f t="shared" si="0"/>
        <v>758</v>
      </c>
    </row>
    <row r="29" spans="1:25" ht="142.5" customHeight="1" x14ac:dyDescent="0.25">
      <c r="A29" t="s">
        <v>183</v>
      </c>
      <c r="B29" t="s">
        <v>184</v>
      </c>
      <c r="C29" s="2" t="s">
        <v>1135</v>
      </c>
      <c r="D29" s="2" t="s">
        <v>1136</v>
      </c>
      <c r="E29" s="2" t="s">
        <v>221</v>
      </c>
      <c r="F29" s="2" t="s">
        <v>219</v>
      </c>
      <c r="G29" t="s">
        <v>21</v>
      </c>
      <c r="H29" s="2" t="s">
        <v>187</v>
      </c>
      <c r="I29" s="2" t="s">
        <v>1</v>
      </c>
      <c r="J29" t="s">
        <v>21</v>
      </c>
      <c r="K29" s="2" t="s">
        <v>187</v>
      </c>
      <c r="L29" s="2" t="s">
        <v>1</v>
      </c>
      <c r="M29" t="s">
        <v>21</v>
      </c>
      <c r="N29" s="2" t="s">
        <v>187</v>
      </c>
      <c r="O29" s="2" t="s">
        <v>1</v>
      </c>
      <c r="P29" t="s">
        <v>21</v>
      </c>
      <c r="Q29" s="2" t="s">
        <v>187</v>
      </c>
      <c r="R29" s="2" t="s">
        <v>1</v>
      </c>
      <c r="S29" t="s">
        <v>23</v>
      </c>
      <c r="T29" s="2" t="s">
        <v>194</v>
      </c>
      <c r="U29" t="s">
        <v>1</v>
      </c>
      <c r="V29" t="s">
        <v>18</v>
      </c>
      <c r="W29" s="2" t="s">
        <v>194</v>
      </c>
      <c r="X29" t="s">
        <v>1</v>
      </c>
      <c r="Y29">
        <f t="shared" si="0"/>
        <v>763</v>
      </c>
    </row>
    <row r="30" spans="1:25" ht="142.5" customHeight="1" x14ac:dyDescent="0.25">
      <c r="A30" t="s">
        <v>183</v>
      </c>
      <c r="B30" t="s">
        <v>184</v>
      </c>
      <c r="C30" s="2" t="s">
        <v>1135</v>
      </c>
      <c r="D30" s="2" t="s">
        <v>1136</v>
      </c>
      <c r="E30" s="2" t="s">
        <v>222</v>
      </c>
      <c r="F30" s="2" t="s">
        <v>219</v>
      </c>
      <c r="G30" t="s">
        <v>23</v>
      </c>
      <c r="H30" s="2" t="s">
        <v>194</v>
      </c>
      <c r="I30" s="2" t="s">
        <v>1</v>
      </c>
      <c r="J30" t="s">
        <v>21</v>
      </c>
      <c r="K30" s="2" t="s">
        <v>187</v>
      </c>
      <c r="L30" s="2" t="s">
        <v>1</v>
      </c>
      <c r="M30" t="s">
        <v>18</v>
      </c>
      <c r="N30" s="2" t="s">
        <v>194</v>
      </c>
      <c r="O30" s="2" t="s">
        <v>1</v>
      </c>
      <c r="P30" t="s">
        <v>18</v>
      </c>
      <c r="Q30" s="2" t="s">
        <v>194</v>
      </c>
      <c r="R30" s="2" t="s">
        <v>1</v>
      </c>
      <c r="S30" t="s">
        <v>23</v>
      </c>
      <c r="T30" s="2" t="s">
        <v>194</v>
      </c>
      <c r="U30" t="s">
        <v>1</v>
      </c>
      <c r="V30" t="s">
        <v>18</v>
      </c>
      <c r="W30" s="2" t="s">
        <v>194</v>
      </c>
      <c r="X30" t="s">
        <v>1</v>
      </c>
      <c r="Y30">
        <f t="shared" si="0"/>
        <v>765</v>
      </c>
    </row>
    <row r="31" spans="1:25" ht="142.5" customHeight="1" x14ac:dyDescent="0.25">
      <c r="A31" t="s">
        <v>183</v>
      </c>
      <c r="B31" t="s">
        <v>184</v>
      </c>
      <c r="C31" s="2" t="s">
        <v>1135</v>
      </c>
      <c r="D31" s="2" t="s">
        <v>1136</v>
      </c>
      <c r="E31" s="2" t="s">
        <v>223</v>
      </c>
      <c r="F31" s="2" t="s">
        <v>219</v>
      </c>
      <c r="G31" t="s">
        <v>21</v>
      </c>
      <c r="H31" s="2" t="s">
        <v>187</v>
      </c>
      <c r="I31" s="2" t="s">
        <v>1</v>
      </c>
      <c r="J31" t="s">
        <v>21</v>
      </c>
      <c r="K31" s="2" t="s">
        <v>187</v>
      </c>
      <c r="L31" s="2" t="s">
        <v>1</v>
      </c>
      <c r="M31" t="s">
        <v>21</v>
      </c>
      <c r="N31" s="2" t="s">
        <v>187</v>
      </c>
      <c r="O31" s="2" t="s">
        <v>1</v>
      </c>
      <c r="P31" t="s">
        <v>21</v>
      </c>
      <c r="Q31" s="2" t="s">
        <v>187</v>
      </c>
      <c r="R31" s="2" t="s">
        <v>1</v>
      </c>
      <c r="S31" t="s">
        <v>18</v>
      </c>
      <c r="T31" s="2" t="s">
        <v>194</v>
      </c>
      <c r="U31" t="s">
        <v>1</v>
      </c>
      <c r="V31" t="s">
        <v>18</v>
      </c>
      <c r="W31" s="2" t="s">
        <v>194</v>
      </c>
      <c r="X31" t="s">
        <v>1</v>
      </c>
      <c r="Y31">
        <f t="shared" si="0"/>
        <v>758</v>
      </c>
    </row>
    <row r="32" spans="1:25" ht="142.5" customHeight="1" x14ac:dyDescent="0.25">
      <c r="A32" t="s">
        <v>183</v>
      </c>
      <c r="B32" t="s">
        <v>184</v>
      </c>
      <c r="C32" s="2" t="s">
        <v>1135</v>
      </c>
      <c r="D32" s="2" t="s">
        <v>1136</v>
      </c>
      <c r="E32" s="2" t="s">
        <v>224</v>
      </c>
      <c r="F32" s="2" t="s">
        <v>225</v>
      </c>
      <c r="G32" t="s">
        <v>23</v>
      </c>
      <c r="H32" s="2" t="s">
        <v>187</v>
      </c>
      <c r="I32" s="2" t="s">
        <v>1</v>
      </c>
      <c r="J32" t="s">
        <v>18</v>
      </c>
      <c r="K32" s="2" t="s">
        <v>194</v>
      </c>
      <c r="L32" s="2" t="s">
        <v>1</v>
      </c>
      <c r="M32" t="s">
        <v>23</v>
      </c>
      <c r="N32" s="2" t="s">
        <v>187</v>
      </c>
      <c r="O32" s="2" t="s">
        <v>1</v>
      </c>
      <c r="P32" t="s">
        <v>18</v>
      </c>
      <c r="Q32" s="2" t="s">
        <v>194</v>
      </c>
      <c r="R32" s="2" t="s">
        <v>1</v>
      </c>
      <c r="S32" t="s">
        <v>18</v>
      </c>
      <c r="T32" s="2" t="s">
        <v>194</v>
      </c>
      <c r="U32" t="s">
        <v>1</v>
      </c>
      <c r="V32" t="s">
        <v>18</v>
      </c>
      <c r="W32" s="2" t="s">
        <v>194</v>
      </c>
      <c r="X32" t="s">
        <v>1</v>
      </c>
      <c r="Y32">
        <f t="shared" si="0"/>
        <v>784</v>
      </c>
    </row>
    <row r="33" spans="1:25" ht="142.5" customHeight="1" x14ac:dyDescent="0.25">
      <c r="A33" t="s">
        <v>183</v>
      </c>
      <c r="B33" t="s">
        <v>184</v>
      </c>
      <c r="C33" s="2" t="s">
        <v>1135</v>
      </c>
      <c r="D33" s="2" t="s">
        <v>1136</v>
      </c>
      <c r="E33" s="2" t="s">
        <v>226</v>
      </c>
      <c r="F33" s="2" t="s">
        <v>225</v>
      </c>
      <c r="G33" t="s">
        <v>18</v>
      </c>
      <c r="H33" s="2" t="s">
        <v>194</v>
      </c>
      <c r="I33" s="2" t="s">
        <v>1</v>
      </c>
      <c r="J33" t="s">
        <v>1171</v>
      </c>
      <c r="K33" s="2" t="s">
        <v>194</v>
      </c>
      <c r="L33" s="2" t="s">
        <v>2</v>
      </c>
      <c r="M33" t="s">
        <v>23</v>
      </c>
      <c r="N33" s="2" t="s">
        <v>187</v>
      </c>
      <c r="O33" s="2" t="s">
        <v>1</v>
      </c>
      <c r="P33" t="s">
        <v>18</v>
      </c>
      <c r="Q33" s="2" t="s">
        <v>194</v>
      </c>
      <c r="R33" s="2" t="s">
        <v>1</v>
      </c>
      <c r="S33" t="s">
        <v>23</v>
      </c>
      <c r="T33" t="s">
        <v>187</v>
      </c>
      <c r="U33" t="s">
        <v>1</v>
      </c>
      <c r="V33" t="s">
        <v>18</v>
      </c>
      <c r="W33" s="2" t="s">
        <v>194</v>
      </c>
      <c r="X33" t="s">
        <v>1</v>
      </c>
      <c r="Y33">
        <f t="shared" si="0"/>
        <v>777</v>
      </c>
    </row>
    <row r="34" spans="1:25" ht="142.5" customHeight="1" x14ac:dyDescent="0.25">
      <c r="A34" t="s">
        <v>183</v>
      </c>
      <c r="B34" t="s">
        <v>184</v>
      </c>
      <c r="C34" s="2" t="s">
        <v>1135</v>
      </c>
      <c r="D34" s="2" t="s">
        <v>1136</v>
      </c>
      <c r="E34" s="2" t="s">
        <v>227</v>
      </c>
      <c r="F34" s="2" t="s">
        <v>225</v>
      </c>
      <c r="G34" t="s">
        <v>23</v>
      </c>
      <c r="H34" s="2" t="s">
        <v>187</v>
      </c>
      <c r="I34" s="2" t="s">
        <v>1</v>
      </c>
      <c r="J34" t="s">
        <v>18</v>
      </c>
      <c r="K34" s="2" t="s">
        <v>194</v>
      </c>
      <c r="L34" s="2" t="s">
        <v>1</v>
      </c>
      <c r="M34" t="s">
        <v>23</v>
      </c>
      <c r="N34" s="2" t="s">
        <v>187</v>
      </c>
      <c r="O34" s="2" t="s">
        <v>1</v>
      </c>
      <c r="P34" t="s">
        <v>18</v>
      </c>
      <c r="Q34" s="2" t="s">
        <v>194</v>
      </c>
      <c r="R34" s="2" t="s">
        <v>1</v>
      </c>
      <c r="S34" t="s">
        <v>18</v>
      </c>
      <c r="T34" s="2" t="s">
        <v>194</v>
      </c>
      <c r="U34" t="s">
        <v>1</v>
      </c>
      <c r="V34" t="s">
        <v>23</v>
      </c>
      <c r="W34" t="s">
        <v>187</v>
      </c>
      <c r="X34" t="s">
        <v>1</v>
      </c>
      <c r="Y34">
        <f t="shared" si="0"/>
        <v>765</v>
      </c>
    </row>
    <row r="35" spans="1:25" ht="142.5" customHeight="1" x14ac:dyDescent="0.25">
      <c r="A35" t="s">
        <v>183</v>
      </c>
      <c r="B35" t="s">
        <v>184</v>
      </c>
      <c r="C35" s="2" t="s">
        <v>1135</v>
      </c>
      <c r="D35" s="2" t="s">
        <v>1136</v>
      </c>
      <c r="E35" s="2" t="s">
        <v>228</v>
      </c>
      <c r="F35" s="2" t="s">
        <v>225</v>
      </c>
      <c r="G35" t="s">
        <v>18</v>
      </c>
      <c r="H35" s="2" t="s">
        <v>194</v>
      </c>
      <c r="I35" s="2" t="s">
        <v>1</v>
      </c>
      <c r="J35" t="s">
        <v>21</v>
      </c>
      <c r="K35" s="2" t="s">
        <v>194</v>
      </c>
      <c r="L35" s="2" t="s">
        <v>1</v>
      </c>
      <c r="M35" t="s">
        <v>18</v>
      </c>
      <c r="N35" s="2" t="s">
        <v>194</v>
      </c>
      <c r="O35" s="2" t="s">
        <v>1</v>
      </c>
      <c r="P35" t="s">
        <v>18</v>
      </c>
      <c r="Q35" s="2" t="s">
        <v>194</v>
      </c>
      <c r="R35" s="2" t="s">
        <v>1</v>
      </c>
      <c r="S35" t="s">
        <v>18</v>
      </c>
      <c r="T35" s="2" t="s">
        <v>194</v>
      </c>
      <c r="U35" t="s">
        <v>1</v>
      </c>
      <c r="V35" t="s">
        <v>18</v>
      </c>
      <c r="W35" s="2" t="s">
        <v>194</v>
      </c>
      <c r="X35" t="s">
        <v>1</v>
      </c>
      <c r="Y35">
        <f t="shared" si="0"/>
        <v>766</v>
      </c>
    </row>
    <row r="36" spans="1:25" ht="142.5" customHeight="1" x14ac:dyDescent="0.25">
      <c r="A36" t="s">
        <v>183</v>
      </c>
      <c r="B36" t="s">
        <v>184</v>
      </c>
      <c r="C36" s="2" t="s">
        <v>1135</v>
      </c>
      <c r="D36" s="2" t="s">
        <v>1136</v>
      </c>
      <c r="E36" s="2" t="s">
        <v>229</v>
      </c>
      <c r="F36" s="2" t="s">
        <v>225</v>
      </c>
      <c r="G36" t="s">
        <v>18</v>
      </c>
      <c r="H36" s="2" t="s">
        <v>194</v>
      </c>
      <c r="I36" s="2" t="s">
        <v>1</v>
      </c>
      <c r="J36" t="s">
        <v>18</v>
      </c>
      <c r="K36" s="2" t="s">
        <v>194</v>
      </c>
      <c r="L36" s="2" t="s">
        <v>1</v>
      </c>
      <c r="M36" t="s">
        <v>23</v>
      </c>
      <c r="N36" s="2" t="s">
        <v>187</v>
      </c>
      <c r="O36" s="2" t="s">
        <v>1</v>
      </c>
      <c r="P36" t="s">
        <v>18</v>
      </c>
      <c r="Q36" s="2" t="s">
        <v>194</v>
      </c>
      <c r="R36" s="2" t="s">
        <v>1</v>
      </c>
      <c r="S36" t="s">
        <v>18</v>
      </c>
      <c r="T36" s="2" t="s">
        <v>194</v>
      </c>
      <c r="U36" t="s">
        <v>1</v>
      </c>
      <c r="V36" t="s">
        <v>18</v>
      </c>
      <c r="W36" s="2" t="s">
        <v>194</v>
      </c>
      <c r="X36" t="s">
        <v>1</v>
      </c>
      <c r="Y36">
        <f t="shared" si="0"/>
        <v>768</v>
      </c>
    </row>
    <row r="37" spans="1:25" ht="142.5" customHeight="1" x14ac:dyDescent="0.25">
      <c r="A37" t="s">
        <v>183</v>
      </c>
      <c r="B37" t="s">
        <v>184</v>
      </c>
      <c r="C37" s="2" t="s">
        <v>1135</v>
      </c>
      <c r="D37" s="2" t="s">
        <v>1136</v>
      </c>
      <c r="E37" s="2" t="s">
        <v>230</v>
      </c>
      <c r="F37" s="2" t="s">
        <v>231</v>
      </c>
      <c r="G37" t="s">
        <v>18</v>
      </c>
      <c r="H37" s="2" t="s">
        <v>187</v>
      </c>
      <c r="I37" s="2" t="s">
        <v>1</v>
      </c>
      <c r="J37" t="s">
        <v>18</v>
      </c>
      <c r="K37" s="2" t="s">
        <v>187</v>
      </c>
      <c r="L37" s="2" t="s">
        <v>1</v>
      </c>
      <c r="M37" t="s">
        <v>18</v>
      </c>
      <c r="N37" s="2" t="s">
        <v>187</v>
      </c>
      <c r="O37" s="2" t="s">
        <v>1</v>
      </c>
      <c r="P37" t="s">
        <v>18</v>
      </c>
      <c r="Q37" s="2" t="s">
        <v>187</v>
      </c>
      <c r="R37" s="2" t="s">
        <v>1</v>
      </c>
      <c r="S37" t="s">
        <v>21</v>
      </c>
      <c r="T37" s="2" t="s">
        <v>194</v>
      </c>
      <c r="U37" t="s">
        <v>1</v>
      </c>
      <c r="V37" t="s">
        <v>18</v>
      </c>
      <c r="W37" s="2" t="s">
        <v>187</v>
      </c>
      <c r="X37" t="s">
        <v>1</v>
      </c>
      <c r="Y37">
        <f t="shared" si="0"/>
        <v>765</v>
      </c>
    </row>
    <row r="38" spans="1:25" ht="142.5" customHeight="1" x14ac:dyDescent="0.25">
      <c r="A38" t="s">
        <v>183</v>
      </c>
      <c r="B38" t="s">
        <v>184</v>
      </c>
      <c r="C38" s="2" t="s">
        <v>1135</v>
      </c>
      <c r="D38" s="2" t="s">
        <v>1136</v>
      </c>
      <c r="E38" s="2" t="s">
        <v>232</v>
      </c>
      <c r="F38" s="2" t="s">
        <v>231</v>
      </c>
      <c r="G38" t="s">
        <v>18</v>
      </c>
      <c r="H38" s="2" t="s">
        <v>187</v>
      </c>
      <c r="I38" s="2" t="s">
        <v>1</v>
      </c>
      <c r="J38" t="s">
        <v>21</v>
      </c>
      <c r="K38" s="2" t="s">
        <v>194</v>
      </c>
      <c r="L38" s="2" t="s">
        <v>1</v>
      </c>
      <c r="M38" t="s">
        <v>18</v>
      </c>
      <c r="N38" s="2" t="s">
        <v>187</v>
      </c>
      <c r="O38" s="2" t="s">
        <v>1</v>
      </c>
      <c r="P38" t="s">
        <v>21</v>
      </c>
      <c r="Q38" s="2" t="s">
        <v>194</v>
      </c>
      <c r="R38" s="2" t="s">
        <v>1</v>
      </c>
      <c r="S38" t="s">
        <v>18</v>
      </c>
      <c r="T38" t="s">
        <v>187</v>
      </c>
      <c r="U38" t="s">
        <v>1</v>
      </c>
      <c r="V38" t="s">
        <v>18</v>
      </c>
      <c r="W38" s="2" t="s">
        <v>187</v>
      </c>
      <c r="X38" t="s">
        <v>1</v>
      </c>
      <c r="Y38">
        <f t="shared" si="0"/>
        <v>766</v>
      </c>
    </row>
    <row r="39" spans="1:25" ht="142.5" customHeight="1" x14ac:dyDescent="0.25">
      <c r="A39" t="s">
        <v>183</v>
      </c>
      <c r="B39" t="s">
        <v>184</v>
      </c>
      <c r="C39" s="2" t="s">
        <v>1135</v>
      </c>
      <c r="D39" s="2" t="s">
        <v>1136</v>
      </c>
      <c r="E39" s="2" t="s">
        <v>233</v>
      </c>
      <c r="F39" s="2" t="s">
        <v>231</v>
      </c>
      <c r="G39" t="s">
        <v>18</v>
      </c>
      <c r="H39" s="2" t="s">
        <v>187</v>
      </c>
      <c r="I39" s="2" t="s">
        <v>1</v>
      </c>
      <c r="J39" t="s">
        <v>21</v>
      </c>
      <c r="K39" s="2" t="s">
        <v>194</v>
      </c>
      <c r="L39" s="2" t="s">
        <v>1</v>
      </c>
      <c r="M39" t="s">
        <v>18</v>
      </c>
      <c r="N39" s="2" t="s">
        <v>187</v>
      </c>
      <c r="O39" s="2" t="s">
        <v>1</v>
      </c>
      <c r="P39" t="s">
        <v>21</v>
      </c>
      <c r="Q39" s="2" t="s">
        <v>194</v>
      </c>
      <c r="R39" s="2" t="s">
        <v>1</v>
      </c>
      <c r="S39" t="s">
        <v>18</v>
      </c>
      <c r="T39" t="s">
        <v>187</v>
      </c>
      <c r="U39" t="s">
        <v>1</v>
      </c>
      <c r="V39" t="s">
        <v>18</v>
      </c>
      <c r="W39" s="2" t="s">
        <v>187</v>
      </c>
      <c r="X39" t="s">
        <v>1</v>
      </c>
      <c r="Y39">
        <f t="shared" si="0"/>
        <v>761</v>
      </c>
    </row>
    <row r="40" spans="1:25" ht="142.5" customHeight="1" x14ac:dyDescent="0.25">
      <c r="A40" t="s">
        <v>183</v>
      </c>
      <c r="B40" t="s">
        <v>184</v>
      </c>
      <c r="C40" s="2" t="s">
        <v>1135</v>
      </c>
      <c r="D40" s="2" t="s">
        <v>1136</v>
      </c>
      <c r="E40" s="2" t="s">
        <v>234</v>
      </c>
      <c r="F40" s="2" t="s">
        <v>231</v>
      </c>
      <c r="G40" t="s">
        <v>23</v>
      </c>
      <c r="H40" s="2" t="s">
        <v>194</v>
      </c>
      <c r="I40" s="2" t="s">
        <v>1</v>
      </c>
      <c r="J40" t="s">
        <v>21</v>
      </c>
      <c r="K40" s="2" t="s">
        <v>194</v>
      </c>
      <c r="L40" s="2" t="s">
        <v>1</v>
      </c>
      <c r="M40" t="s">
        <v>18</v>
      </c>
      <c r="N40" s="2" t="s">
        <v>187</v>
      </c>
      <c r="O40" s="2" t="s">
        <v>1</v>
      </c>
      <c r="P40" t="s">
        <v>18</v>
      </c>
      <c r="Q40" s="2" t="s">
        <v>187</v>
      </c>
      <c r="R40" s="2" t="s">
        <v>1</v>
      </c>
      <c r="S40" t="s">
        <v>18</v>
      </c>
      <c r="T40" t="s">
        <v>187</v>
      </c>
      <c r="U40" t="s">
        <v>1</v>
      </c>
      <c r="V40" t="s">
        <v>18</v>
      </c>
      <c r="W40" s="2" t="s">
        <v>187</v>
      </c>
      <c r="X40" t="s">
        <v>1</v>
      </c>
      <c r="Y40">
        <f t="shared" si="0"/>
        <v>765</v>
      </c>
    </row>
    <row r="41" spans="1:25" ht="142.5" customHeight="1" x14ac:dyDescent="0.25">
      <c r="A41" t="s">
        <v>183</v>
      </c>
      <c r="B41" t="s">
        <v>184</v>
      </c>
      <c r="C41" s="2" t="s">
        <v>1135</v>
      </c>
      <c r="D41" s="2" t="s">
        <v>1136</v>
      </c>
      <c r="E41" s="2" t="s">
        <v>235</v>
      </c>
      <c r="F41" s="2" t="s">
        <v>231</v>
      </c>
      <c r="G41" t="s">
        <v>23</v>
      </c>
      <c r="H41" s="2" t="s">
        <v>194</v>
      </c>
      <c r="I41" s="2" t="s">
        <v>1</v>
      </c>
      <c r="J41" t="s">
        <v>21</v>
      </c>
      <c r="K41" s="2" t="s">
        <v>194</v>
      </c>
      <c r="L41" s="2" t="s">
        <v>1</v>
      </c>
      <c r="M41" t="s">
        <v>18</v>
      </c>
      <c r="N41" s="2" t="s">
        <v>187</v>
      </c>
      <c r="O41" s="2" t="s">
        <v>1</v>
      </c>
      <c r="P41" t="s">
        <v>21</v>
      </c>
      <c r="Q41" s="2" t="s">
        <v>194</v>
      </c>
      <c r="R41" s="2" t="s">
        <v>1</v>
      </c>
      <c r="S41" t="s">
        <v>23</v>
      </c>
      <c r="T41" s="2" t="s">
        <v>194</v>
      </c>
      <c r="U41" t="s">
        <v>1</v>
      </c>
      <c r="V41" t="s">
        <v>18</v>
      </c>
      <c r="W41" s="2" t="s">
        <v>187</v>
      </c>
      <c r="X41" t="s">
        <v>1</v>
      </c>
      <c r="Y41">
        <f t="shared" si="0"/>
        <v>768</v>
      </c>
    </row>
    <row r="42" spans="1:25" ht="142.5" customHeight="1" x14ac:dyDescent="0.25">
      <c r="A42" t="s">
        <v>183</v>
      </c>
      <c r="B42" t="s">
        <v>184</v>
      </c>
      <c r="C42" s="2" t="s">
        <v>1135</v>
      </c>
      <c r="D42" s="2" t="s">
        <v>1136</v>
      </c>
      <c r="E42" s="2" t="s">
        <v>236</v>
      </c>
      <c r="F42" s="2" t="s">
        <v>237</v>
      </c>
      <c r="G42" t="s">
        <v>23</v>
      </c>
      <c r="H42" s="2" t="s">
        <v>194</v>
      </c>
      <c r="I42" s="2" t="s">
        <v>1</v>
      </c>
      <c r="J42" t="s">
        <v>23</v>
      </c>
      <c r="K42" s="2" t="s">
        <v>194</v>
      </c>
      <c r="L42" s="2" t="s">
        <v>1</v>
      </c>
      <c r="M42" t="s">
        <v>18</v>
      </c>
      <c r="N42" s="2" t="s">
        <v>187</v>
      </c>
      <c r="O42" s="2" t="s">
        <v>1</v>
      </c>
      <c r="P42" t="s">
        <v>18</v>
      </c>
      <c r="Q42" s="2" t="s">
        <v>187</v>
      </c>
      <c r="R42" s="2" t="s">
        <v>1</v>
      </c>
      <c r="S42" t="s">
        <v>23</v>
      </c>
      <c r="T42" s="2" t="s">
        <v>194</v>
      </c>
      <c r="U42" t="s">
        <v>1</v>
      </c>
      <c r="V42" t="s">
        <v>18</v>
      </c>
      <c r="W42" s="2" t="s">
        <v>187</v>
      </c>
      <c r="X42" t="s">
        <v>1</v>
      </c>
      <c r="Y42">
        <f t="shared" si="0"/>
        <v>763</v>
      </c>
    </row>
    <row r="43" spans="1:25" ht="142.5" customHeight="1" x14ac:dyDescent="0.25">
      <c r="A43" t="s">
        <v>183</v>
      </c>
      <c r="B43" t="s">
        <v>184</v>
      </c>
      <c r="C43" s="2" t="s">
        <v>1135</v>
      </c>
      <c r="D43" s="2" t="s">
        <v>1136</v>
      </c>
      <c r="E43" s="2" t="s">
        <v>238</v>
      </c>
      <c r="F43" s="2" t="s">
        <v>237</v>
      </c>
      <c r="G43" t="s">
        <v>18</v>
      </c>
      <c r="H43" s="2" t="s">
        <v>187</v>
      </c>
      <c r="I43" s="2" t="s">
        <v>1</v>
      </c>
      <c r="J43" t="s">
        <v>18</v>
      </c>
      <c r="K43" s="2" t="s">
        <v>187</v>
      </c>
      <c r="L43" s="2" t="s">
        <v>1</v>
      </c>
      <c r="M43" t="s">
        <v>18</v>
      </c>
      <c r="N43" s="2" t="s">
        <v>187</v>
      </c>
      <c r="O43" s="2" t="s">
        <v>1</v>
      </c>
      <c r="P43" t="s">
        <v>18</v>
      </c>
      <c r="Q43" s="2" t="s">
        <v>187</v>
      </c>
      <c r="R43" s="2" t="s">
        <v>1</v>
      </c>
      <c r="S43" t="s">
        <v>18</v>
      </c>
      <c r="T43" t="s">
        <v>187</v>
      </c>
      <c r="U43" t="s">
        <v>1</v>
      </c>
      <c r="V43" t="s">
        <v>18</v>
      </c>
      <c r="W43" s="2" t="s">
        <v>187</v>
      </c>
      <c r="X43" t="s">
        <v>1</v>
      </c>
      <c r="Y43">
        <f t="shared" si="0"/>
        <v>757</v>
      </c>
    </row>
    <row r="44" spans="1:25" ht="142.5" customHeight="1" x14ac:dyDescent="0.25">
      <c r="A44" t="s">
        <v>183</v>
      </c>
      <c r="B44" t="s">
        <v>184</v>
      </c>
      <c r="C44" s="2" t="s">
        <v>1135</v>
      </c>
      <c r="D44" s="2" t="s">
        <v>1136</v>
      </c>
      <c r="E44" s="2" t="s">
        <v>239</v>
      </c>
      <c r="F44" s="2" t="s">
        <v>237</v>
      </c>
      <c r="G44" t="s">
        <v>18</v>
      </c>
      <c r="H44" s="2" t="s">
        <v>187</v>
      </c>
      <c r="I44" s="2" t="s">
        <v>1</v>
      </c>
      <c r="J44" t="s">
        <v>18</v>
      </c>
      <c r="K44" s="2" t="s">
        <v>187</v>
      </c>
      <c r="L44" s="2" t="s">
        <v>1</v>
      </c>
      <c r="M44" t="s">
        <v>18</v>
      </c>
      <c r="N44" s="2" t="s">
        <v>187</v>
      </c>
      <c r="O44" s="2" t="s">
        <v>1</v>
      </c>
      <c r="P44" t="s">
        <v>18</v>
      </c>
      <c r="Q44" s="2" t="s">
        <v>187</v>
      </c>
      <c r="R44" s="2" t="s">
        <v>1</v>
      </c>
      <c r="S44" t="s">
        <v>18</v>
      </c>
      <c r="T44" t="s">
        <v>187</v>
      </c>
      <c r="U44" t="s">
        <v>1</v>
      </c>
      <c r="V44" t="s">
        <v>18</v>
      </c>
      <c r="W44" s="2" t="s">
        <v>187</v>
      </c>
      <c r="X44" t="s">
        <v>1</v>
      </c>
      <c r="Y44">
        <f t="shared" si="0"/>
        <v>760</v>
      </c>
    </row>
    <row r="45" spans="1:25" ht="142.5" customHeight="1" x14ac:dyDescent="0.25">
      <c r="A45" t="s">
        <v>183</v>
      </c>
      <c r="B45" t="s">
        <v>184</v>
      </c>
      <c r="C45" s="2" t="s">
        <v>1135</v>
      </c>
      <c r="D45" s="2" t="s">
        <v>1136</v>
      </c>
      <c r="E45" s="2" t="s">
        <v>240</v>
      </c>
      <c r="F45" s="2" t="s">
        <v>237</v>
      </c>
      <c r="G45" t="s">
        <v>18</v>
      </c>
      <c r="H45" s="2" t="s">
        <v>187</v>
      </c>
      <c r="I45" s="2" t="s">
        <v>1</v>
      </c>
      <c r="J45" t="s">
        <v>1172</v>
      </c>
      <c r="K45" s="2" t="s">
        <v>187</v>
      </c>
      <c r="L45" s="2" t="s">
        <v>2</v>
      </c>
      <c r="M45" t="s">
        <v>18</v>
      </c>
      <c r="N45" s="2" t="s">
        <v>187</v>
      </c>
      <c r="O45" s="2" t="s">
        <v>1</v>
      </c>
      <c r="P45" t="s">
        <v>18</v>
      </c>
      <c r="Q45" s="2" t="s">
        <v>187</v>
      </c>
      <c r="R45" s="2" t="s">
        <v>1</v>
      </c>
      <c r="S45" t="s">
        <v>18</v>
      </c>
      <c r="T45" t="s">
        <v>187</v>
      </c>
      <c r="U45" t="s">
        <v>1</v>
      </c>
      <c r="V45" t="s">
        <v>18</v>
      </c>
      <c r="W45" s="2" t="s">
        <v>187</v>
      </c>
      <c r="X45" t="s">
        <v>1</v>
      </c>
      <c r="Y45">
        <f t="shared" si="0"/>
        <v>745</v>
      </c>
    </row>
    <row r="46" spans="1:25" ht="142.5" customHeight="1" x14ac:dyDescent="0.25">
      <c r="A46" t="s">
        <v>183</v>
      </c>
      <c r="B46" t="s">
        <v>184</v>
      </c>
      <c r="C46" s="2" t="s">
        <v>1135</v>
      </c>
      <c r="D46" s="2" t="s">
        <v>1136</v>
      </c>
      <c r="E46" s="2" t="s">
        <v>241</v>
      </c>
      <c r="F46" s="2" t="s">
        <v>237</v>
      </c>
      <c r="G46" t="s">
        <v>23</v>
      </c>
      <c r="H46" s="2" t="s">
        <v>194</v>
      </c>
      <c r="I46" s="2" t="s">
        <v>1</v>
      </c>
      <c r="J46" t="s">
        <v>21</v>
      </c>
      <c r="K46" s="2" t="s">
        <v>194</v>
      </c>
      <c r="L46" s="2" t="s">
        <v>1</v>
      </c>
      <c r="M46" t="s">
        <v>18</v>
      </c>
      <c r="N46" s="2" t="s">
        <v>187</v>
      </c>
      <c r="O46" s="2" t="s">
        <v>1</v>
      </c>
      <c r="P46" t="s">
        <v>18</v>
      </c>
      <c r="Q46" s="2" t="s">
        <v>187</v>
      </c>
      <c r="R46" s="2" t="s">
        <v>1</v>
      </c>
      <c r="S46" t="s">
        <v>23</v>
      </c>
      <c r="T46" s="2" t="s">
        <v>194</v>
      </c>
      <c r="U46" t="s">
        <v>1</v>
      </c>
      <c r="V46" t="s">
        <v>23</v>
      </c>
      <c r="W46" s="2" t="s">
        <v>194</v>
      </c>
      <c r="X46" t="s">
        <v>1</v>
      </c>
      <c r="Y46">
        <f t="shared" si="0"/>
        <v>772</v>
      </c>
    </row>
    <row r="47" spans="1:25" ht="142.5" customHeight="1" x14ac:dyDescent="0.25">
      <c r="A47" t="s">
        <v>183</v>
      </c>
      <c r="B47" t="s">
        <v>184</v>
      </c>
      <c r="C47" s="2" t="s">
        <v>1135</v>
      </c>
      <c r="D47" s="2" t="s">
        <v>1136</v>
      </c>
      <c r="E47" s="2" t="s">
        <v>242</v>
      </c>
      <c r="F47" s="2" t="s">
        <v>243</v>
      </c>
      <c r="G47" t="s">
        <v>23</v>
      </c>
      <c r="H47" s="2" t="s">
        <v>187</v>
      </c>
      <c r="I47" s="2" t="s">
        <v>1</v>
      </c>
      <c r="J47" t="s">
        <v>21</v>
      </c>
      <c r="K47" s="2" t="s">
        <v>194</v>
      </c>
      <c r="L47" s="2" t="s">
        <v>1</v>
      </c>
      <c r="M47" t="s">
        <v>23</v>
      </c>
      <c r="N47" s="2" t="s">
        <v>187</v>
      </c>
      <c r="O47" s="2" t="s">
        <v>1</v>
      </c>
      <c r="P47" t="s">
        <v>21</v>
      </c>
      <c r="Q47" s="2" t="s">
        <v>194</v>
      </c>
      <c r="R47" s="2" t="s">
        <v>1</v>
      </c>
      <c r="S47" t="s">
        <v>21</v>
      </c>
      <c r="T47" s="2" t="s">
        <v>194</v>
      </c>
      <c r="U47" t="s">
        <v>1</v>
      </c>
      <c r="V47" t="s">
        <v>21</v>
      </c>
      <c r="W47" s="2" t="s">
        <v>194</v>
      </c>
      <c r="X47" t="s">
        <v>1</v>
      </c>
      <c r="Y47">
        <f t="shared" si="0"/>
        <v>780</v>
      </c>
    </row>
    <row r="48" spans="1:25" ht="142.5" customHeight="1" x14ac:dyDescent="0.25">
      <c r="A48" t="s">
        <v>183</v>
      </c>
      <c r="B48" t="s">
        <v>184</v>
      </c>
      <c r="C48" s="2" t="s">
        <v>1135</v>
      </c>
      <c r="D48" s="2" t="s">
        <v>1136</v>
      </c>
      <c r="E48" s="2" t="s">
        <v>244</v>
      </c>
      <c r="F48" s="2" t="s">
        <v>243</v>
      </c>
      <c r="G48" t="s">
        <v>23</v>
      </c>
      <c r="H48" s="2" t="s">
        <v>187</v>
      </c>
      <c r="I48" s="2" t="s">
        <v>1</v>
      </c>
      <c r="J48" t="s">
        <v>21</v>
      </c>
      <c r="K48" s="2" t="s">
        <v>194</v>
      </c>
      <c r="L48" s="2" t="s">
        <v>1</v>
      </c>
      <c r="M48" t="s">
        <v>23</v>
      </c>
      <c r="N48" s="2" t="s">
        <v>187</v>
      </c>
      <c r="O48" s="2" t="s">
        <v>1</v>
      </c>
      <c r="P48" t="s">
        <v>23</v>
      </c>
      <c r="Q48" s="2" t="s">
        <v>187</v>
      </c>
      <c r="R48" s="2" t="s">
        <v>1</v>
      </c>
      <c r="S48" t="s">
        <v>23</v>
      </c>
      <c r="T48" t="s">
        <v>187</v>
      </c>
      <c r="U48" t="s">
        <v>1</v>
      </c>
      <c r="V48" t="s">
        <v>23</v>
      </c>
      <c r="W48" t="s">
        <v>187</v>
      </c>
      <c r="X48" t="s">
        <v>1</v>
      </c>
      <c r="Y48">
        <f t="shared" si="0"/>
        <v>778</v>
      </c>
    </row>
    <row r="49" spans="1:25" ht="142.5" customHeight="1" x14ac:dyDescent="0.25">
      <c r="A49" t="s">
        <v>183</v>
      </c>
      <c r="B49" t="s">
        <v>184</v>
      </c>
      <c r="C49" s="2" t="s">
        <v>1135</v>
      </c>
      <c r="D49" s="2" t="s">
        <v>1136</v>
      </c>
      <c r="E49" s="2" t="s">
        <v>245</v>
      </c>
      <c r="F49" s="2" t="s">
        <v>243</v>
      </c>
      <c r="G49" t="s">
        <v>23</v>
      </c>
      <c r="H49" s="2" t="s">
        <v>187</v>
      </c>
      <c r="I49" s="2" t="s">
        <v>1</v>
      </c>
      <c r="J49" t="s">
        <v>21</v>
      </c>
      <c r="K49" s="2" t="s">
        <v>194</v>
      </c>
      <c r="L49" s="2" t="s">
        <v>1</v>
      </c>
      <c r="M49" t="s">
        <v>23</v>
      </c>
      <c r="N49" s="2" t="s">
        <v>187</v>
      </c>
      <c r="O49" s="2" t="s">
        <v>1</v>
      </c>
      <c r="P49" t="s">
        <v>21</v>
      </c>
      <c r="Q49" s="2" t="s">
        <v>194</v>
      </c>
      <c r="R49" s="2" t="s">
        <v>1</v>
      </c>
      <c r="S49" t="s">
        <v>23</v>
      </c>
      <c r="T49" t="s">
        <v>187</v>
      </c>
      <c r="U49" t="s">
        <v>1</v>
      </c>
      <c r="V49" t="s">
        <v>23</v>
      </c>
      <c r="W49" t="s">
        <v>187</v>
      </c>
      <c r="X49" t="s">
        <v>1</v>
      </c>
      <c r="Y49">
        <f t="shared" si="0"/>
        <v>774</v>
      </c>
    </row>
    <row r="50" spans="1:25" ht="142.5" customHeight="1" x14ac:dyDescent="0.25">
      <c r="A50" t="s">
        <v>183</v>
      </c>
      <c r="B50" t="s">
        <v>184</v>
      </c>
      <c r="C50" s="2" t="s">
        <v>1135</v>
      </c>
      <c r="D50" s="2" t="s">
        <v>1136</v>
      </c>
      <c r="E50" s="2" t="s">
        <v>246</v>
      </c>
      <c r="F50" s="2" t="s">
        <v>243</v>
      </c>
      <c r="G50" t="s">
        <v>23</v>
      </c>
      <c r="H50" s="2" t="s">
        <v>187</v>
      </c>
      <c r="I50" s="2" t="s">
        <v>1</v>
      </c>
      <c r="J50" t="s">
        <v>1173</v>
      </c>
      <c r="K50" s="2" t="s">
        <v>187</v>
      </c>
      <c r="L50" s="2" t="s">
        <v>2</v>
      </c>
      <c r="M50" t="s">
        <v>23</v>
      </c>
      <c r="N50" s="2" t="s">
        <v>187</v>
      </c>
      <c r="O50" s="2" t="s">
        <v>1</v>
      </c>
      <c r="P50" t="s">
        <v>21</v>
      </c>
      <c r="Q50" s="2" t="s">
        <v>194</v>
      </c>
      <c r="R50" s="2" t="s">
        <v>1</v>
      </c>
      <c r="S50" t="s">
        <v>23</v>
      </c>
      <c r="T50" t="s">
        <v>187</v>
      </c>
      <c r="U50" t="s">
        <v>1</v>
      </c>
      <c r="V50" t="s">
        <v>18</v>
      </c>
      <c r="W50" s="2" t="s">
        <v>194</v>
      </c>
      <c r="X50" t="s">
        <v>1</v>
      </c>
      <c r="Y50">
        <f t="shared" si="0"/>
        <v>774</v>
      </c>
    </row>
    <row r="51" spans="1:25" ht="142.5" customHeight="1" x14ac:dyDescent="0.25">
      <c r="A51" t="s">
        <v>183</v>
      </c>
      <c r="B51" t="s">
        <v>184</v>
      </c>
      <c r="C51" s="2" t="s">
        <v>1135</v>
      </c>
      <c r="D51" s="2" t="s">
        <v>1136</v>
      </c>
      <c r="E51" s="2" t="s">
        <v>247</v>
      </c>
      <c r="F51" s="2" t="s">
        <v>243</v>
      </c>
      <c r="G51" t="s">
        <v>23</v>
      </c>
      <c r="H51" s="2" t="s">
        <v>187</v>
      </c>
      <c r="I51" s="2" t="s">
        <v>1</v>
      </c>
      <c r="J51" t="s">
        <v>23</v>
      </c>
      <c r="K51" s="2" t="s">
        <v>187</v>
      </c>
      <c r="L51" s="2" t="s">
        <v>1</v>
      </c>
      <c r="M51" t="s">
        <v>23</v>
      </c>
      <c r="N51" s="2" t="s">
        <v>187</v>
      </c>
      <c r="O51" s="2" t="s">
        <v>1</v>
      </c>
      <c r="P51" t="s">
        <v>23</v>
      </c>
      <c r="Q51" s="2" t="s">
        <v>187</v>
      </c>
      <c r="R51" s="2" t="s">
        <v>1</v>
      </c>
      <c r="S51" t="s">
        <v>23</v>
      </c>
      <c r="T51" t="s">
        <v>187</v>
      </c>
      <c r="U51" t="s">
        <v>1</v>
      </c>
      <c r="V51" t="s">
        <v>23</v>
      </c>
      <c r="W51" t="s">
        <v>187</v>
      </c>
      <c r="X51" t="s">
        <v>1</v>
      </c>
      <c r="Y51">
        <f t="shared" si="0"/>
        <v>779</v>
      </c>
    </row>
    <row r="52" spans="1:25" ht="142.5" customHeight="1" x14ac:dyDescent="0.25">
      <c r="A52" t="s">
        <v>183</v>
      </c>
      <c r="B52" t="s">
        <v>184</v>
      </c>
      <c r="C52" s="2" t="s">
        <v>1135</v>
      </c>
      <c r="D52" s="2" t="s">
        <v>1136</v>
      </c>
      <c r="E52" s="2" t="s">
        <v>248</v>
      </c>
      <c r="F52" s="2" t="s">
        <v>249</v>
      </c>
      <c r="G52" t="s">
        <v>23</v>
      </c>
      <c r="H52" s="2" t="s">
        <v>194</v>
      </c>
      <c r="I52" s="2" t="s">
        <v>1</v>
      </c>
      <c r="J52" t="s">
        <v>21</v>
      </c>
      <c r="K52" s="2" t="s">
        <v>187</v>
      </c>
      <c r="L52" s="2" t="s">
        <v>1</v>
      </c>
      <c r="M52" t="s">
        <v>21</v>
      </c>
      <c r="N52" s="2" t="s">
        <v>187</v>
      </c>
      <c r="O52" s="2" t="s">
        <v>1</v>
      </c>
      <c r="P52" t="s">
        <v>21</v>
      </c>
      <c r="Q52" s="2" t="s">
        <v>187</v>
      </c>
      <c r="R52" s="2" t="s">
        <v>1</v>
      </c>
      <c r="S52" t="s">
        <v>21</v>
      </c>
      <c r="T52" s="2" t="s">
        <v>187</v>
      </c>
      <c r="U52" t="s">
        <v>1</v>
      </c>
      <c r="V52" t="s">
        <v>18</v>
      </c>
      <c r="W52" s="2" t="s">
        <v>194</v>
      </c>
      <c r="X52" t="s">
        <v>1</v>
      </c>
      <c r="Y52">
        <f t="shared" si="0"/>
        <v>773</v>
      </c>
    </row>
    <row r="53" spans="1:25" ht="142.5" customHeight="1" x14ac:dyDescent="0.25">
      <c r="A53" t="s">
        <v>183</v>
      </c>
      <c r="B53" t="s">
        <v>184</v>
      </c>
      <c r="C53" s="2" t="s">
        <v>1135</v>
      </c>
      <c r="D53" s="2" t="s">
        <v>1136</v>
      </c>
      <c r="E53" s="2" t="s">
        <v>250</v>
      </c>
      <c r="F53" s="2" t="s">
        <v>249</v>
      </c>
      <c r="G53" t="s">
        <v>23</v>
      </c>
      <c r="H53" s="2" t="s">
        <v>194</v>
      </c>
      <c r="I53" s="2" t="s">
        <v>1</v>
      </c>
      <c r="J53" t="s">
        <v>21</v>
      </c>
      <c r="K53" s="2" t="s">
        <v>187</v>
      </c>
      <c r="L53" s="2" t="s">
        <v>1</v>
      </c>
      <c r="M53" t="s">
        <v>23</v>
      </c>
      <c r="N53" s="2" t="s">
        <v>194</v>
      </c>
      <c r="O53" s="2" t="s">
        <v>1</v>
      </c>
      <c r="P53" t="s">
        <v>21</v>
      </c>
      <c r="Q53" s="2" t="s">
        <v>187</v>
      </c>
      <c r="R53" s="2" t="s">
        <v>1</v>
      </c>
      <c r="S53" t="s">
        <v>21</v>
      </c>
      <c r="T53" s="2" t="s">
        <v>187</v>
      </c>
      <c r="U53" t="s">
        <v>1</v>
      </c>
      <c r="V53" t="s">
        <v>18</v>
      </c>
      <c r="W53" s="2" t="s">
        <v>194</v>
      </c>
      <c r="X53" t="s">
        <v>1</v>
      </c>
      <c r="Y53">
        <f t="shared" si="0"/>
        <v>762</v>
      </c>
    </row>
    <row r="54" spans="1:25" ht="142.5" customHeight="1" x14ac:dyDescent="0.25">
      <c r="A54" t="s">
        <v>183</v>
      </c>
      <c r="B54" t="s">
        <v>184</v>
      </c>
      <c r="C54" s="2" t="s">
        <v>1135</v>
      </c>
      <c r="D54" s="2" t="s">
        <v>1136</v>
      </c>
      <c r="E54" s="2" t="s">
        <v>251</v>
      </c>
      <c r="F54" s="2" t="s">
        <v>249</v>
      </c>
      <c r="G54" t="s">
        <v>23</v>
      </c>
      <c r="H54" s="2" t="s">
        <v>194</v>
      </c>
      <c r="I54" s="2" t="s">
        <v>1</v>
      </c>
      <c r="J54" t="s">
        <v>21</v>
      </c>
      <c r="K54" s="2" t="s">
        <v>187</v>
      </c>
      <c r="L54" s="2" t="s">
        <v>1</v>
      </c>
      <c r="M54" t="s">
        <v>23</v>
      </c>
      <c r="N54" s="2" t="s">
        <v>194</v>
      </c>
      <c r="O54" s="2" t="s">
        <v>1</v>
      </c>
      <c r="P54" t="s">
        <v>18</v>
      </c>
      <c r="Q54" s="2" t="s">
        <v>194</v>
      </c>
      <c r="R54" s="2" t="s">
        <v>1</v>
      </c>
      <c r="S54" t="s">
        <v>21</v>
      </c>
      <c r="T54" s="2" t="s">
        <v>187</v>
      </c>
      <c r="U54" t="s">
        <v>1</v>
      </c>
      <c r="V54" t="s">
        <v>18</v>
      </c>
      <c r="W54" s="2" t="s">
        <v>194</v>
      </c>
      <c r="X54" t="s">
        <v>1</v>
      </c>
      <c r="Y54">
        <f t="shared" si="0"/>
        <v>766</v>
      </c>
    </row>
    <row r="55" spans="1:25" ht="142.5" customHeight="1" x14ac:dyDescent="0.25">
      <c r="A55" t="s">
        <v>183</v>
      </c>
      <c r="B55" t="s">
        <v>184</v>
      </c>
      <c r="C55" s="2" t="s">
        <v>1135</v>
      </c>
      <c r="D55" s="2" t="s">
        <v>1136</v>
      </c>
      <c r="E55" s="2" t="s">
        <v>252</v>
      </c>
      <c r="F55" s="2" t="s">
        <v>249</v>
      </c>
      <c r="G55" t="s">
        <v>23</v>
      </c>
      <c r="H55" s="2" t="s">
        <v>194</v>
      </c>
      <c r="I55" s="2" t="s">
        <v>1</v>
      </c>
      <c r="J55" t="s">
        <v>21</v>
      </c>
      <c r="K55" s="2" t="s">
        <v>187</v>
      </c>
      <c r="L55" s="2" t="s">
        <v>1</v>
      </c>
      <c r="M55" t="s">
        <v>23</v>
      </c>
      <c r="N55" s="2" t="s">
        <v>194</v>
      </c>
      <c r="O55" s="2" t="s">
        <v>1</v>
      </c>
      <c r="P55" t="s">
        <v>18</v>
      </c>
      <c r="Q55" s="2" t="s">
        <v>194</v>
      </c>
      <c r="R55" s="2" t="s">
        <v>1</v>
      </c>
      <c r="S55" t="s">
        <v>18</v>
      </c>
      <c r="T55" s="2" t="s">
        <v>194</v>
      </c>
      <c r="U55" t="s">
        <v>1</v>
      </c>
      <c r="V55" t="s">
        <v>18</v>
      </c>
      <c r="W55" s="2" t="s">
        <v>194</v>
      </c>
      <c r="X55" t="s">
        <v>1</v>
      </c>
      <c r="Y55">
        <f t="shared" si="0"/>
        <v>768</v>
      </c>
    </row>
    <row r="56" spans="1:25" ht="142.5" customHeight="1" x14ac:dyDescent="0.25">
      <c r="A56" t="s">
        <v>183</v>
      </c>
      <c r="B56" t="s">
        <v>184</v>
      </c>
      <c r="C56" s="2" t="s">
        <v>1135</v>
      </c>
      <c r="D56" s="2" t="s">
        <v>1136</v>
      </c>
      <c r="E56" s="2" t="s">
        <v>253</v>
      </c>
      <c r="F56" s="2" t="s">
        <v>249</v>
      </c>
      <c r="G56" t="s">
        <v>21</v>
      </c>
      <c r="H56" s="2" t="s">
        <v>194</v>
      </c>
      <c r="I56" s="2" t="s">
        <v>1</v>
      </c>
      <c r="J56" t="s">
        <v>1174</v>
      </c>
      <c r="K56" s="2" t="s">
        <v>194</v>
      </c>
      <c r="L56" s="2" t="s">
        <v>2</v>
      </c>
      <c r="M56" t="s">
        <v>21</v>
      </c>
      <c r="N56" s="2" t="s">
        <v>187</v>
      </c>
      <c r="O56" s="2" t="s">
        <v>1</v>
      </c>
      <c r="P56" t="s">
        <v>21</v>
      </c>
      <c r="Q56" s="2" t="s">
        <v>187</v>
      </c>
      <c r="R56" s="2" t="s">
        <v>1</v>
      </c>
      <c r="S56" t="s">
        <v>18</v>
      </c>
      <c r="T56" s="2" t="s">
        <v>194</v>
      </c>
      <c r="U56" t="s">
        <v>1</v>
      </c>
      <c r="V56" t="s">
        <v>18</v>
      </c>
      <c r="W56" s="2" t="s">
        <v>194</v>
      </c>
      <c r="X56" t="s">
        <v>1</v>
      </c>
      <c r="Y56">
        <f t="shared" si="0"/>
        <v>769</v>
      </c>
    </row>
    <row r="57" spans="1:25" ht="142.5" customHeight="1" x14ac:dyDescent="0.25">
      <c r="A57" t="s">
        <v>183</v>
      </c>
      <c r="B57" t="s">
        <v>184</v>
      </c>
      <c r="C57" s="2" t="s">
        <v>1135</v>
      </c>
      <c r="D57" s="2" t="s">
        <v>1136</v>
      </c>
      <c r="E57" s="2" t="s">
        <v>254</v>
      </c>
      <c r="F57" s="2" t="s">
        <v>72</v>
      </c>
      <c r="G57" t="s">
        <v>23</v>
      </c>
      <c r="H57" s="2" t="s">
        <v>187</v>
      </c>
      <c r="I57" s="2" t="s">
        <v>1</v>
      </c>
      <c r="J57" t="s">
        <v>21</v>
      </c>
      <c r="K57" s="2" t="s">
        <v>194</v>
      </c>
      <c r="L57" s="2" t="s">
        <v>1</v>
      </c>
      <c r="M57" t="s">
        <v>23</v>
      </c>
      <c r="N57" s="2" t="s">
        <v>187</v>
      </c>
      <c r="O57" s="2" t="s">
        <v>1</v>
      </c>
      <c r="P57" t="s">
        <v>21</v>
      </c>
      <c r="Q57" s="2" t="s">
        <v>194</v>
      </c>
      <c r="R57" s="2" t="s">
        <v>1</v>
      </c>
      <c r="S57" t="s">
        <v>21</v>
      </c>
      <c r="T57" t="s">
        <v>194</v>
      </c>
      <c r="U57" t="s">
        <v>1</v>
      </c>
      <c r="V57" t="s">
        <v>18</v>
      </c>
      <c r="W57" t="s">
        <v>194</v>
      </c>
      <c r="X57" t="s">
        <v>1</v>
      </c>
      <c r="Y57">
        <f t="shared" si="0"/>
        <v>756</v>
      </c>
    </row>
    <row r="58" spans="1:25" ht="142.5" customHeight="1" x14ac:dyDescent="0.25">
      <c r="A58" t="s">
        <v>183</v>
      </c>
      <c r="B58" t="s">
        <v>184</v>
      </c>
      <c r="C58" s="2" t="s">
        <v>1135</v>
      </c>
      <c r="D58" s="2" t="s">
        <v>1136</v>
      </c>
      <c r="E58" s="2" t="s">
        <v>255</v>
      </c>
      <c r="F58" s="2" t="s">
        <v>72</v>
      </c>
      <c r="G58" t="s">
        <v>23</v>
      </c>
      <c r="H58" s="2" t="s">
        <v>187</v>
      </c>
      <c r="I58" s="2" t="s">
        <v>1</v>
      </c>
      <c r="J58" t="s">
        <v>18</v>
      </c>
      <c r="K58" s="2" t="s">
        <v>194</v>
      </c>
      <c r="L58" s="2" t="s">
        <v>1</v>
      </c>
      <c r="M58" t="s">
        <v>23</v>
      </c>
      <c r="N58" s="2" t="s">
        <v>187</v>
      </c>
      <c r="O58" s="2" t="s">
        <v>1</v>
      </c>
      <c r="P58" t="s">
        <v>18</v>
      </c>
      <c r="Q58" s="2" t="s">
        <v>194</v>
      </c>
      <c r="R58" s="2" t="s">
        <v>1</v>
      </c>
      <c r="S58" t="s">
        <v>23</v>
      </c>
      <c r="T58" s="2" t="s">
        <v>187</v>
      </c>
      <c r="U58" t="s">
        <v>1</v>
      </c>
      <c r="V58" t="s">
        <v>18</v>
      </c>
      <c r="W58" t="s">
        <v>194</v>
      </c>
      <c r="X58" t="s">
        <v>1</v>
      </c>
      <c r="Y58">
        <f t="shared" si="0"/>
        <v>754</v>
      </c>
    </row>
    <row r="59" spans="1:25" ht="142.5" customHeight="1" x14ac:dyDescent="0.25">
      <c r="A59" t="s">
        <v>183</v>
      </c>
      <c r="B59" t="s">
        <v>184</v>
      </c>
      <c r="C59" s="2" t="s">
        <v>1135</v>
      </c>
      <c r="D59" s="2" t="s">
        <v>1136</v>
      </c>
      <c r="E59" s="2" t="s">
        <v>256</v>
      </c>
      <c r="F59" s="2" t="s">
        <v>72</v>
      </c>
      <c r="G59" t="s">
        <v>23</v>
      </c>
      <c r="H59" s="2" t="s">
        <v>187</v>
      </c>
      <c r="I59" s="2" t="s">
        <v>1</v>
      </c>
      <c r="J59" t="s">
        <v>23</v>
      </c>
      <c r="K59" s="2" t="s">
        <v>187</v>
      </c>
      <c r="L59" s="2" t="s">
        <v>1</v>
      </c>
      <c r="M59" t="s">
        <v>18</v>
      </c>
      <c r="N59" s="2" t="s">
        <v>194</v>
      </c>
      <c r="O59" s="2" t="s">
        <v>1</v>
      </c>
      <c r="P59" t="s">
        <v>21</v>
      </c>
      <c r="Q59" s="2" t="s">
        <v>194</v>
      </c>
      <c r="R59" s="2" t="s">
        <v>1</v>
      </c>
      <c r="S59" t="s">
        <v>18</v>
      </c>
      <c r="T59" t="s">
        <v>194</v>
      </c>
      <c r="U59" t="s">
        <v>1</v>
      </c>
      <c r="V59" t="s">
        <v>18</v>
      </c>
      <c r="W59" t="s">
        <v>194</v>
      </c>
      <c r="X59" t="s">
        <v>1</v>
      </c>
      <c r="Y59">
        <f t="shared" si="0"/>
        <v>739</v>
      </c>
    </row>
    <row r="60" spans="1:25" ht="142.5" customHeight="1" x14ac:dyDescent="0.25">
      <c r="A60" t="s">
        <v>183</v>
      </c>
      <c r="B60" t="s">
        <v>184</v>
      </c>
      <c r="C60" s="2" t="s">
        <v>1135</v>
      </c>
      <c r="D60" s="2" t="s">
        <v>1136</v>
      </c>
      <c r="E60" s="2" t="s">
        <v>257</v>
      </c>
      <c r="F60" s="2" t="s">
        <v>72</v>
      </c>
      <c r="G60" t="s">
        <v>23</v>
      </c>
      <c r="H60" s="2" t="s">
        <v>187</v>
      </c>
      <c r="I60" s="2" t="s">
        <v>1</v>
      </c>
      <c r="J60" t="s">
        <v>21</v>
      </c>
      <c r="K60" s="2" t="s">
        <v>194</v>
      </c>
      <c r="L60" s="2" t="s">
        <v>1</v>
      </c>
      <c r="M60" t="s">
        <v>23</v>
      </c>
      <c r="N60" s="2" t="s">
        <v>187</v>
      </c>
      <c r="O60" s="2" t="s">
        <v>1</v>
      </c>
      <c r="P60" t="s">
        <v>18</v>
      </c>
      <c r="Q60" s="2" t="s">
        <v>194</v>
      </c>
      <c r="R60" s="2" t="s">
        <v>1</v>
      </c>
      <c r="S60" t="s">
        <v>23</v>
      </c>
      <c r="T60" s="2" t="s">
        <v>187</v>
      </c>
      <c r="U60" t="s">
        <v>1</v>
      </c>
      <c r="V60" t="s">
        <v>18</v>
      </c>
      <c r="W60" t="s">
        <v>194</v>
      </c>
      <c r="X60" t="s">
        <v>1</v>
      </c>
      <c r="Y60">
        <f t="shared" si="0"/>
        <v>768</v>
      </c>
    </row>
    <row r="61" spans="1:25" ht="142.5" customHeight="1" x14ac:dyDescent="0.25">
      <c r="A61" t="s">
        <v>183</v>
      </c>
      <c r="B61" t="s">
        <v>184</v>
      </c>
      <c r="C61" s="2" t="s">
        <v>1135</v>
      </c>
      <c r="D61" s="2" t="s">
        <v>1136</v>
      </c>
      <c r="E61" s="2" t="s">
        <v>258</v>
      </c>
      <c r="F61" s="2" t="s">
        <v>72</v>
      </c>
      <c r="G61" t="s">
        <v>23</v>
      </c>
      <c r="H61" s="2" t="s">
        <v>187</v>
      </c>
      <c r="I61" s="2" t="s">
        <v>1</v>
      </c>
      <c r="J61" t="s">
        <v>21</v>
      </c>
      <c r="K61" s="2" t="s">
        <v>194</v>
      </c>
      <c r="L61" s="2" t="s">
        <v>1</v>
      </c>
      <c r="M61" t="s">
        <v>23</v>
      </c>
      <c r="N61" s="2" t="s">
        <v>187</v>
      </c>
      <c r="O61" s="2" t="s">
        <v>1</v>
      </c>
      <c r="P61" t="s">
        <v>21</v>
      </c>
      <c r="Q61" s="2" t="s">
        <v>194</v>
      </c>
      <c r="R61" s="2" t="s">
        <v>1</v>
      </c>
      <c r="S61" t="s">
        <v>23</v>
      </c>
      <c r="T61" s="2" t="s">
        <v>187</v>
      </c>
      <c r="U61" t="s">
        <v>1</v>
      </c>
      <c r="V61" t="s">
        <v>21</v>
      </c>
      <c r="W61" t="s">
        <v>194</v>
      </c>
      <c r="X61" t="s">
        <v>1</v>
      </c>
      <c r="Y61">
        <f t="shared" si="0"/>
        <v>765</v>
      </c>
    </row>
    <row r="62" spans="1:25" ht="142.5" customHeight="1" x14ac:dyDescent="0.25">
      <c r="A62" t="s">
        <v>183</v>
      </c>
      <c r="B62" t="s">
        <v>184</v>
      </c>
      <c r="C62" s="2" t="s">
        <v>1135</v>
      </c>
      <c r="D62" s="2" t="s">
        <v>1136</v>
      </c>
      <c r="E62" s="2" t="s">
        <v>259</v>
      </c>
      <c r="F62" s="2" t="s">
        <v>260</v>
      </c>
      <c r="G62" t="s">
        <v>21</v>
      </c>
      <c r="H62" s="2" t="s">
        <v>187</v>
      </c>
      <c r="I62" s="2" t="s">
        <v>1</v>
      </c>
      <c r="J62" t="s">
        <v>21</v>
      </c>
      <c r="K62" s="2" t="s">
        <v>187</v>
      </c>
      <c r="L62" s="2" t="s">
        <v>1</v>
      </c>
      <c r="M62" t="s">
        <v>21</v>
      </c>
      <c r="N62" s="2" t="s">
        <v>187</v>
      </c>
      <c r="O62" s="2" t="s">
        <v>1</v>
      </c>
      <c r="P62" t="s">
        <v>21</v>
      </c>
      <c r="Q62" s="2" t="s">
        <v>187</v>
      </c>
      <c r="R62" s="2" t="s">
        <v>1</v>
      </c>
      <c r="S62" t="s">
        <v>21</v>
      </c>
      <c r="T62" s="2" t="s">
        <v>187</v>
      </c>
      <c r="U62" t="s">
        <v>1</v>
      </c>
      <c r="V62" t="s">
        <v>18</v>
      </c>
      <c r="W62" s="2" t="s">
        <v>194</v>
      </c>
      <c r="X62" t="s">
        <v>1</v>
      </c>
      <c r="Y62">
        <f t="shared" si="0"/>
        <v>770</v>
      </c>
    </row>
    <row r="63" spans="1:25" ht="142.5" customHeight="1" x14ac:dyDescent="0.25">
      <c r="A63" t="s">
        <v>183</v>
      </c>
      <c r="B63" t="s">
        <v>184</v>
      </c>
      <c r="C63" s="2" t="s">
        <v>1135</v>
      </c>
      <c r="D63" s="2" t="s">
        <v>1136</v>
      </c>
      <c r="E63" s="2" t="s">
        <v>261</v>
      </c>
      <c r="F63" s="2" t="s">
        <v>260</v>
      </c>
      <c r="G63" t="s">
        <v>21</v>
      </c>
      <c r="H63" s="2" t="s">
        <v>187</v>
      </c>
      <c r="I63" s="2" t="s">
        <v>1</v>
      </c>
      <c r="J63" t="s">
        <v>21</v>
      </c>
      <c r="K63" s="2" t="s">
        <v>187</v>
      </c>
      <c r="L63" s="2" t="s">
        <v>1</v>
      </c>
      <c r="M63" t="s">
        <v>21</v>
      </c>
      <c r="N63" s="2" t="s">
        <v>187</v>
      </c>
      <c r="O63" s="2" t="s">
        <v>1</v>
      </c>
      <c r="P63" t="s">
        <v>21</v>
      </c>
      <c r="Q63" s="2" t="s">
        <v>187</v>
      </c>
      <c r="R63" s="2" t="s">
        <v>1</v>
      </c>
      <c r="S63" t="s">
        <v>21</v>
      </c>
      <c r="T63" s="2" t="s">
        <v>187</v>
      </c>
      <c r="U63" t="s">
        <v>1</v>
      </c>
      <c r="V63" t="s">
        <v>21</v>
      </c>
      <c r="W63" s="2" t="s">
        <v>187</v>
      </c>
      <c r="X63" t="s">
        <v>1</v>
      </c>
      <c r="Y63">
        <f t="shared" si="0"/>
        <v>772</v>
      </c>
    </row>
    <row r="64" spans="1:25" ht="142.5" customHeight="1" x14ac:dyDescent="0.25">
      <c r="A64" t="s">
        <v>183</v>
      </c>
      <c r="B64" t="s">
        <v>184</v>
      </c>
      <c r="C64" s="2" t="s">
        <v>1135</v>
      </c>
      <c r="D64" s="2" t="s">
        <v>1136</v>
      </c>
      <c r="E64" s="2" t="s">
        <v>262</v>
      </c>
      <c r="F64" s="2" t="s">
        <v>260</v>
      </c>
      <c r="G64" t="s">
        <v>23</v>
      </c>
      <c r="H64" s="2" t="s">
        <v>194</v>
      </c>
      <c r="I64" s="2" t="s">
        <v>1</v>
      </c>
      <c r="J64" t="s">
        <v>21</v>
      </c>
      <c r="K64" s="2" t="s">
        <v>187</v>
      </c>
      <c r="L64" s="2" t="s">
        <v>1</v>
      </c>
      <c r="M64" t="s">
        <v>21</v>
      </c>
      <c r="N64" s="2" t="s">
        <v>187</v>
      </c>
      <c r="O64" s="2" t="s">
        <v>1</v>
      </c>
      <c r="P64" t="s">
        <v>21</v>
      </c>
      <c r="Q64" s="2" t="s">
        <v>187</v>
      </c>
      <c r="R64" s="2" t="s">
        <v>1</v>
      </c>
      <c r="S64" t="s">
        <v>23</v>
      </c>
      <c r="T64" s="2" t="s">
        <v>194</v>
      </c>
      <c r="U64" t="s">
        <v>1</v>
      </c>
      <c r="V64" t="s">
        <v>18</v>
      </c>
      <c r="W64" s="2" t="s">
        <v>194</v>
      </c>
      <c r="X64" t="s">
        <v>1</v>
      </c>
      <c r="Y64">
        <f t="shared" si="0"/>
        <v>765</v>
      </c>
    </row>
    <row r="65" spans="1:25" ht="142.5" customHeight="1" x14ac:dyDescent="0.25">
      <c r="A65" t="s">
        <v>183</v>
      </c>
      <c r="B65" t="s">
        <v>184</v>
      </c>
      <c r="C65" s="2" t="s">
        <v>1135</v>
      </c>
      <c r="D65" s="2" t="s">
        <v>1136</v>
      </c>
      <c r="E65" s="2" t="s">
        <v>263</v>
      </c>
      <c r="F65" s="2" t="s">
        <v>260</v>
      </c>
      <c r="G65" t="s">
        <v>23</v>
      </c>
      <c r="H65" s="2" t="s">
        <v>194</v>
      </c>
      <c r="I65" s="2" t="s">
        <v>1</v>
      </c>
      <c r="J65" t="s">
        <v>21</v>
      </c>
      <c r="K65" s="2" t="s">
        <v>187</v>
      </c>
      <c r="L65" s="2" t="s">
        <v>1</v>
      </c>
      <c r="M65" t="s">
        <v>21</v>
      </c>
      <c r="N65" s="2" t="s">
        <v>187</v>
      </c>
      <c r="O65" s="2" t="s">
        <v>1</v>
      </c>
      <c r="P65" t="s">
        <v>21</v>
      </c>
      <c r="Q65" s="2" t="s">
        <v>187</v>
      </c>
      <c r="R65" s="2" t="s">
        <v>1</v>
      </c>
      <c r="S65" t="s">
        <v>23</v>
      </c>
      <c r="T65" s="2" t="s">
        <v>194</v>
      </c>
      <c r="U65" t="s">
        <v>1</v>
      </c>
      <c r="V65" t="s">
        <v>18</v>
      </c>
      <c r="W65" s="2" t="s">
        <v>194</v>
      </c>
      <c r="X65" t="s">
        <v>1</v>
      </c>
      <c r="Y65">
        <f t="shared" si="0"/>
        <v>767</v>
      </c>
    </row>
    <row r="66" spans="1:25" ht="142.5" customHeight="1" x14ac:dyDescent="0.25">
      <c r="A66" t="s">
        <v>183</v>
      </c>
      <c r="B66" t="s">
        <v>184</v>
      </c>
      <c r="C66" s="2" t="s">
        <v>1135</v>
      </c>
      <c r="D66" s="2" t="s">
        <v>1136</v>
      </c>
      <c r="E66" s="2" t="s">
        <v>264</v>
      </c>
      <c r="F66" s="2" t="s">
        <v>260</v>
      </c>
      <c r="G66" t="s">
        <v>18</v>
      </c>
      <c r="H66" s="2" t="s">
        <v>194</v>
      </c>
      <c r="I66" s="2" t="s">
        <v>1</v>
      </c>
      <c r="J66" t="s">
        <v>21</v>
      </c>
      <c r="K66" s="2" t="s">
        <v>187</v>
      </c>
      <c r="L66" s="2" t="s">
        <v>1</v>
      </c>
      <c r="M66" t="s">
        <v>21</v>
      </c>
      <c r="N66" s="2" t="s">
        <v>187</v>
      </c>
      <c r="O66" s="2" t="s">
        <v>1</v>
      </c>
      <c r="P66" t="s">
        <v>21</v>
      </c>
      <c r="Q66" s="2" t="s">
        <v>187</v>
      </c>
      <c r="R66" s="2" t="s">
        <v>1</v>
      </c>
      <c r="S66" t="s">
        <v>18</v>
      </c>
      <c r="T66" s="2" t="s">
        <v>194</v>
      </c>
      <c r="U66" t="s">
        <v>1</v>
      </c>
      <c r="V66" t="s">
        <v>18</v>
      </c>
      <c r="W66" s="2" t="s">
        <v>194</v>
      </c>
      <c r="X66" t="s">
        <v>1</v>
      </c>
      <c r="Y66">
        <f t="shared" si="0"/>
        <v>760</v>
      </c>
    </row>
    <row r="67" spans="1:25" ht="142.5" customHeight="1" x14ac:dyDescent="0.25">
      <c r="A67" t="s">
        <v>183</v>
      </c>
      <c r="B67" t="s">
        <v>184</v>
      </c>
      <c r="C67" s="2" t="s">
        <v>1135</v>
      </c>
      <c r="D67" s="2" t="s">
        <v>1136</v>
      </c>
      <c r="E67" s="2" t="s">
        <v>265</v>
      </c>
      <c r="F67" s="2" t="s">
        <v>266</v>
      </c>
      <c r="G67" t="s">
        <v>21</v>
      </c>
      <c r="H67" s="2" t="s">
        <v>187</v>
      </c>
      <c r="I67" s="2" t="s">
        <v>1</v>
      </c>
      <c r="J67" t="s">
        <v>21</v>
      </c>
      <c r="K67" s="2" t="s">
        <v>187</v>
      </c>
      <c r="L67" s="2" t="s">
        <v>1</v>
      </c>
      <c r="M67" t="s">
        <v>21</v>
      </c>
      <c r="N67" s="2" t="s">
        <v>187</v>
      </c>
      <c r="O67" s="2" t="s">
        <v>1</v>
      </c>
      <c r="P67" t="s">
        <v>21</v>
      </c>
      <c r="Q67" s="2" t="s">
        <v>187</v>
      </c>
      <c r="R67" s="2" t="s">
        <v>1</v>
      </c>
      <c r="S67" t="s">
        <v>23</v>
      </c>
      <c r="T67" t="s">
        <v>194</v>
      </c>
      <c r="U67" t="s">
        <v>1</v>
      </c>
      <c r="V67" t="s">
        <v>18</v>
      </c>
      <c r="W67" t="s">
        <v>194</v>
      </c>
      <c r="X67" t="s">
        <v>1</v>
      </c>
      <c r="Y67">
        <f t="shared" ref="Y67:Y130" si="1">LEN(D67)+LEN(E67)</f>
        <v>755</v>
      </c>
    </row>
    <row r="68" spans="1:25" ht="142.5" customHeight="1" x14ac:dyDescent="0.25">
      <c r="A68" t="s">
        <v>183</v>
      </c>
      <c r="B68" t="s">
        <v>184</v>
      </c>
      <c r="C68" s="2" t="s">
        <v>1135</v>
      </c>
      <c r="D68" s="2" t="s">
        <v>1136</v>
      </c>
      <c r="E68" s="2" t="s">
        <v>267</v>
      </c>
      <c r="F68" s="2" t="s">
        <v>266</v>
      </c>
      <c r="G68" t="s">
        <v>21</v>
      </c>
      <c r="H68" s="2" t="s">
        <v>187</v>
      </c>
      <c r="I68" s="2" t="s">
        <v>1</v>
      </c>
      <c r="J68" t="s">
        <v>21</v>
      </c>
      <c r="K68" s="2" t="s">
        <v>187</v>
      </c>
      <c r="L68" s="2" t="s">
        <v>1</v>
      </c>
      <c r="M68" t="s">
        <v>21</v>
      </c>
      <c r="N68" s="2" t="s">
        <v>187</v>
      </c>
      <c r="O68" s="2" t="s">
        <v>1</v>
      </c>
      <c r="P68" t="s">
        <v>21</v>
      </c>
      <c r="Q68" s="2" t="s">
        <v>187</v>
      </c>
      <c r="R68" s="2" t="s">
        <v>1</v>
      </c>
      <c r="S68" t="s">
        <v>21</v>
      </c>
      <c r="T68" t="s">
        <v>187</v>
      </c>
      <c r="U68" t="s">
        <v>1</v>
      </c>
      <c r="V68" t="s">
        <v>21</v>
      </c>
      <c r="W68" t="s">
        <v>187</v>
      </c>
      <c r="X68" t="s">
        <v>1</v>
      </c>
      <c r="Y68">
        <f t="shared" si="1"/>
        <v>755</v>
      </c>
    </row>
    <row r="69" spans="1:25" ht="142.5" customHeight="1" x14ac:dyDescent="0.25">
      <c r="A69" t="s">
        <v>183</v>
      </c>
      <c r="B69" t="s">
        <v>184</v>
      </c>
      <c r="C69" s="2" t="s">
        <v>1135</v>
      </c>
      <c r="D69" s="2" t="s">
        <v>1136</v>
      </c>
      <c r="E69" s="2" t="s">
        <v>268</v>
      </c>
      <c r="F69" s="2" t="s">
        <v>266</v>
      </c>
      <c r="G69" t="s">
        <v>21</v>
      </c>
      <c r="H69" s="2" t="s">
        <v>187</v>
      </c>
      <c r="I69" s="2" t="s">
        <v>1</v>
      </c>
      <c r="J69" t="s">
        <v>21</v>
      </c>
      <c r="K69" s="2" t="s">
        <v>187</v>
      </c>
      <c r="L69" s="2" t="s">
        <v>1</v>
      </c>
      <c r="M69" t="s">
        <v>21</v>
      </c>
      <c r="N69" s="2" t="s">
        <v>187</v>
      </c>
      <c r="O69" s="2" t="s">
        <v>1</v>
      </c>
      <c r="P69" t="s">
        <v>21</v>
      </c>
      <c r="Q69" s="2" t="s">
        <v>187</v>
      </c>
      <c r="R69" s="2" t="s">
        <v>1</v>
      </c>
      <c r="S69" t="s">
        <v>21</v>
      </c>
      <c r="T69" t="s">
        <v>187</v>
      </c>
      <c r="U69" t="s">
        <v>1</v>
      </c>
      <c r="V69" t="s">
        <v>18</v>
      </c>
      <c r="W69" t="s">
        <v>194</v>
      </c>
      <c r="X69" t="s">
        <v>1</v>
      </c>
      <c r="Y69">
        <f t="shared" si="1"/>
        <v>768</v>
      </c>
    </row>
    <row r="70" spans="1:25" ht="142.5" customHeight="1" x14ac:dyDescent="0.25">
      <c r="A70" t="s">
        <v>183</v>
      </c>
      <c r="B70" t="s">
        <v>184</v>
      </c>
      <c r="C70" s="2" t="s">
        <v>1135</v>
      </c>
      <c r="D70" s="2" t="s">
        <v>1136</v>
      </c>
      <c r="E70" s="2" t="s">
        <v>269</v>
      </c>
      <c r="F70" s="2" t="s">
        <v>266</v>
      </c>
      <c r="G70" t="s">
        <v>21</v>
      </c>
      <c r="H70" s="2" t="s">
        <v>187</v>
      </c>
      <c r="I70" s="2" t="s">
        <v>1</v>
      </c>
      <c r="J70" t="s">
        <v>21</v>
      </c>
      <c r="K70" s="2" t="s">
        <v>187</v>
      </c>
      <c r="L70" s="2" t="s">
        <v>1</v>
      </c>
      <c r="M70" t="s">
        <v>21</v>
      </c>
      <c r="N70" s="2" t="s">
        <v>187</v>
      </c>
      <c r="O70" s="2" t="s">
        <v>1</v>
      </c>
      <c r="P70" t="s">
        <v>21</v>
      </c>
      <c r="Q70" s="2" t="s">
        <v>187</v>
      </c>
      <c r="R70" s="2" t="s">
        <v>1</v>
      </c>
      <c r="S70" t="s">
        <v>21</v>
      </c>
      <c r="T70" t="s">
        <v>187</v>
      </c>
      <c r="U70" t="s">
        <v>1</v>
      </c>
      <c r="V70" t="s">
        <v>18</v>
      </c>
      <c r="W70" t="s">
        <v>194</v>
      </c>
      <c r="X70" t="s">
        <v>1</v>
      </c>
      <c r="Y70">
        <f t="shared" si="1"/>
        <v>764</v>
      </c>
    </row>
    <row r="71" spans="1:25" ht="142.5" customHeight="1" x14ac:dyDescent="0.25">
      <c r="A71" t="s">
        <v>183</v>
      </c>
      <c r="B71" t="s">
        <v>184</v>
      </c>
      <c r="C71" s="2" t="s">
        <v>1135</v>
      </c>
      <c r="D71" s="2" t="s">
        <v>1136</v>
      </c>
      <c r="E71" s="2" t="s">
        <v>270</v>
      </c>
      <c r="F71" s="2" t="s">
        <v>266</v>
      </c>
      <c r="G71" t="s">
        <v>21</v>
      </c>
      <c r="H71" s="2" t="s">
        <v>187</v>
      </c>
      <c r="I71" s="2" t="s">
        <v>1</v>
      </c>
      <c r="J71" t="s">
        <v>21</v>
      </c>
      <c r="K71" s="2" t="s">
        <v>187</v>
      </c>
      <c r="L71" s="2" t="s">
        <v>1</v>
      </c>
      <c r="M71" t="s">
        <v>21</v>
      </c>
      <c r="N71" s="2" t="s">
        <v>187</v>
      </c>
      <c r="O71" s="2" t="s">
        <v>1</v>
      </c>
      <c r="P71" t="s">
        <v>21</v>
      </c>
      <c r="Q71" s="2" t="s">
        <v>187</v>
      </c>
      <c r="R71" s="2" t="s">
        <v>1</v>
      </c>
      <c r="S71" t="s">
        <v>21</v>
      </c>
      <c r="T71" t="s">
        <v>187</v>
      </c>
      <c r="U71" t="s">
        <v>1</v>
      </c>
      <c r="V71" t="s">
        <v>18</v>
      </c>
      <c r="W71" t="s">
        <v>194</v>
      </c>
      <c r="X71" t="s">
        <v>1</v>
      </c>
      <c r="Y71">
        <f t="shared" si="1"/>
        <v>763</v>
      </c>
    </row>
    <row r="72" spans="1:25" ht="142.5" customHeight="1" x14ac:dyDescent="0.25">
      <c r="A72" t="s">
        <v>183</v>
      </c>
      <c r="B72" t="s">
        <v>184</v>
      </c>
      <c r="C72" s="2" t="s">
        <v>1135</v>
      </c>
      <c r="D72" s="2" t="s">
        <v>1136</v>
      </c>
      <c r="E72" s="2" t="s">
        <v>271</v>
      </c>
      <c r="F72" s="2" t="s">
        <v>272</v>
      </c>
      <c r="G72" t="s">
        <v>21</v>
      </c>
      <c r="H72" s="2" t="s">
        <v>187</v>
      </c>
      <c r="I72" s="2" t="s">
        <v>1</v>
      </c>
      <c r="J72" t="s">
        <v>21</v>
      </c>
      <c r="K72" s="2" t="s">
        <v>187</v>
      </c>
      <c r="L72" s="2" t="s">
        <v>1</v>
      </c>
      <c r="M72" t="s">
        <v>21</v>
      </c>
      <c r="N72" s="2" t="s">
        <v>187</v>
      </c>
      <c r="O72" s="2" t="s">
        <v>1</v>
      </c>
      <c r="P72" t="s">
        <v>21</v>
      </c>
      <c r="Q72" s="2" t="s">
        <v>187</v>
      </c>
      <c r="R72" s="2" t="s">
        <v>1</v>
      </c>
      <c r="S72" t="s">
        <v>21</v>
      </c>
      <c r="T72" s="2" t="s">
        <v>187</v>
      </c>
      <c r="U72" t="s">
        <v>1</v>
      </c>
      <c r="V72" t="s">
        <v>21</v>
      </c>
      <c r="W72" s="2" t="s">
        <v>187</v>
      </c>
      <c r="X72" t="s">
        <v>1</v>
      </c>
      <c r="Y72">
        <f t="shared" si="1"/>
        <v>749</v>
      </c>
    </row>
    <row r="73" spans="1:25" ht="142.5" customHeight="1" x14ac:dyDescent="0.25">
      <c r="A73" t="s">
        <v>183</v>
      </c>
      <c r="B73" t="s">
        <v>184</v>
      </c>
      <c r="C73" s="2" t="s">
        <v>1135</v>
      </c>
      <c r="D73" s="2" t="s">
        <v>1136</v>
      </c>
      <c r="E73" s="2" t="s">
        <v>273</v>
      </c>
      <c r="F73" s="2" t="s">
        <v>272</v>
      </c>
      <c r="G73" t="s">
        <v>21</v>
      </c>
      <c r="H73" s="2" t="s">
        <v>187</v>
      </c>
      <c r="I73" s="2" t="s">
        <v>1</v>
      </c>
      <c r="J73" t="s">
        <v>18</v>
      </c>
      <c r="K73" s="2" t="s">
        <v>194</v>
      </c>
      <c r="L73" s="2" t="s">
        <v>1</v>
      </c>
      <c r="M73" t="s">
        <v>21</v>
      </c>
      <c r="N73" s="2" t="s">
        <v>187</v>
      </c>
      <c r="O73" s="2" t="s">
        <v>1</v>
      </c>
      <c r="P73" t="s">
        <v>21</v>
      </c>
      <c r="Q73" s="2" t="s">
        <v>187</v>
      </c>
      <c r="R73" s="2" t="s">
        <v>1</v>
      </c>
      <c r="S73" t="s">
        <v>18</v>
      </c>
      <c r="T73" s="2" t="s">
        <v>194</v>
      </c>
      <c r="U73" t="s">
        <v>1</v>
      </c>
      <c r="V73" t="s">
        <v>21</v>
      </c>
      <c r="W73" s="2" t="s">
        <v>187</v>
      </c>
      <c r="X73" t="s">
        <v>1</v>
      </c>
      <c r="Y73">
        <f t="shared" si="1"/>
        <v>762</v>
      </c>
    </row>
    <row r="74" spans="1:25" ht="142.5" customHeight="1" x14ac:dyDescent="0.25">
      <c r="A74" t="s">
        <v>183</v>
      </c>
      <c r="B74" t="s">
        <v>184</v>
      </c>
      <c r="C74" s="2" t="s">
        <v>1135</v>
      </c>
      <c r="D74" s="2" t="s">
        <v>1136</v>
      </c>
      <c r="E74" s="2" t="s">
        <v>274</v>
      </c>
      <c r="F74" s="2" t="s">
        <v>272</v>
      </c>
      <c r="G74" t="s">
        <v>23</v>
      </c>
      <c r="H74" s="2" t="s">
        <v>194</v>
      </c>
      <c r="I74" s="2" t="s">
        <v>1</v>
      </c>
      <c r="J74" t="s">
        <v>21</v>
      </c>
      <c r="K74" s="2" t="s">
        <v>187</v>
      </c>
      <c r="L74" s="2" t="s">
        <v>1</v>
      </c>
      <c r="M74" t="s">
        <v>21</v>
      </c>
      <c r="N74" s="2" t="s">
        <v>187</v>
      </c>
      <c r="O74" s="2" t="s">
        <v>1</v>
      </c>
      <c r="P74" t="s">
        <v>21</v>
      </c>
      <c r="Q74" s="2" t="s">
        <v>187</v>
      </c>
      <c r="R74" s="2" t="s">
        <v>1</v>
      </c>
      <c r="S74" t="s">
        <v>21</v>
      </c>
      <c r="T74" s="2" t="s">
        <v>187</v>
      </c>
      <c r="U74" t="s">
        <v>1</v>
      </c>
      <c r="V74" t="s">
        <v>18</v>
      </c>
      <c r="W74" s="2" t="s">
        <v>194</v>
      </c>
      <c r="X74" t="s">
        <v>1</v>
      </c>
      <c r="Y74">
        <f t="shared" si="1"/>
        <v>751</v>
      </c>
    </row>
    <row r="75" spans="1:25" ht="142.5" customHeight="1" x14ac:dyDescent="0.25">
      <c r="A75" t="s">
        <v>183</v>
      </c>
      <c r="B75" t="s">
        <v>184</v>
      </c>
      <c r="C75" s="2" t="s">
        <v>1135</v>
      </c>
      <c r="D75" s="2" t="s">
        <v>1136</v>
      </c>
      <c r="E75" s="2" t="s">
        <v>275</v>
      </c>
      <c r="F75" s="2" t="s">
        <v>272</v>
      </c>
      <c r="G75" t="s">
        <v>21</v>
      </c>
      <c r="H75" s="2" t="s">
        <v>187</v>
      </c>
      <c r="I75" s="2" t="s">
        <v>1</v>
      </c>
      <c r="J75" t="s">
        <v>21</v>
      </c>
      <c r="K75" s="2" t="s">
        <v>187</v>
      </c>
      <c r="L75" s="2" t="s">
        <v>1</v>
      </c>
      <c r="M75" t="s">
        <v>21</v>
      </c>
      <c r="N75" s="2" t="s">
        <v>187</v>
      </c>
      <c r="O75" s="2" t="s">
        <v>1</v>
      </c>
      <c r="P75" t="s">
        <v>21</v>
      </c>
      <c r="Q75" s="2" t="s">
        <v>187</v>
      </c>
      <c r="R75" s="2" t="s">
        <v>1</v>
      </c>
      <c r="S75" t="s">
        <v>21</v>
      </c>
      <c r="T75" s="2" t="s">
        <v>187</v>
      </c>
      <c r="U75" t="s">
        <v>1</v>
      </c>
      <c r="V75" t="s">
        <v>21</v>
      </c>
      <c r="W75" s="2" t="s">
        <v>187</v>
      </c>
      <c r="X75" t="s">
        <v>1</v>
      </c>
      <c r="Y75">
        <f t="shared" si="1"/>
        <v>751</v>
      </c>
    </row>
    <row r="76" spans="1:25" ht="142.5" customHeight="1" x14ac:dyDescent="0.25">
      <c r="A76" t="s">
        <v>183</v>
      </c>
      <c r="B76" t="s">
        <v>184</v>
      </c>
      <c r="C76" s="2" t="s">
        <v>1135</v>
      </c>
      <c r="D76" s="2" t="s">
        <v>1136</v>
      </c>
      <c r="E76" s="2" t="s">
        <v>276</v>
      </c>
      <c r="F76" s="2" t="s">
        <v>272</v>
      </c>
      <c r="G76" t="s">
        <v>21</v>
      </c>
      <c r="H76" s="2" t="s">
        <v>187</v>
      </c>
      <c r="I76" s="2" t="s">
        <v>1</v>
      </c>
      <c r="J76" t="s">
        <v>21</v>
      </c>
      <c r="K76" s="2" t="s">
        <v>187</v>
      </c>
      <c r="L76" s="2" t="s">
        <v>1</v>
      </c>
      <c r="M76" t="s">
        <v>21</v>
      </c>
      <c r="N76" s="2" t="s">
        <v>187</v>
      </c>
      <c r="O76" s="2" t="s">
        <v>1</v>
      </c>
      <c r="P76" t="s">
        <v>21</v>
      </c>
      <c r="Q76" s="2" t="s">
        <v>187</v>
      </c>
      <c r="R76" s="2" t="s">
        <v>1</v>
      </c>
      <c r="S76" t="s">
        <v>21</v>
      </c>
      <c r="T76" s="2" t="s">
        <v>187</v>
      </c>
      <c r="U76" t="s">
        <v>1</v>
      </c>
      <c r="V76" t="s">
        <v>21</v>
      </c>
      <c r="W76" s="2" t="s">
        <v>187</v>
      </c>
      <c r="X76" t="s">
        <v>1</v>
      </c>
      <c r="Y76">
        <f t="shared" si="1"/>
        <v>753</v>
      </c>
    </row>
    <row r="77" spans="1:25" ht="142.5" customHeight="1" x14ac:dyDescent="0.25">
      <c r="A77" t="s">
        <v>183</v>
      </c>
      <c r="B77" t="s">
        <v>184</v>
      </c>
      <c r="C77" s="2" t="s">
        <v>1135</v>
      </c>
      <c r="D77" s="2" t="s">
        <v>1136</v>
      </c>
      <c r="E77" s="2" t="s">
        <v>277</v>
      </c>
      <c r="F77" s="2" t="s">
        <v>278</v>
      </c>
      <c r="G77" t="s">
        <v>18</v>
      </c>
      <c r="H77" s="2" t="s">
        <v>187</v>
      </c>
      <c r="I77" s="2" t="s">
        <v>1</v>
      </c>
      <c r="J77" t="s">
        <v>18</v>
      </c>
      <c r="K77" s="2" t="s">
        <v>187</v>
      </c>
      <c r="L77" s="2" t="s">
        <v>1</v>
      </c>
      <c r="M77" t="s">
        <v>18</v>
      </c>
      <c r="N77" s="2" t="s">
        <v>187</v>
      </c>
      <c r="O77" s="2" t="s">
        <v>1</v>
      </c>
      <c r="P77" t="s">
        <v>18</v>
      </c>
      <c r="Q77" s="2" t="s">
        <v>187</v>
      </c>
      <c r="R77" s="2" t="s">
        <v>1</v>
      </c>
      <c r="S77" t="s">
        <v>18</v>
      </c>
      <c r="T77" t="s">
        <v>187</v>
      </c>
      <c r="U77" t="s">
        <v>1</v>
      </c>
      <c r="V77" t="s">
        <v>18</v>
      </c>
      <c r="W77" s="2" t="s">
        <v>187</v>
      </c>
      <c r="X77" t="s">
        <v>1</v>
      </c>
      <c r="Y77">
        <f t="shared" si="1"/>
        <v>773</v>
      </c>
    </row>
    <row r="78" spans="1:25" ht="142.5" customHeight="1" x14ac:dyDescent="0.25">
      <c r="A78" t="s">
        <v>183</v>
      </c>
      <c r="B78" t="s">
        <v>184</v>
      </c>
      <c r="C78" s="2" t="s">
        <v>1135</v>
      </c>
      <c r="D78" s="2" t="s">
        <v>1136</v>
      </c>
      <c r="E78" s="2" t="s">
        <v>279</v>
      </c>
      <c r="F78" s="2" t="s">
        <v>278</v>
      </c>
      <c r="G78" t="s">
        <v>23</v>
      </c>
      <c r="H78" s="2" t="s">
        <v>194</v>
      </c>
      <c r="I78" s="2" t="s">
        <v>1</v>
      </c>
      <c r="J78" t="s">
        <v>1119</v>
      </c>
      <c r="K78" s="2" t="s">
        <v>187</v>
      </c>
      <c r="L78" s="2" t="s">
        <v>1</v>
      </c>
      <c r="M78" t="s">
        <v>18</v>
      </c>
      <c r="N78" s="2" t="s">
        <v>187</v>
      </c>
      <c r="O78" s="2" t="s">
        <v>1</v>
      </c>
      <c r="P78" t="s">
        <v>21</v>
      </c>
      <c r="Q78" s="2" t="s">
        <v>194</v>
      </c>
      <c r="R78" s="2" t="s">
        <v>1</v>
      </c>
      <c r="S78" t="s">
        <v>23</v>
      </c>
      <c r="T78" s="2" t="s">
        <v>194</v>
      </c>
      <c r="U78" t="s">
        <v>1</v>
      </c>
      <c r="V78" t="s">
        <v>18</v>
      </c>
      <c r="W78" s="2" t="s">
        <v>187</v>
      </c>
      <c r="X78" t="s">
        <v>1</v>
      </c>
      <c r="Y78">
        <f t="shared" si="1"/>
        <v>765</v>
      </c>
    </row>
    <row r="79" spans="1:25" ht="142.5" customHeight="1" x14ac:dyDescent="0.25">
      <c r="A79" t="s">
        <v>183</v>
      </c>
      <c r="B79" t="s">
        <v>184</v>
      </c>
      <c r="C79" s="2" t="s">
        <v>1135</v>
      </c>
      <c r="D79" s="2" t="s">
        <v>1136</v>
      </c>
      <c r="E79" s="2" t="s">
        <v>280</v>
      </c>
      <c r="F79" s="2" t="s">
        <v>278</v>
      </c>
      <c r="G79" t="s">
        <v>23</v>
      </c>
      <c r="H79" s="2" t="s">
        <v>194</v>
      </c>
      <c r="I79" s="2" t="s">
        <v>1</v>
      </c>
      <c r="J79" t="s">
        <v>18</v>
      </c>
      <c r="K79" s="2" t="s">
        <v>187</v>
      </c>
      <c r="L79" s="2" t="s">
        <v>1</v>
      </c>
      <c r="M79" t="s">
        <v>18</v>
      </c>
      <c r="N79" s="2" t="s">
        <v>187</v>
      </c>
      <c r="O79" s="2" t="s">
        <v>1</v>
      </c>
      <c r="P79" t="s">
        <v>21</v>
      </c>
      <c r="Q79" s="2" t="s">
        <v>194</v>
      </c>
      <c r="R79" s="2" t="s">
        <v>1</v>
      </c>
      <c r="S79" t="s">
        <v>18</v>
      </c>
      <c r="T79" t="s">
        <v>187</v>
      </c>
      <c r="U79" t="s">
        <v>1</v>
      </c>
      <c r="V79" t="s">
        <v>23</v>
      </c>
      <c r="W79" t="s">
        <v>194</v>
      </c>
      <c r="X79" t="s">
        <v>1</v>
      </c>
      <c r="Y79">
        <f t="shared" si="1"/>
        <v>766</v>
      </c>
    </row>
    <row r="80" spans="1:25" ht="142.5" customHeight="1" x14ac:dyDescent="0.25">
      <c r="A80" t="s">
        <v>183</v>
      </c>
      <c r="B80" t="s">
        <v>184</v>
      </c>
      <c r="C80" s="2" t="s">
        <v>1135</v>
      </c>
      <c r="D80" s="2" t="s">
        <v>1136</v>
      </c>
      <c r="E80" s="2" t="s">
        <v>281</v>
      </c>
      <c r="F80" s="2" t="s">
        <v>278</v>
      </c>
      <c r="G80" t="s">
        <v>18</v>
      </c>
      <c r="H80" s="2" t="s">
        <v>187</v>
      </c>
      <c r="I80" s="2" t="s">
        <v>1</v>
      </c>
      <c r="J80" s="2" t="s">
        <v>1175</v>
      </c>
      <c r="K80" s="2" t="s">
        <v>187</v>
      </c>
      <c r="L80" s="2" t="s">
        <v>2</v>
      </c>
      <c r="M80" t="s">
        <v>18</v>
      </c>
      <c r="N80" s="2" t="s">
        <v>187</v>
      </c>
      <c r="O80" s="2" t="s">
        <v>1</v>
      </c>
      <c r="P80" t="s">
        <v>21</v>
      </c>
      <c r="Q80" s="2" t="s">
        <v>194</v>
      </c>
      <c r="R80" s="2" t="s">
        <v>1</v>
      </c>
      <c r="S80" t="s">
        <v>23</v>
      </c>
      <c r="T80" s="2" t="s">
        <v>194</v>
      </c>
      <c r="U80" t="s">
        <v>1</v>
      </c>
      <c r="V80" t="s">
        <v>18</v>
      </c>
      <c r="W80" s="2" t="s">
        <v>187</v>
      </c>
      <c r="X80" t="s">
        <v>1</v>
      </c>
      <c r="Y80">
        <f t="shared" si="1"/>
        <v>771</v>
      </c>
    </row>
    <row r="81" spans="1:25" ht="142.5" customHeight="1" x14ac:dyDescent="0.25">
      <c r="A81" t="s">
        <v>183</v>
      </c>
      <c r="B81" t="s">
        <v>184</v>
      </c>
      <c r="C81" s="2" t="s">
        <v>1135</v>
      </c>
      <c r="D81" s="2" t="s">
        <v>1136</v>
      </c>
      <c r="E81" s="2" t="s">
        <v>282</v>
      </c>
      <c r="F81" s="2" t="s">
        <v>278</v>
      </c>
      <c r="G81" t="s">
        <v>18</v>
      </c>
      <c r="H81" s="2" t="s">
        <v>187</v>
      </c>
      <c r="I81" s="2" t="s">
        <v>1</v>
      </c>
      <c r="J81" t="s">
        <v>1176</v>
      </c>
      <c r="K81" s="2" t="s">
        <v>187</v>
      </c>
      <c r="L81" s="2" t="s">
        <v>2</v>
      </c>
      <c r="M81" t="s">
        <v>18</v>
      </c>
      <c r="N81" s="2" t="s">
        <v>187</v>
      </c>
      <c r="O81" s="2" t="s">
        <v>1</v>
      </c>
      <c r="P81" t="s">
        <v>18</v>
      </c>
      <c r="Q81" s="2" t="s">
        <v>187</v>
      </c>
      <c r="R81" s="2" t="s">
        <v>1</v>
      </c>
      <c r="S81" t="s">
        <v>18</v>
      </c>
      <c r="T81" t="s">
        <v>187</v>
      </c>
      <c r="U81" t="s">
        <v>1</v>
      </c>
      <c r="V81" t="s">
        <v>18</v>
      </c>
      <c r="W81" s="2" t="s">
        <v>187</v>
      </c>
      <c r="X81" t="s">
        <v>1</v>
      </c>
      <c r="Y81">
        <f t="shared" si="1"/>
        <v>765</v>
      </c>
    </row>
    <row r="82" spans="1:25" ht="142.5" customHeight="1" x14ac:dyDescent="0.25">
      <c r="A82" t="s">
        <v>183</v>
      </c>
      <c r="B82" t="s">
        <v>184</v>
      </c>
      <c r="C82" s="2" t="s">
        <v>1135</v>
      </c>
      <c r="D82" s="2" t="s">
        <v>1136</v>
      </c>
      <c r="E82" s="2" t="s">
        <v>283</v>
      </c>
      <c r="F82" s="2" t="s">
        <v>284</v>
      </c>
      <c r="G82" t="s">
        <v>18</v>
      </c>
      <c r="H82" s="2" t="s">
        <v>194</v>
      </c>
      <c r="I82" s="2" t="s">
        <v>1</v>
      </c>
      <c r="J82" t="s">
        <v>21</v>
      </c>
      <c r="K82" s="2" t="s">
        <v>187</v>
      </c>
      <c r="L82" s="2" t="s">
        <v>1</v>
      </c>
      <c r="M82" t="s">
        <v>21</v>
      </c>
      <c r="N82" s="2" t="s">
        <v>187</v>
      </c>
      <c r="O82" s="2" t="s">
        <v>1</v>
      </c>
      <c r="P82" t="s">
        <v>18</v>
      </c>
      <c r="Q82" s="2" t="s">
        <v>194</v>
      </c>
      <c r="R82" s="2" t="s">
        <v>1</v>
      </c>
      <c r="S82" t="s">
        <v>21</v>
      </c>
      <c r="T82" s="2" t="s">
        <v>187</v>
      </c>
      <c r="U82" t="s">
        <v>1</v>
      </c>
      <c r="V82" t="s">
        <v>18</v>
      </c>
      <c r="W82" s="2" t="s">
        <v>194</v>
      </c>
      <c r="X82" t="s">
        <v>1</v>
      </c>
      <c r="Y82">
        <f t="shared" si="1"/>
        <v>769</v>
      </c>
    </row>
    <row r="83" spans="1:25" ht="142.5" customHeight="1" x14ac:dyDescent="0.25">
      <c r="A83" t="s">
        <v>183</v>
      </c>
      <c r="B83" t="s">
        <v>184</v>
      </c>
      <c r="C83" s="2" t="s">
        <v>1135</v>
      </c>
      <c r="D83" s="2" t="s">
        <v>1136</v>
      </c>
      <c r="E83" s="2" t="s">
        <v>285</v>
      </c>
      <c r="F83" s="2" t="s">
        <v>284</v>
      </c>
      <c r="G83" t="s">
        <v>18</v>
      </c>
      <c r="H83" s="2" t="s">
        <v>194</v>
      </c>
      <c r="I83" s="2" t="s">
        <v>1</v>
      </c>
      <c r="J83" t="s">
        <v>21</v>
      </c>
      <c r="K83" s="2" t="s">
        <v>187</v>
      </c>
      <c r="L83" s="2" t="s">
        <v>1</v>
      </c>
      <c r="M83" t="s">
        <v>21</v>
      </c>
      <c r="N83" s="2" t="s">
        <v>187</v>
      </c>
      <c r="O83" s="2" t="s">
        <v>1</v>
      </c>
      <c r="P83" t="s">
        <v>21</v>
      </c>
      <c r="Q83" s="2" t="s">
        <v>187</v>
      </c>
      <c r="R83" s="2" t="s">
        <v>1</v>
      </c>
      <c r="S83" t="s">
        <v>18</v>
      </c>
      <c r="T83" s="2" t="s">
        <v>194</v>
      </c>
      <c r="U83" t="s">
        <v>1</v>
      </c>
      <c r="V83" t="s">
        <v>18</v>
      </c>
      <c r="W83" s="2" t="s">
        <v>194</v>
      </c>
      <c r="X83" t="s">
        <v>1</v>
      </c>
      <c r="Y83">
        <f t="shared" si="1"/>
        <v>769</v>
      </c>
    </row>
    <row r="84" spans="1:25" ht="142.5" customHeight="1" x14ac:dyDescent="0.25">
      <c r="A84" t="s">
        <v>183</v>
      </c>
      <c r="B84" t="s">
        <v>184</v>
      </c>
      <c r="C84" s="2" t="s">
        <v>1135</v>
      </c>
      <c r="D84" s="2" t="s">
        <v>1136</v>
      </c>
      <c r="E84" s="2" t="s">
        <v>286</v>
      </c>
      <c r="F84" s="2" t="s">
        <v>284</v>
      </c>
      <c r="G84" t="s">
        <v>18</v>
      </c>
      <c r="H84" s="2" t="s">
        <v>194</v>
      </c>
      <c r="I84" s="2" t="s">
        <v>1</v>
      </c>
      <c r="J84" t="s">
        <v>21</v>
      </c>
      <c r="K84" s="2" t="s">
        <v>187</v>
      </c>
      <c r="L84" s="2" t="s">
        <v>1</v>
      </c>
      <c r="M84" t="s">
        <v>21</v>
      </c>
      <c r="N84" s="2" t="s">
        <v>187</v>
      </c>
      <c r="O84" s="2" t="s">
        <v>1</v>
      </c>
      <c r="P84" t="s">
        <v>21</v>
      </c>
      <c r="Q84" s="2" t="s">
        <v>187</v>
      </c>
      <c r="R84" s="2" t="s">
        <v>1</v>
      </c>
      <c r="S84" t="s">
        <v>18</v>
      </c>
      <c r="T84" s="2" t="s">
        <v>194</v>
      </c>
      <c r="U84" t="s">
        <v>1</v>
      </c>
      <c r="V84" t="s">
        <v>18</v>
      </c>
      <c r="W84" s="2" t="s">
        <v>194</v>
      </c>
      <c r="X84" t="s">
        <v>1</v>
      </c>
      <c r="Y84">
        <f t="shared" si="1"/>
        <v>753</v>
      </c>
    </row>
    <row r="85" spans="1:25" ht="142.5" customHeight="1" x14ac:dyDescent="0.25">
      <c r="A85" t="s">
        <v>183</v>
      </c>
      <c r="B85" t="s">
        <v>184</v>
      </c>
      <c r="C85" s="2" t="s">
        <v>1135</v>
      </c>
      <c r="D85" s="2" t="s">
        <v>1136</v>
      </c>
      <c r="E85" s="2" t="s">
        <v>287</v>
      </c>
      <c r="F85" s="2" t="s">
        <v>284</v>
      </c>
      <c r="G85" t="s">
        <v>18</v>
      </c>
      <c r="H85" s="2" t="s">
        <v>194</v>
      </c>
      <c r="I85" s="2" t="s">
        <v>1</v>
      </c>
      <c r="J85" t="s">
        <v>1177</v>
      </c>
      <c r="K85" s="2" t="s">
        <v>187</v>
      </c>
      <c r="L85" s="2" t="s">
        <v>2</v>
      </c>
      <c r="M85" t="s">
        <v>18</v>
      </c>
      <c r="N85" s="2" t="s">
        <v>194</v>
      </c>
      <c r="O85" s="2" t="s">
        <v>1</v>
      </c>
      <c r="P85" t="s">
        <v>21</v>
      </c>
      <c r="Q85" s="2" t="s">
        <v>187</v>
      </c>
      <c r="R85" s="2" t="s">
        <v>1</v>
      </c>
      <c r="S85" t="s">
        <v>23</v>
      </c>
      <c r="T85" s="2" t="s">
        <v>194</v>
      </c>
      <c r="U85" t="s">
        <v>1</v>
      </c>
      <c r="V85" t="s">
        <v>18</v>
      </c>
      <c r="W85" s="2" t="s">
        <v>194</v>
      </c>
      <c r="X85" t="s">
        <v>1</v>
      </c>
      <c r="Y85">
        <f t="shared" si="1"/>
        <v>760</v>
      </c>
    </row>
    <row r="86" spans="1:25" ht="142.5" customHeight="1" x14ac:dyDescent="0.25">
      <c r="A86" t="s">
        <v>183</v>
      </c>
      <c r="B86" t="s">
        <v>184</v>
      </c>
      <c r="C86" s="2" t="s">
        <v>1135</v>
      </c>
      <c r="D86" s="2" t="s">
        <v>1136</v>
      </c>
      <c r="E86" s="2" t="s">
        <v>288</v>
      </c>
      <c r="F86" s="2" t="s">
        <v>284</v>
      </c>
      <c r="G86" t="s">
        <v>18</v>
      </c>
      <c r="H86" s="2" t="s">
        <v>194</v>
      </c>
      <c r="I86" s="2" t="s">
        <v>1</v>
      </c>
      <c r="J86" t="s">
        <v>18</v>
      </c>
      <c r="K86" s="2" t="s">
        <v>194</v>
      </c>
      <c r="L86" s="2" t="s">
        <v>1</v>
      </c>
      <c r="M86" t="s">
        <v>21</v>
      </c>
      <c r="N86" s="2" t="s">
        <v>187</v>
      </c>
      <c r="O86" s="2" t="s">
        <v>1</v>
      </c>
      <c r="P86" t="s">
        <v>18</v>
      </c>
      <c r="Q86" s="2" t="s">
        <v>194</v>
      </c>
      <c r="R86" s="2" t="s">
        <v>1</v>
      </c>
      <c r="S86" t="s">
        <v>18</v>
      </c>
      <c r="T86" s="2" t="s">
        <v>194</v>
      </c>
      <c r="U86" t="s">
        <v>1</v>
      </c>
      <c r="V86" t="s">
        <v>18</v>
      </c>
      <c r="W86" s="2" t="s">
        <v>194</v>
      </c>
      <c r="X86" t="s">
        <v>1</v>
      </c>
      <c r="Y86">
        <f t="shared" si="1"/>
        <v>760</v>
      </c>
    </row>
    <row r="87" spans="1:25" ht="142.5" customHeight="1" x14ac:dyDescent="0.25">
      <c r="A87" t="s">
        <v>183</v>
      </c>
      <c r="B87" t="s">
        <v>184</v>
      </c>
      <c r="C87" s="2" t="s">
        <v>1135</v>
      </c>
      <c r="D87" s="2" t="s">
        <v>1136</v>
      </c>
      <c r="E87" s="2" t="s">
        <v>289</v>
      </c>
      <c r="F87" s="2" t="s">
        <v>290</v>
      </c>
      <c r="G87" t="s">
        <v>23</v>
      </c>
      <c r="H87" s="2" t="s">
        <v>194</v>
      </c>
      <c r="I87" s="2" t="s">
        <v>1</v>
      </c>
      <c r="J87" t="s">
        <v>18</v>
      </c>
      <c r="K87" s="2" t="s">
        <v>187</v>
      </c>
      <c r="L87" s="2" t="s">
        <v>1</v>
      </c>
      <c r="M87" t="s">
        <v>18</v>
      </c>
      <c r="N87" s="2" t="s">
        <v>187</v>
      </c>
      <c r="O87" s="2" t="s">
        <v>1</v>
      </c>
      <c r="P87" t="s">
        <v>18</v>
      </c>
      <c r="Q87" s="2" t="s">
        <v>187</v>
      </c>
      <c r="R87" s="2" t="s">
        <v>1</v>
      </c>
      <c r="S87" t="s">
        <v>18</v>
      </c>
      <c r="T87" t="s">
        <v>187</v>
      </c>
      <c r="U87" t="s">
        <v>1</v>
      </c>
      <c r="V87" t="s">
        <v>18</v>
      </c>
      <c r="W87" s="2" t="s">
        <v>187</v>
      </c>
      <c r="X87" t="s">
        <v>1</v>
      </c>
      <c r="Y87">
        <f t="shared" si="1"/>
        <v>758</v>
      </c>
    </row>
    <row r="88" spans="1:25" ht="142.5" customHeight="1" x14ac:dyDescent="0.25">
      <c r="A88" t="s">
        <v>183</v>
      </c>
      <c r="B88" t="s">
        <v>184</v>
      </c>
      <c r="C88" s="2" t="s">
        <v>1135</v>
      </c>
      <c r="D88" s="2" t="s">
        <v>1136</v>
      </c>
      <c r="E88" s="2" t="s">
        <v>291</v>
      </c>
      <c r="F88" s="2" t="s">
        <v>290</v>
      </c>
      <c r="G88" t="s">
        <v>18</v>
      </c>
      <c r="H88" s="2" t="s">
        <v>187</v>
      </c>
      <c r="I88" s="2" t="s">
        <v>1</v>
      </c>
      <c r="J88" t="s">
        <v>1178</v>
      </c>
      <c r="K88" s="2" t="s">
        <v>187</v>
      </c>
      <c r="L88" s="2" t="s">
        <v>2</v>
      </c>
      <c r="M88" t="s">
        <v>18</v>
      </c>
      <c r="N88" s="2" t="s">
        <v>187</v>
      </c>
      <c r="O88" s="2" t="s">
        <v>1</v>
      </c>
      <c r="P88" t="s">
        <v>18</v>
      </c>
      <c r="Q88" s="2" t="s">
        <v>187</v>
      </c>
      <c r="R88" s="2" t="s">
        <v>1</v>
      </c>
      <c r="S88" t="s">
        <v>18</v>
      </c>
      <c r="T88" t="s">
        <v>187</v>
      </c>
      <c r="U88" t="s">
        <v>1</v>
      </c>
      <c r="V88" t="s">
        <v>18</v>
      </c>
      <c r="W88" s="2" t="s">
        <v>187</v>
      </c>
      <c r="X88" t="s">
        <v>1</v>
      </c>
      <c r="Y88">
        <f t="shared" si="1"/>
        <v>751</v>
      </c>
    </row>
    <row r="89" spans="1:25" ht="142.5" customHeight="1" x14ac:dyDescent="0.25">
      <c r="A89" t="s">
        <v>183</v>
      </c>
      <c r="B89" t="s">
        <v>184</v>
      </c>
      <c r="C89" s="2" t="s">
        <v>1135</v>
      </c>
      <c r="D89" s="2" t="s">
        <v>1136</v>
      </c>
      <c r="E89" s="2" t="s">
        <v>292</v>
      </c>
      <c r="F89" s="2" t="s">
        <v>290</v>
      </c>
      <c r="G89" t="s">
        <v>18</v>
      </c>
      <c r="H89" s="2" t="s">
        <v>187</v>
      </c>
      <c r="I89" s="2" t="s">
        <v>1</v>
      </c>
      <c r="J89" t="s">
        <v>18</v>
      </c>
      <c r="K89" s="2" t="s">
        <v>187</v>
      </c>
      <c r="L89" s="2" t="s">
        <v>1</v>
      </c>
      <c r="M89" t="s">
        <v>18</v>
      </c>
      <c r="N89" s="2" t="s">
        <v>187</v>
      </c>
      <c r="O89" s="2" t="s">
        <v>1</v>
      </c>
      <c r="P89" t="s">
        <v>18</v>
      </c>
      <c r="Q89" s="2" t="s">
        <v>187</v>
      </c>
      <c r="R89" s="2" t="s">
        <v>1</v>
      </c>
      <c r="S89" t="s">
        <v>18</v>
      </c>
      <c r="T89" t="s">
        <v>187</v>
      </c>
      <c r="U89" t="s">
        <v>1</v>
      </c>
      <c r="V89" t="s">
        <v>18</v>
      </c>
      <c r="W89" s="2" t="s">
        <v>187</v>
      </c>
      <c r="X89" t="s">
        <v>1</v>
      </c>
      <c r="Y89">
        <f t="shared" si="1"/>
        <v>749</v>
      </c>
    </row>
    <row r="90" spans="1:25" ht="142.5" customHeight="1" x14ac:dyDescent="0.25">
      <c r="A90" t="s">
        <v>183</v>
      </c>
      <c r="B90" t="s">
        <v>184</v>
      </c>
      <c r="C90" s="2" t="s">
        <v>1135</v>
      </c>
      <c r="D90" s="2" t="s">
        <v>1136</v>
      </c>
      <c r="E90" s="2" t="s">
        <v>293</v>
      </c>
      <c r="F90" s="2" t="s">
        <v>290</v>
      </c>
      <c r="G90" t="s">
        <v>18</v>
      </c>
      <c r="H90" s="2" t="s">
        <v>187</v>
      </c>
      <c r="I90" s="2" t="s">
        <v>1</v>
      </c>
      <c r="J90" t="s">
        <v>18</v>
      </c>
      <c r="K90" s="2" t="s">
        <v>187</v>
      </c>
      <c r="L90" s="2" t="s">
        <v>1</v>
      </c>
      <c r="M90" t="s">
        <v>18</v>
      </c>
      <c r="N90" s="2" t="s">
        <v>187</v>
      </c>
      <c r="O90" s="2" t="s">
        <v>1</v>
      </c>
      <c r="P90" t="s">
        <v>18</v>
      </c>
      <c r="Q90" s="2" t="s">
        <v>187</v>
      </c>
      <c r="R90" s="2" t="s">
        <v>1</v>
      </c>
      <c r="S90" t="s">
        <v>18</v>
      </c>
      <c r="T90" t="s">
        <v>187</v>
      </c>
      <c r="U90" t="s">
        <v>1</v>
      </c>
      <c r="V90" t="s">
        <v>18</v>
      </c>
      <c r="W90" s="2" t="s">
        <v>187</v>
      </c>
      <c r="X90" t="s">
        <v>1</v>
      </c>
      <c r="Y90">
        <f t="shared" si="1"/>
        <v>756</v>
      </c>
    </row>
    <row r="91" spans="1:25" ht="142.5" customHeight="1" x14ac:dyDescent="0.25">
      <c r="A91" t="s">
        <v>183</v>
      </c>
      <c r="B91" t="s">
        <v>184</v>
      </c>
      <c r="C91" s="2" t="s">
        <v>1135</v>
      </c>
      <c r="D91" s="2" t="s">
        <v>1136</v>
      </c>
      <c r="E91" s="2" t="s">
        <v>294</v>
      </c>
      <c r="F91" s="2" t="s">
        <v>290</v>
      </c>
      <c r="G91" t="s">
        <v>23</v>
      </c>
      <c r="H91" s="2" t="s">
        <v>194</v>
      </c>
      <c r="I91" s="2" t="s">
        <v>1</v>
      </c>
      <c r="J91" t="s">
        <v>18</v>
      </c>
      <c r="K91" s="2" t="s">
        <v>187</v>
      </c>
      <c r="L91" s="2" t="s">
        <v>1</v>
      </c>
      <c r="M91" t="s">
        <v>18</v>
      </c>
      <c r="N91" s="2" t="s">
        <v>187</v>
      </c>
      <c r="O91" s="2" t="s">
        <v>1</v>
      </c>
      <c r="P91" t="s">
        <v>21</v>
      </c>
      <c r="Q91" s="2" t="s">
        <v>194</v>
      </c>
      <c r="R91" s="2" t="s">
        <v>1</v>
      </c>
      <c r="S91" t="s">
        <v>18</v>
      </c>
      <c r="T91" t="s">
        <v>187</v>
      </c>
      <c r="U91" t="s">
        <v>1</v>
      </c>
      <c r="V91" t="s">
        <v>18</v>
      </c>
      <c r="W91" s="2" t="s">
        <v>187</v>
      </c>
      <c r="X91" t="s">
        <v>1</v>
      </c>
      <c r="Y91">
        <f t="shared" si="1"/>
        <v>762</v>
      </c>
    </row>
    <row r="92" spans="1:25" ht="142.5" customHeight="1" x14ac:dyDescent="0.25">
      <c r="A92" t="s">
        <v>183</v>
      </c>
      <c r="B92" t="s">
        <v>184</v>
      </c>
      <c r="C92" s="2" t="s">
        <v>1135</v>
      </c>
      <c r="D92" s="2" t="s">
        <v>1136</v>
      </c>
      <c r="E92" s="2" t="s">
        <v>295</v>
      </c>
      <c r="F92" s="2" t="s">
        <v>296</v>
      </c>
      <c r="G92" t="s">
        <v>23</v>
      </c>
      <c r="H92" s="2" t="s">
        <v>187</v>
      </c>
      <c r="I92" s="2" t="s">
        <v>1</v>
      </c>
      <c r="J92" t="s">
        <v>23</v>
      </c>
      <c r="K92" s="2" t="s">
        <v>187</v>
      </c>
      <c r="L92" s="2" t="s">
        <v>1</v>
      </c>
      <c r="M92" t="s">
        <v>23</v>
      </c>
      <c r="N92" s="2" t="s">
        <v>187</v>
      </c>
      <c r="O92" s="2" t="s">
        <v>1</v>
      </c>
      <c r="P92" t="s">
        <v>23</v>
      </c>
      <c r="Q92" s="2" t="s">
        <v>187</v>
      </c>
      <c r="R92" s="2" t="s">
        <v>1</v>
      </c>
      <c r="S92" t="s">
        <v>23</v>
      </c>
      <c r="T92" t="s">
        <v>187</v>
      </c>
      <c r="U92" t="s">
        <v>1</v>
      </c>
      <c r="V92" t="s">
        <v>18</v>
      </c>
      <c r="W92" s="2" t="s">
        <v>194</v>
      </c>
      <c r="X92" t="s">
        <v>1</v>
      </c>
      <c r="Y92">
        <f t="shared" si="1"/>
        <v>770</v>
      </c>
    </row>
    <row r="93" spans="1:25" ht="142.5" customHeight="1" x14ac:dyDescent="0.25">
      <c r="A93" t="s">
        <v>183</v>
      </c>
      <c r="B93" t="s">
        <v>184</v>
      </c>
      <c r="C93" s="2" t="s">
        <v>1135</v>
      </c>
      <c r="D93" s="2" t="s">
        <v>1136</v>
      </c>
      <c r="E93" s="2" t="s">
        <v>297</v>
      </c>
      <c r="F93" s="2" t="s">
        <v>296</v>
      </c>
      <c r="G93" t="s">
        <v>23</v>
      </c>
      <c r="H93" s="2" t="s">
        <v>187</v>
      </c>
      <c r="I93" s="2" t="s">
        <v>1</v>
      </c>
      <c r="J93" t="s">
        <v>1179</v>
      </c>
      <c r="K93" s="2" t="s">
        <v>194</v>
      </c>
      <c r="L93" s="2" t="s">
        <v>2</v>
      </c>
      <c r="M93" t="s">
        <v>23</v>
      </c>
      <c r="N93" s="2" t="s">
        <v>187</v>
      </c>
      <c r="O93" s="2" t="s">
        <v>1</v>
      </c>
      <c r="P93" t="s">
        <v>18</v>
      </c>
      <c r="Q93" s="2" t="s">
        <v>194</v>
      </c>
      <c r="R93" s="2" t="s">
        <v>1</v>
      </c>
      <c r="S93" t="s">
        <v>23</v>
      </c>
      <c r="T93" t="s">
        <v>187</v>
      </c>
      <c r="U93" t="s">
        <v>1</v>
      </c>
      <c r="V93" t="s">
        <v>18</v>
      </c>
      <c r="W93" s="2" t="s">
        <v>194</v>
      </c>
      <c r="X93" t="s">
        <v>1</v>
      </c>
      <c r="Y93">
        <f t="shared" si="1"/>
        <v>759</v>
      </c>
    </row>
    <row r="94" spans="1:25" ht="142.5" customHeight="1" x14ac:dyDescent="0.25">
      <c r="A94" t="s">
        <v>183</v>
      </c>
      <c r="B94" t="s">
        <v>184</v>
      </c>
      <c r="C94" s="2" t="s">
        <v>1135</v>
      </c>
      <c r="D94" s="2" t="s">
        <v>1136</v>
      </c>
      <c r="E94" s="2" t="s">
        <v>298</v>
      </c>
      <c r="F94" s="2" t="s">
        <v>296</v>
      </c>
      <c r="G94" t="s">
        <v>23</v>
      </c>
      <c r="H94" s="2" t="s">
        <v>187</v>
      </c>
      <c r="I94" s="2" t="s">
        <v>1</v>
      </c>
      <c r="J94" t="s">
        <v>18</v>
      </c>
      <c r="K94" s="2" t="s">
        <v>194</v>
      </c>
      <c r="L94" s="2" t="s">
        <v>1</v>
      </c>
      <c r="M94" t="s">
        <v>23</v>
      </c>
      <c r="N94" s="2" t="s">
        <v>187</v>
      </c>
      <c r="O94" s="2" t="s">
        <v>1</v>
      </c>
      <c r="P94" t="s">
        <v>18</v>
      </c>
      <c r="Q94" s="2" t="s">
        <v>194</v>
      </c>
      <c r="R94" s="2" t="s">
        <v>1</v>
      </c>
      <c r="S94" t="s">
        <v>18</v>
      </c>
      <c r="T94" s="2" t="s">
        <v>194</v>
      </c>
      <c r="U94" t="s">
        <v>1</v>
      </c>
      <c r="V94" t="s">
        <v>18</v>
      </c>
      <c r="W94" s="2" t="s">
        <v>194</v>
      </c>
      <c r="X94" t="s">
        <v>1</v>
      </c>
      <c r="Y94">
        <f t="shared" si="1"/>
        <v>769</v>
      </c>
    </row>
    <row r="95" spans="1:25" ht="142.5" customHeight="1" x14ac:dyDescent="0.25">
      <c r="A95" t="s">
        <v>183</v>
      </c>
      <c r="B95" t="s">
        <v>184</v>
      </c>
      <c r="C95" s="2" t="s">
        <v>1135</v>
      </c>
      <c r="D95" s="2" t="s">
        <v>1136</v>
      </c>
      <c r="E95" s="2" t="s">
        <v>299</v>
      </c>
      <c r="F95" s="2" t="s">
        <v>296</v>
      </c>
      <c r="G95" t="s">
        <v>23</v>
      </c>
      <c r="H95" s="2" t="s">
        <v>187</v>
      </c>
      <c r="I95" s="2" t="s">
        <v>1</v>
      </c>
      <c r="J95" t="s">
        <v>1180</v>
      </c>
      <c r="K95" s="2" t="s">
        <v>187</v>
      </c>
      <c r="L95" s="2" t="s">
        <v>2</v>
      </c>
      <c r="M95" t="s">
        <v>23</v>
      </c>
      <c r="N95" s="2" t="s">
        <v>187</v>
      </c>
      <c r="O95" s="2" t="s">
        <v>1</v>
      </c>
      <c r="P95" t="s">
        <v>21</v>
      </c>
      <c r="Q95" s="2" t="s">
        <v>194</v>
      </c>
      <c r="R95" s="2" t="s">
        <v>1</v>
      </c>
      <c r="S95" t="s">
        <v>23</v>
      </c>
      <c r="T95" t="s">
        <v>187</v>
      </c>
      <c r="U95" t="s">
        <v>1</v>
      </c>
      <c r="V95" t="s">
        <v>23</v>
      </c>
      <c r="W95" t="s">
        <v>187</v>
      </c>
      <c r="X95" t="s">
        <v>1</v>
      </c>
      <c r="Y95">
        <f t="shared" si="1"/>
        <v>768</v>
      </c>
    </row>
    <row r="96" spans="1:25" ht="142.5" customHeight="1" x14ac:dyDescent="0.25">
      <c r="A96" t="s">
        <v>183</v>
      </c>
      <c r="B96" t="s">
        <v>184</v>
      </c>
      <c r="C96" s="2" t="s">
        <v>1135</v>
      </c>
      <c r="D96" s="2" t="s">
        <v>1136</v>
      </c>
      <c r="E96" s="2" t="s">
        <v>300</v>
      </c>
      <c r="F96" s="2" t="s">
        <v>296</v>
      </c>
      <c r="G96" t="s">
        <v>23</v>
      </c>
      <c r="H96" s="2" t="s">
        <v>187</v>
      </c>
      <c r="I96" s="2" t="s">
        <v>1</v>
      </c>
      <c r="J96" t="s">
        <v>18</v>
      </c>
      <c r="K96" s="2" t="s">
        <v>194</v>
      </c>
      <c r="L96" s="2" t="s">
        <v>1</v>
      </c>
      <c r="M96" t="s">
        <v>23</v>
      </c>
      <c r="N96" s="2" t="s">
        <v>187</v>
      </c>
      <c r="O96" s="2" t="s">
        <v>1</v>
      </c>
      <c r="P96" t="s">
        <v>18</v>
      </c>
      <c r="Q96" s="2" t="s">
        <v>194</v>
      </c>
      <c r="R96" s="2" t="s">
        <v>1</v>
      </c>
      <c r="S96" t="s">
        <v>23</v>
      </c>
      <c r="T96" t="s">
        <v>187</v>
      </c>
      <c r="U96" t="s">
        <v>1</v>
      </c>
      <c r="V96" t="s">
        <v>18</v>
      </c>
      <c r="W96" s="2" t="s">
        <v>194</v>
      </c>
      <c r="X96" t="s">
        <v>1</v>
      </c>
      <c r="Y96">
        <f t="shared" si="1"/>
        <v>770</v>
      </c>
    </row>
    <row r="97" spans="1:25" ht="142.5" customHeight="1" x14ac:dyDescent="0.25">
      <c r="A97" t="s">
        <v>183</v>
      </c>
      <c r="B97" t="s">
        <v>184</v>
      </c>
      <c r="C97" s="2" t="s">
        <v>1135</v>
      </c>
      <c r="D97" s="2" t="s">
        <v>1136</v>
      </c>
      <c r="E97" s="2" t="s">
        <v>301</v>
      </c>
      <c r="F97" s="2" t="s">
        <v>302</v>
      </c>
      <c r="G97" t="s">
        <v>23</v>
      </c>
      <c r="H97" s="2" t="s">
        <v>187</v>
      </c>
      <c r="I97" s="2" t="s">
        <v>1</v>
      </c>
      <c r="J97" t="s">
        <v>21</v>
      </c>
      <c r="K97" s="2" t="s">
        <v>194</v>
      </c>
      <c r="L97" s="2" t="s">
        <v>1</v>
      </c>
      <c r="M97" t="s">
        <v>23</v>
      </c>
      <c r="N97" s="2" t="s">
        <v>187</v>
      </c>
      <c r="O97" s="2" t="s">
        <v>1</v>
      </c>
      <c r="P97" t="s">
        <v>18</v>
      </c>
      <c r="Q97" s="2" t="s">
        <v>194</v>
      </c>
      <c r="R97" s="2" t="s">
        <v>1</v>
      </c>
      <c r="S97" t="s">
        <v>18</v>
      </c>
      <c r="T97" t="s">
        <v>194</v>
      </c>
      <c r="U97" t="s">
        <v>1</v>
      </c>
      <c r="V97" t="s">
        <v>18</v>
      </c>
      <c r="W97" t="s">
        <v>194</v>
      </c>
      <c r="X97" t="s">
        <v>1</v>
      </c>
      <c r="Y97">
        <f t="shared" si="1"/>
        <v>769</v>
      </c>
    </row>
    <row r="98" spans="1:25" ht="142.5" customHeight="1" x14ac:dyDescent="0.25">
      <c r="A98" t="s">
        <v>183</v>
      </c>
      <c r="B98" t="s">
        <v>184</v>
      </c>
      <c r="C98" s="2" t="s">
        <v>1135</v>
      </c>
      <c r="D98" s="2" t="s">
        <v>1136</v>
      </c>
      <c r="E98" s="2" t="s">
        <v>303</v>
      </c>
      <c r="F98" s="2" t="s">
        <v>302</v>
      </c>
      <c r="G98" t="s">
        <v>23</v>
      </c>
      <c r="H98" s="2" t="s">
        <v>187</v>
      </c>
      <c r="I98" s="2" t="s">
        <v>1</v>
      </c>
      <c r="J98" t="s">
        <v>21</v>
      </c>
      <c r="K98" s="2" t="s">
        <v>194</v>
      </c>
      <c r="L98" s="2" t="s">
        <v>1</v>
      </c>
      <c r="M98" t="s">
        <v>23</v>
      </c>
      <c r="N98" s="2" t="s">
        <v>187</v>
      </c>
      <c r="O98" s="2" t="s">
        <v>1</v>
      </c>
      <c r="P98" t="s">
        <v>21</v>
      </c>
      <c r="Q98" s="2" t="s">
        <v>194</v>
      </c>
      <c r="R98" s="2" t="s">
        <v>1</v>
      </c>
      <c r="S98" t="s">
        <v>18</v>
      </c>
      <c r="T98" t="s">
        <v>194</v>
      </c>
      <c r="U98" t="s">
        <v>1</v>
      </c>
      <c r="V98" t="s">
        <v>18</v>
      </c>
      <c r="W98" t="s">
        <v>194</v>
      </c>
      <c r="X98" t="s">
        <v>1</v>
      </c>
      <c r="Y98">
        <f t="shared" si="1"/>
        <v>758</v>
      </c>
    </row>
    <row r="99" spans="1:25" ht="142.5" customHeight="1" x14ac:dyDescent="0.25">
      <c r="A99" t="s">
        <v>183</v>
      </c>
      <c r="B99" t="s">
        <v>184</v>
      </c>
      <c r="C99" s="2" t="s">
        <v>1135</v>
      </c>
      <c r="D99" s="2" t="s">
        <v>1136</v>
      </c>
      <c r="E99" s="2" t="s">
        <v>304</v>
      </c>
      <c r="F99" s="2" t="s">
        <v>302</v>
      </c>
      <c r="G99" t="s">
        <v>23</v>
      </c>
      <c r="H99" s="2" t="s">
        <v>187</v>
      </c>
      <c r="I99" s="2" t="s">
        <v>1</v>
      </c>
      <c r="J99" t="s">
        <v>21</v>
      </c>
      <c r="K99" s="2" t="s">
        <v>194</v>
      </c>
      <c r="L99" s="2" t="s">
        <v>1</v>
      </c>
      <c r="M99" t="s">
        <v>23</v>
      </c>
      <c r="N99" s="2" t="s">
        <v>187</v>
      </c>
      <c r="O99" s="2" t="s">
        <v>1</v>
      </c>
      <c r="P99" t="s">
        <v>21</v>
      </c>
      <c r="Q99" s="2" t="s">
        <v>194</v>
      </c>
      <c r="R99" s="2" t="s">
        <v>1</v>
      </c>
      <c r="S99" t="s">
        <v>23</v>
      </c>
      <c r="T99" s="2" t="s">
        <v>187</v>
      </c>
      <c r="U99" t="s">
        <v>1</v>
      </c>
      <c r="V99" t="s">
        <v>18</v>
      </c>
      <c r="W99" t="s">
        <v>194</v>
      </c>
      <c r="X99" t="s">
        <v>1</v>
      </c>
      <c r="Y99">
        <f t="shared" si="1"/>
        <v>759</v>
      </c>
    </row>
    <row r="100" spans="1:25" ht="142.5" customHeight="1" x14ac:dyDescent="0.25">
      <c r="A100" t="s">
        <v>183</v>
      </c>
      <c r="B100" t="s">
        <v>184</v>
      </c>
      <c r="C100" s="2" t="s">
        <v>1135</v>
      </c>
      <c r="D100" s="2" t="s">
        <v>1136</v>
      </c>
      <c r="E100" s="2" t="s">
        <v>305</v>
      </c>
      <c r="F100" s="2" t="s">
        <v>302</v>
      </c>
      <c r="G100" t="s">
        <v>21</v>
      </c>
      <c r="H100" s="2" t="s">
        <v>194</v>
      </c>
      <c r="I100" s="2" t="s">
        <v>1</v>
      </c>
      <c r="J100" t="s">
        <v>1079</v>
      </c>
      <c r="K100" s="2" t="s">
        <v>194</v>
      </c>
      <c r="L100" s="2" t="s">
        <v>1</v>
      </c>
      <c r="M100" t="s">
        <v>21</v>
      </c>
      <c r="N100" s="2" t="s">
        <v>194</v>
      </c>
      <c r="O100" s="2" t="s">
        <v>1</v>
      </c>
      <c r="P100" t="s">
        <v>21</v>
      </c>
      <c r="Q100" s="2" t="s">
        <v>194</v>
      </c>
      <c r="R100" s="2" t="s">
        <v>1</v>
      </c>
      <c r="S100" t="s">
        <v>18</v>
      </c>
      <c r="T100" t="s">
        <v>194</v>
      </c>
      <c r="U100" t="s">
        <v>1</v>
      </c>
      <c r="V100" t="s">
        <v>18</v>
      </c>
      <c r="W100" t="s">
        <v>194</v>
      </c>
      <c r="X100" t="s">
        <v>1</v>
      </c>
      <c r="Y100">
        <f t="shared" si="1"/>
        <v>752</v>
      </c>
    </row>
    <row r="101" spans="1:25" ht="142.5" customHeight="1" x14ac:dyDescent="0.25">
      <c r="A101" t="s">
        <v>183</v>
      </c>
      <c r="B101" t="s">
        <v>184</v>
      </c>
      <c r="C101" s="2" t="s">
        <v>1135</v>
      </c>
      <c r="D101" s="2" t="s">
        <v>1136</v>
      </c>
      <c r="E101" s="2" t="s">
        <v>306</v>
      </c>
      <c r="F101" s="2" t="s">
        <v>302</v>
      </c>
      <c r="G101" t="s">
        <v>21</v>
      </c>
      <c r="H101" s="2" t="s">
        <v>194</v>
      </c>
      <c r="I101" s="2" t="s">
        <v>1</v>
      </c>
      <c r="J101" t="s">
        <v>21</v>
      </c>
      <c r="K101" s="2" t="s">
        <v>194</v>
      </c>
      <c r="L101" s="2" t="s">
        <v>1</v>
      </c>
      <c r="M101" t="s">
        <v>23</v>
      </c>
      <c r="N101" s="2" t="s">
        <v>187</v>
      </c>
      <c r="O101" s="2" t="s">
        <v>1</v>
      </c>
      <c r="P101" t="s">
        <v>21</v>
      </c>
      <c r="Q101" s="2" t="s">
        <v>194</v>
      </c>
      <c r="R101" s="2" t="s">
        <v>1</v>
      </c>
      <c r="S101" t="s">
        <v>18</v>
      </c>
      <c r="T101" t="s">
        <v>194</v>
      </c>
      <c r="U101" t="s">
        <v>1</v>
      </c>
      <c r="V101" t="s">
        <v>18</v>
      </c>
      <c r="W101" t="s">
        <v>194</v>
      </c>
      <c r="X101" t="s">
        <v>1</v>
      </c>
      <c r="Y101">
        <f t="shared" si="1"/>
        <v>768</v>
      </c>
    </row>
    <row r="102" spans="1:25" ht="142.5" customHeight="1" x14ac:dyDescent="0.25">
      <c r="A102" t="s">
        <v>183</v>
      </c>
      <c r="B102" t="s">
        <v>184</v>
      </c>
      <c r="C102" s="2" t="s">
        <v>1135</v>
      </c>
      <c r="D102" s="2" t="s">
        <v>1136</v>
      </c>
      <c r="E102" s="2" t="s">
        <v>307</v>
      </c>
      <c r="F102" s="2" t="s">
        <v>203</v>
      </c>
      <c r="G102" t="s">
        <v>23</v>
      </c>
      <c r="H102" s="2" t="s">
        <v>194</v>
      </c>
      <c r="I102" s="2" t="s">
        <v>1</v>
      </c>
      <c r="J102" t="s">
        <v>23</v>
      </c>
      <c r="K102" s="2" t="s">
        <v>194</v>
      </c>
      <c r="L102" s="2" t="s">
        <v>1</v>
      </c>
      <c r="M102" t="s">
        <v>18</v>
      </c>
      <c r="N102" s="2" t="s">
        <v>187</v>
      </c>
      <c r="O102" s="2" t="s">
        <v>1</v>
      </c>
      <c r="P102" t="s">
        <v>18</v>
      </c>
      <c r="Q102" s="2" t="s">
        <v>187</v>
      </c>
      <c r="R102" s="2" t="s">
        <v>1</v>
      </c>
      <c r="S102" t="s">
        <v>23</v>
      </c>
      <c r="T102" s="2" t="s">
        <v>194</v>
      </c>
      <c r="U102" t="s">
        <v>1</v>
      </c>
      <c r="V102" t="s">
        <v>18</v>
      </c>
      <c r="W102" s="2" t="s">
        <v>187</v>
      </c>
      <c r="X102" t="s">
        <v>1</v>
      </c>
      <c r="Y102">
        <f t="shared" si="1"/>
        <v>764</v>
      </c>
    </row>
    <row r="103" spans="1:25" ht="142.5" customHeight="1" x14ac:dyDescent="0.25">
      <c r="A103" t="s">
        <v>183</v>
      </c>
      <c r="B103" t="s">
        <v>184</v>
      </c>
      <c r="C103" s="2" t="s">
        <v>1135</v>
      </c>
      <c r="D103" s="2" t="s">
        <v>1136</v>
      </c>
      <c r="E103" s="2" t="s">
        <v>308</v>
      </c>
      <c r="F103" s="2" t="s">
        <v>203</v>
      </c>
      <c r="G103" t="s">
        <v>23</v>
      </c>
      <c r="H103" s="2" t="s">
        <v>194</v>
      </c>
      <c r="I103" s="2" t="s">
        <v>1</v>
      </c>
      <c r="J103" t="s">
        <v>18</v>
      </c>
      <c r="K103" s="2" t="s">
        <v>187</v>
      </c>
      <c r="L103" s="2" t="s">
        <v>1</v>
      </c>
      <c r="M103" t="s">
        <v>18</v>
      </c>
      <c r="N103" s="2" t="s">
        <v>187</v>
      </c>
      <c r="O103" s="2" t="s">
        <v>1</v>
      </c>
      <c r="P103" t="s">
        <v>18</v>
      </c>
      <c r="Q103" s="2" t="s">
        <v>187</v>
      </c>
      <c r="R103" s="2" t="s">
        <v>1</v>
      </c>
      <c r="S103" t="s">
        <v>18</v>
      </c>
      <c r="T103" t="s">
        <v>187</v>
      </c>
      <c r="U103" t="s">
        <v>1</v>
      </c>
      <c r="V103" t="s">
        <v>18</v>
      </c>
      <c r="W103" s="2" t="s">
        <v>187</v>
      </c>
      <c r="X103" t="s">
        <v>1</v>
      </c>
      <c r="Y103">
        <f t="shared" si="1"/>
        <v>751</v>
      </c>
    </row>
    <row r="104" spans="1:25" ht="142.5" customHeight="1" x14ac:dyDescent="0.25">
      <c r="A104" t="s">
        <v>183</v>
      </c>
      <c r="B104" t="s">
        <v>184</v>
      </c>
      <c r="C104" s="2" t="s">
        <v>1135</v>
      </c>
      <c r="D104" s="2" t="s">
        <v>1136</v>
      </c>
      <c r="E104" s="2" t="s">
        <v>309</v>
      </c>
      <c r="F104" s="2" t="s">
        <v>203</v>
      </c>
      <c r="G104" t="s">
        <v>23</v>
      </c>
      <c r="H104" s="2" t="s">
        <v>194</v>
      </c>
      <c r="I104" s="2" t="s">
        <v>1</v>
      </c>
      <c r="J104" t="s">
        <v>23</v>
      </c>
      <c r="K104" s="2" t="s">
        <v>194</v>
      </c>
      <c r="L104" s="2" t="s">
        <v>1</v>
      </c>
      <c r="M104" t="s">
        <v>18</v>
      </c>
      <c r="N104" s="2" t="s">
        <v>187</v>
      </c>
      <c r="O104" s="2" t="s">
        <v>1</v>
      </c>
      <c r="P104" t="s">
        <v>18</v>
      </c>
      <c r="Q104" s="2" t="s">
        <v>187</v>
      </c>
      <c r="R104" s="2" t="s">
        <v>1</v>
      </c>
      <c r="S104" t="s">
        <v>18</v>
      </c>
      <c r="T104" t="s">
        <v>187</v>
      </c>
      <c r="U104" t="s">
        <v>1</v>
      </c>
      <c r="V104" t="s">
        <v>18</v>
      </c>
      <c r="W104" s="2" t="s">
        <v>187</v>
      </c>
      <c r="X104" t="s">
        <v>1</v>
      </c>
      <c r="Y104">
        <f t="shared" si="1"/>
        <v>754</v>
      </c>
    </row>
    <row r="105" spans="1:25" ht="142.5" customHeight="1" x14ac:dyDescent="0.25">
      <c r="A105" t="s">
        <v>183</v>
      </c>
      <c r="B105" t="s">
        <v>184</v>
      </c>
      <c r="C105" s="2" t="s">
        <v>1135</v>
      </c>
      <c r="D105" s="2" t="s">
        <v>1136</v>
      </c>
      <c r="E105" s="2" t="s">
        <v>310</v>
      </c>
      <c r="F105" s="2" t="s">
        <v>203</v>
      </c>
      <c r="G105" t="s">
        <v>21</v>
      </c>
      <c r="H105" s="2" t="s">
        <v>194</v>
      </c>
      <c r="I105" s="2" t="s">
        <v>1</v>
      </c>
      <c r="J105" t="s">
        <v>18</v>
      </c>
      <c r="K105" s="2" t="s">
        <v>187</v>
      </c>
      <c r="L105" s="2" t="s">
        <v>1</v>
      </c>
      <c r="M105" t="s">
        <v>18</v>
      </c>
      <c r="N105" s="2" t="s">
        <v>187</v>
      </c>
      <c r="O105" s="2" t="s">
        <v>1</v>
      </c>
      <c r="P105" t="s">
        <v>21</v>
      </c>
      <c r="Q105" s="2" t="s">
        <v>194</v>
      </c>
      <c r="R105" s="2" t="s">
        <v>1</v>
      </c>
      <c r="S105" t="s">
        <v>23</v>
      </c>
      <c r="T105" s="2" t="s">
        <v>194</v>
      </c>
      <c r="U105" t="s">
        <v>1</v>
      </c>
      <c r="V105" t="s">
        <v>18</v>
      </c>
      <c r="W105" s="2" t="s">
        <v>187</v>
      </c>
      <c r="X105" t="s">
        <v>1</v>
      </c>
      <c r="Y105">
        <f t="shared" si="1"/>
        <v>756</v>
      </c>
    </row>
    <row r="106" spans="1:25" ht="142.5" customHeight="1" x14ac:dyDescent="0.25">
      <c r="A106" t="s">
        <v>183</v>
      </c>
      <c r="B106" t="s">
        <v>184</v>
      </c>
      <c r="C106" s="2" t="s">
        <v>1135</v>
      </c>
      <c r="D106" s="2" t="s">
        <v>1136</v>
      </c>
      <c r="E106" s="2" t="s">
        <v>311</v>
      </c>
      <c r="F106" s="2" t="s">
        <v>203</v>
      </c>
      <c r="G106" t="s">
        <v>23</v>
      </c>
      <c r="H106" s="2" t="s">
        <v>194</v>
      </c>
      <c r="I106" s="2" t="s">
        <v>1</v>
      </c>
      <c r="J106" t="s">
        <v>1181</v>
      </c>
      <c r="K106" s="2" t="s">
        <v>187</v>
      </c>
      <c r="L106" s="2" t="s">
        <v>2</v>
      </c>
      <c r="M106" t="s">
        <v>18</v>
      </c>
      <c r="N106" s="2" t="s">
        <v>187</v>
      </c>
      <c r="O106" s="2" t="s">
        <v>1</v>
      </c>
      <c r="P106" t="s">
        <v>18</v>
      </c>
      <c r="Q106" s="2" t="s">
        <v>187</v>
      </c>
      <c r="R106" s="2" t="s">
        <v>1</v>
      </c>
      <c r="S106" t="s">
        <v>18</v>
      </c>
      <c r="T106" t="s">
        <v>187</v>
      </c>
      <c r="U106" t="s">
        <v>1</v>
      </c>
      <c r="V106" t="s">
        <v>18</v>
      </c>
      <c r="W106" s="2" t="s">
        <v>187</v>
      </c>
      <c r="X106" t="s">
        <v>1</v>
      </c>
      <c r="Y106">
        <f t="shared" si="1"/>
        <v>753</v>
      </c>
    </row>
    <row r="107" spans="1:25" ht="142.5" customHeight="1" x14ac:dyDescent="0.25">
      <c r="A107" t="s">
        <v>183</v>
      </c>
      <c r="B107" t="s">
        <v>184</v>
      </c>
      <c r="C107" s="2" t="s">
        <v>1135</v>
      </c>
      <c r="D107" s="2" t="s">
        <v>1136</v>
      </c>
      <c r="E107" s="2" t="s">
        <v>312</v>
      </c>
      <c r="F107" s="2" t="s">
        <v>313</v>
      </c>
      <c r="G107" t="s">
        <v>18</v>
      </c>
      <c r="H107" s="2" t="s">
        <v>194</v>
      </c>
      <c r="I107" s="2" t="s">
        <v>1</v>
      </c>
      <c r="J107" t="s">
        <v>1182</v>
      </c>
      <c r="K107" s="2" t="s">
        <v>187</v>
      </c>
      <c r="L107" s="2" t="s">
        <v>2</v>
      </c>
      <c r="M107" t="s">
        <v>21</v>
      </c>
      <c r="N107" s="2" t="s">
        <v>187</v>
      </c>
      <c r="O107" s="2" t="s">
        <v>1</v>
      </c>
      <c r="P107" t="s">
        <v>21</v>
      </c>
      <c r="Q107" s="2" t="s">
        <v>187</v>
      </c>
      <c r="R107" s="2" t="s">
        <v>1</v>
      </c>
      <c r="S107" t="s">
        <v>21</v>
      </c>
      <c r="T107" s="2" t="s">
        <v>187</v>
      </c>
      <c r="U107" t="s">
        <v>1</v>
      </c>
      <c r="V107" t="s">
        <v>18</v>
      </c>
      <c r="W107" s="2" t="s">
        <v>194</v>
      </c>
      <c r="X107" t="s">
        <v>1</v>
      </c>
      <c r="Y107">
        <f t="shared" si="1"/>
        <v>770</v>
      </c>
    </row>
    <row r="108" spans="1:25" ht="142.5" customHeight="1" x14ac:dyDescent="0.25">
      <c r="A108" t="s">
        <v>183</v>
      </c>
      <c r="B108" t="s">
        <v>184</v>
      </c>
      <c r="C108" s="2" t="s">
        <v>1135</v>
      </c>
      <c r="D108" s="2" t="s">
        <v>1136</v>
      </c>
      <c r="E108" s="2" t="s">
        <v>314</v>
      </c>
      <c r="F108" s="2" t="s">
        <v>313</v>
      </c>
      <c r="G108" t="s">
        <v>18</v>
      </c>
      <c r="H108" s="2" t="s">
        <v>194</v>
      </c>
      <c r="I108" s="2" t="s">
        <v>1</v>
      </c>
      <c r="J108" t="s">
        <v>21</v>
      </c>
      <c r="K108" s="2" t="s">
        <v>187</v>
      </c>
      <c r="L108" s="2" t="s">
        <v>1</v>
      </c>
      <c r="M108" t="s">
        <v>21</v>
      </c>
      <c r="N108" s="2" t="s">
        <v>187</v>
      </c>
      <c r="O108" s="2" t="s">
        <v>1</v>
      </c>
      <c r="P108" t="s">
        <v>18</v>
      </c>
      <c r="Q108" s="2" t="s">
        <v>194</v>
      </c>
      <c r="R108" s="2" t="s">
        <v>1</v>
      </c>
      <c r="S108" t="s">
        <v>18</v>
      </c>
      <c r="T108" s="2" t="s">
        <v>194</v>
      </c>
      <c r="U108" t="s">
        <v>1</v>
      </c>
      <c r="V108" t="s">
        <v>18</v>
      </c>
      <c r="W108" s="2" t="s">
        <v>194</v>
      </c>
      <c r="X108" t="s">
        <v>1</v>
      </c>
      <c r="Y108">
        <f t="shared" si="1"/>
        <v>763</v>
      </c>
    </row>
    <row r="109" spans="1:25" ht="142.5" customHeight="1" x14ac:dyDescent="0.25">
      <c r="A109" t="s">
        <v>183</v>
      </c>
      <c r="B109" t="s">
        <v>184</v>
      </c>
      <c r="C109" s="2" t="s">
        <v>1135</v>
      </c>
      <c r="D109" s="2" t="s">
        <v>1136</v>
      </c>
      <c r="E109" s="2" t="s">
        <v>315</v>
      </c>
      <c r="F109" s="2" t="s">
        <v>313</v>
      </c>
      <c r="G109" t="s">
        <v>18</v>
      </c>
      <c r="H109" s="2" t="s">
        <v>194</v>
      </c>
      <c r="I109" s="2" t="s">
        <v>1</v>
      </c>
      <c r="J109" t="s">
        <v>18</v>
      </c>
      <c r="K109" s="2" t="s">
        <v>194</v>
      </c>
      <c r="L109" s="2" t="s">
        <v>1</v>
      </c>
      <c r="M109" t="s">
        <v>21</v>
      </c>
      <c r="N109" s="2" t="s">
        <v>187</v>
      </c>
      <c r="O109" s="2" t="s">
        <v>1</v>
      </c>
      <c r="P109" t="s">
        <v>18</v>
      </c>
      <c r="Q109" s="2" t="s">
        <v>194</v>
      </c>
      <c r="R109" s="2" t="s">
        <v>1</v>
      </c>
      <c r="S109" t="s">
        <v>23</v>
      </c>
      <c r="T109" s="2" t="s">
        <v>194</v>
      </c>
      <c r="U109" t="s">
        <v>1</v>
      </c>
      <c r="V109" t="s">
        <v>18</v>
      </c>
      <c r="W109" s="2" t="s">
        <v>194</v>
      </c>
      <c r="X109" t="s">
        <v>1</v>
      </c>
      <c r="Y109">
        <f t="shared" si="1"/>
        <v>755</v>
      </c>
    </row>
    <row r="110" spans="1:25" ht="142.5" customHeight="1" x14ac:dyDescent="0.25">
      <c r="A110" t="s">
        <v>183</v>
      </c>
      <c r="B110" t="s">
        <v>184</v>
      </c>
      <c r="C110" s="2" t="s">
        <v>1135</v>
      </c>
      <c r="D110" s="2" t="s">
        <v>1136</v>
      </c>
      <c r="E110" s="2" t="s">
        <v>316</v>
      </c>
      <c r="F110" s="2" t="s">
        <v>313</v>
      </c>
      <c r="G110" t="s">
        <v>23</v>
      </c>
      <c r="H110" s="2" t="s">
        <v>194</v>
      </c>
      <c r="I110" s="2" t="s">
        <v>1</v>
      </c>
      <c r="J110" t="s">
        <v>23</v>
      </c>
      <c r="K110" s="2" t="s">
        <v>194</v>
      </c>
      <c r="L110" s="2" t="s">
        <v>1</v>
      </c>
      <c r="M110" t="s">
        <v>21</v>
      </c>
      <c r="N110" s="2" t="s">
        <v>187</v>
      </c>
      <c r="O110" s="2" t="s">
        <v>1</v>
      </c>
      <c r="P110" t="s">
        <v>18</v>
      </c>
      <c r="Q110" s="2" t="s">
        <v>194</v>
      </c>
      <c r="R110" s="2" t="s">
        <v>1</v>
      </c>
      <c r="S110" t="s">
        <v>23</v>
      </c>
      <c r="T110" s="2" t="s">
        <v>194</v>
      </c>
      <c r="U110" t="s">
        <v>1</v>
      </c>
      <c r="V110" t="s">
        <v>18</v>
      </c>
      <c r="W110" s="2" t="s">
        <v>194</v>
      </c>
      <c r="X110" t="s">
        <v>1</v>
      </c>
      <c r="Y110">
        <f t="shared" si="1"/>
        <v>765</v>
      </c>
    </row>
    <row r="111" spans="1:25" ht="142.5" customHeight="1" x14ac:dyDescent="0.25">
      <c r="A111" t="s">
        <v>183</v>
      </c>
      <c r="B111" t="s">
        <v>184</v>
      </c>
      <c r="C111" s="2" t="s">
        <v>1135</v>
      </c>
      <c r="D111" s="2" t="s">
        <v>1136</v>
      </c>
      <c r="E111" s="2" t="s">
        <v>317</v>
      </c>
      <c r="F111" s="2" t="s">
        <v>313</v>
      </c>
      <c r="G111" t="s">
        <v>23</v>
      </c>
      <c r="H111" s="2" t="s">
        <v>194</v>
      </c>
      <c r="I111" s="2" t="s">
        <v>1</v>
      </c>
      <c r="J111" t="s">
        <v>21</v>
      </c>
      <c r="K111" s="2" t="s">
        <v>187</v>
      </c>
      <c r="L111" s="2" t="s">
        <v>1</v>
      </c>
      <c r="M111" t="s">
        <v>21</v>
      </c>
      <c r="N111" s="2" t="s">
        <v>187</v>
      </c>
      <c r="O111" s="2" t="s">
        <v>1</v>
      </c>
      <c r="P111" t="s">
        <v>18</v>
      </c>
      <c r="Q111" s="2" t="s">
        <v>194</v>
      </c>
      <c r="R111" s="2" t="s">
        <v>1</v>
      </c>
      <c r="S111" t="s">
        <v>23</v>
      </c>
      <c r="T111" s="2" t="s">
        <v>194</v>
      </c>
      <c r="U111" t="s">
        <v>1</v>
      </c>
      <c r="V111" t="s">
        <v>18</v>
      </c>
      <c r="W111" s="2" t="s">
        <v>194</v>
      </c>
      <c r="X111" t="s">
        <v>1</v>
      </c>
      <c r="Y111">
        <f t="shared" si="1"/>
        <v>775</v>
      </c>
    </row>
    <row r="112" spans="1:25" ht="142.5" customHeight="1" x14ac:dyDescent="0.25">
      <c r="A112" t="s">
        <v>183</v>
      </c>
      <c r="B112" t="s">
        <v>184</v>
      </c>
      <c r="C112" s="2" t="s">
        <v>1135</v>
      </c>
      <c r="D112" s="2" t="s">
        <v>1136</v>
      </c>
      <c r="E112" s="2" t="s">
        <v>318</v>
      </c>
      <c r="F112" s="2" t="s">
        <v>319</v>
      </c>
      <c r="G112" t="s">
        <v>21</v>
      </c>
      <c r="H112" s="2" t="s">
        <v>187</v>
      </c>
      <c r="I112" s="2" t="s">
        <v>1</v>
      </c>
      <c r="J112" t="s">
        <v>21</v>
      </c>
      <c r="K112" s="2" t="s">
        <v>187</v>
      </c>
      <c r="L112" s="2" t="s">
        <v>1</v>
      </c>
      <c r="M112" t="s">
        <v>21</v>
      </c>
      <c r="N112" s="2" t="s">
        <v>187</v>
      </c>
      <c r="O112" s="2" t="s">
        <v>1</v>
      </c>
      <c r="P112" t="s">
        <v>21</v>
      </c>
      <c r="Q112" s="2" t="s">
        <v>187</v>
      </c>
      <c r="R112" s="2" t="s">
        <v>1</v>
      </c>
      <c r="S112" t="s">
        <v>21</v>
      </c>
      <c r="T112" s="2" t="s">
        <v>187</v>
      </c>
      <c r="U112" t="s">
        <v>1</v>
      </c>
      <c r="V112" t="s">
        <v>18</v>
      </c>
      <c r="W112" s="2" t="s">
        <v>194</v>
      </c>
      <c r="X112" t="s">
        <v>1</v>
      </c>
      <c r="Y112">
        <f t="shared" si="1"/>
        <v>759</v>
      </c>
    </row>
    <row r="113" spans="1:25" ht="142.5" customHeight="1" x14ac:dyDescent="0.25">
      <c r="A113" t="s">
        <v>183</v>
      </c>
      <c r="B113" t="s">
        <v>184</v>
      </c>
      <c r="C113" s="2" t="s">
        <v>1135</v>
      </c>
      <c r="D113" s="2" t="s">
        <v>1136</v>
      </c>
      <c r="E113" s="2" t="s">
        <v>320</v>
      </c>
      <c r="F113" s="2" t="s">
        <v>319</v>
      </c>
      <c r="G113" t="s">
        <v>21</v>
      </c>
      <c r="H113" s="2" t="s">
        <v>187</v>
      </c>
      <c r="I113" s="2" t="s">
        <v>1</v>
      </c>
      <c r="J113" t="s">
        <v>21</v>
      </c>
      <c r="K113" s="2" t="s">
        <v>187</v>
      </c>
      <c r="L113" s="2" t="s">
        <v>1</v>
      </c>
      <c r="M113" t="s">
        <v>21</v>
      </c>
      <c r="N113" s="2" t="s">
        <v>187</v>
      </c>
      <c r="O113" s="2" t="s">
        <v>1</v>
      </c>
      <c r="P113" t="s">
        <v>21</v>
      </c>
      <c r="Q113" s="2" t="s">
        <v>187</v>
      </c>
      <c r="R113" s="2" t="s">
        <v>1</v>
      </c>
      <c r="S113" t="s">
        <v>18</v>
      </c>
      <c r="T113" s="2" t="s">
        <v>194</v>
      </c>
      <c r="U113" t="s">
        <v>1</v>
      </c>
      <c r="V113" t="s">
        <v>18</v>
      </c>
      <c r="W113" s="2" t="s">
        <v>194</v>
      </c>
      <c r="X113" t="s">
        <v>1</v>
      </c>
      <c r="Y113">
        <f t="shared" si="1"/>
        <v>755</v>
      </c>
    </row>
    <row r="114" spans="1:25" ht="142.5" customHeight="1" x14ac:dyDescent="0.25">
      <c r="A114" t="s">
        <v>183</v>
      </c>
      <c r="B114" t="s">
        <v>184</v>
      </c>
      <c r="C114" s="2" t="s">
        <v>1135</v>
      </c>
      <c r="D114" s="2" t="s">
        <v>1136</v>
      </c>
      <c r="E114" s="2" t="s">
        <v>321</v>
      </c>
      <c r="F114" s="2" t="s">
        <v>319</v>
      </c>
      <c r="G114" t="s">
        <v>21</v>
      </c>
      <c r="H114" s="2" t="s">
        <v>187</v>
      </c>
      <c r="I114" s="2" t="s">
        <v>1</v>
      </c>
      <c r="J114" t="s">
        <v>1079</v>
      </c>
      <c r="K114" s="2" t="s">
        <v>187</v>
      </c>
      <c r="L114" s="2" t="s">
        <v>1</v>
      </c>
      <c r="M114" t="s">
        <v>21</v>
      </c>
      <c r="N114" s="2" t="s">
        <v>187</v>
      </c>
      <c r="O114" s="2" t="s">
        <v>1</v>
      </c>
      <c r="P114" t="s">
        <v>21</v>
      </c>
      <c r="Q114" s="2" t="s">
        <v>187</v>
      </c>
      <c r="R114" s="2" t="s">
        <v>1</v>
      </c>
      <c r="S114" t="s">
        <v>21</v>
      </c>
      <c r="T114" s="2" t="s">
        <v>187</v>
      </c>
      <c r="U114" t="s">
        <v>1</v>
      </c>
      <c r="V114" t="s">
        <v>18</v>
      </c>
      <c r="W114" s="2" t="s">
        <v>194</v>
      </c>
      <c r="X114" t="s">
        <v>1</v>
      </c>
      <c r="Y114">
        <f t="shared" si="1"/>
        <v>771</v>
      </c>
    </row>
    <row r="115" spans="1:25" ht="142.5" customHeight="1" x14ac:dyDescent="0.25">
      <c r="A115" t="s">
        <v>183</v>
      </c>
      <c r="B115" t="s">
        <v>184</v>
      </c>
      <c r="C115" s="2" t="s">
        <v>1135</v>
      </c>
      <c r="D115" s="2" t="s">
        <v>1136</v>
      </c>
      <c r="E115" s="2" t="s">
        <v>322</v>
      </c>
      <c r="F115" s="2" t="s">
        <v>319</v>
      </c>
      <c r="G115" t="s">
        <v>18</v>
      </c>
      <c r="H115" s="2" t="s">
        <v>194</v>
      </c>
      <c r="I115" s="2" t="s">
        <v>1</v>
      </c>
      <c r="J115" t="s">
        <v>21</v>
      </c>
      <c r="K115" s="2" t="s">
        <v>187</v>
      </c>
      <c r="L115" s="2" t="s">
        <v>1</v>
      </c>
      <c r="M115" t="s">
        <v>21</v>
      </c>
      <c r="N115" s="2" t="s">
        <v>187</v>
      </c>
      <c r="O115" s="2" t="s">
        <v>1</v>
      </c>
      <c r="P115" t="s">
        <v>21</v>
      </c>
      <c r="Q115" s="2" t="s">
        <v>187</v>
      </c>
      <c r="R115" s="2" t="s">
        <v>1</v>
      </c>
      <c r="S115" t="s">
        <v>18</v>
      </c>
      <c r="T115" s="2" t="s">
        <v>194</v>
      </c>
      <c r="U115" t="s">
        <v>1</v>
      </c>
      <c r="V115" t="s">
        <v>18</v>
      </c>
      <c r="W115" s="2" t="s">
        <v>194</v>
      </c>
      <c r="X115" t="s">
        <v>1</v>
      </c>
      <c r="Y115">
        <f t="shared" si="1"/>
        <v>759</v>
      </c>
    </row>
    <row r="116" spans="1:25" ht="142.5" customHeight="1" x14ac:dyDescent="0.25">
      <c r="A116" t="s">
        <v>183</v>
      </c>
      <c r="B116" t="s">
        <v>184</v>
      </c>
      <c r="C116" s="2" t="s">
        <v>1135</v>
      </c>
      <c r="D116" s="2" t="s">
        <v>1136</v>
      </c>
      <c r="E116" s="2" t="s">
        <v>323</v>
      </c>
      <c r="F116" s="2" t="s">
        <v>319</v>
      </c>
      <c r="G116" t="s">
        <v>21</v>
      </c>
      <c r="H116" s="2" t="s">
        <v>187</v>
      </c>
      <c r="I116" s="2" t="s">
        <v>1</v>
      </c>
      <c r="J116" t="s">
        <v>21</v>
      </c>
      <c r="K116" s="2" t="s">
        <v>187</v>
      </c>
      <c r="L116" s="2" t="s">
        <v>1</v>
      </c>
      <c r="M116" t="s">
        <v>21</v>
      </c>
      <c r="N116" s="2" t="s">
        <v>187</v>
      </c>
      <c r="O116" s="2" t="s">
        <v>1</v>
      </c>
      <c r="P116" t="s">
        <v>21</v>
      </c>
      <c r="Q116" s="2" t="s">
        <v>187</v>
      </c>
      <c r="R116" s="2" t="s">
        <v>1</v>
      </c>
      <c r="S116" t="s">
        <v>18</v>
      </c>
      <c r="T116" s="2" t="s">
        <v>194</v>
      </c>
      <c r="U116" t="s">
        <v>1</v>
      </c>
      <c r="V116" t="s">
        <v>18</v>
      </c>
      <c r="W116" s="2" t="s">
        <v>194</v>
      </c>
      <c r="X116" t="s">
        <v>1</v>
      </c>
      <c r="Y116">
        <f t="shared" si="1"/>
        <v>766</v>
      </c>
    </row>
    <row r="117" spans="1:25" ht="142.5" customHeight="1" x14ac:dyDescent="0.25">
      <c r="A117" t="s">
        <v>183</v>
      </c>
      <c r="B117" t="s">
        <v>184</v>
      </c>
      <c r="C117" s="2" t="s">
        <v>1135</v>
      </c>
      <c r="D117" s="2" t="s">
        <v>1136</v>
      </c>
      <c r="E117" s="2" t="s">
        <v>324</v>
      </c>
      <c r="F117" s="2" t="s">
        <v>325</v>
      </c>
      <c r="G117" t="s">
        <v>21</v>
      </c>
      <c r="H117" s="2" t="s">
        <v>194</v>
      </c>
      <c r="I117" s="2" t="s">
        <v>1</v>
      </c>
      <c r="J117" t="s">
        <v>18</v>
      </c>
      <c r="K117" s="2" t="s">
        <v>187</v>
      </c>
      <c r="L117" s="2" t="s">
        <v>1</v>
      </c>
      <c r="M117" t="s">
        <v>18</v>
      </c>
      <c r="N117" s="2" t="s">
        <v>187</v>
      </c>
      <c r="O117" s="2" t="s">
        <v>1</v>
      </c>
      <c r="P117" t="s">
        <v>18</v>
      </c>
      <c r="Q117" s="2" t="s">
        <v>187</v>
      </c>
      <c r="R117" s="2" t="s">
        <v>1</v>
      </c>
      <c r="S117" t="s">
        <v>21</v>
      </c>
      <c r="T117" s="2" t="s">
        <v>194</v>
      </c>
      <c r="U117" t="s">
        <v>1</v>
      </c>
      <c r="V117" t="s">
        <v>18</v>
      </c>
      <c r="W117" s="2" t="s">
        <v>187</v>
      </c>
      <c r="X117" t="s">
        <v>1</v>
      </c>
      <c r="Y117">
        <f t="shared" si="1"/>
        <v>738</v>
      </c>
    </row>
    <row r="118" spans="1:25" ht="142.5" customHeight="1" x14ac:dyDescent="0.25">
      <c r="A118" t="s">
        <v>183</v>
      </c>
      <c r="B118" t="s">
        <v>184</v>
      </c>
      <c r="C118" s="2" t="s">
        <v>1135</v>
      </c>
      <c r="D118" s="2" t="s">
        <v>1136</v>
      </c>
      <c r="E118" s="2" t="s">
        <v>326</v>
      </c>
      <c r="F118" s="2" t="s">
        <v>325</v>
      </c>
      <c r="G118" t="s">
        <v>18</v>
      </c>
      <c r="H118" s="2" t="s">
        <v>187</v>
      </c>
      <c r="I118" s="2" t="s">
        <v>1</v>
      </c>
      <c r="J118" t="s">
        <v>21</v>
      </c>
      <c r="K118" s="2" t="s">
        <v>194</v>
      </c>
      <c r="L118" s="2" t="s">
        <v>1</v>
      </c>
      <c r="M118" t="s">
        <v>18</v>
      </c>
      <c r="N118" s="2" t="s">
        <v>187</v>
      </c>
      <c r="O118" s="2" t="s">
        <v>1</v>
      </c>
      <c r="P118" t="s">
        <v>21</v>
      </c>
      <c r="Q118" s="2" t="s">
        <v>194</v>
      </c>
      <c r="R118" s="2" t="s">
        <v>1</v>
      </c>
      <c r="S118" t="s">
        <v>18</v>
      </c>
      <c r="T118" t="s">
        <v>187</v>
      </c>
      <c r="U118" t="s">
        <v>1</v>
      </c>
      <c r="V118" t="s">
        <v>18</v>
      </c>
      <c r="W118" s="2" t="s">
        <v>187</v>
      </c>
      <c r="X118" t="s">
        <v>1</v>
      </c>
      <c r="Y118">
        <f t="shared" si="1"/>
        <v>764</v>
      </c>
    </row>
    <row r="119" spans="1:25" ht="142.5" customHeight="1" x14ac:dyDescent="0.25">
      <c r="A119" t="s">
        <v>183</v>
      </c>
      <c r="B119" t="s">
        <v>184</v>
      </c>
      <c r="C119" s="2" t="s">
        <v>1135</v>
      </c>
      <c r="D119" s="2" t="s">
        <v>1136</v>
      </c>
      <c r="E119" s="2" t="s">
        <v>327</v>
      </c>
      <c r="F119" s="2" t="s">
        <v>325</v>
      </c>
      <c r="G119" t="s">
        <v>21</v>
      </c>
      <c r="H119" s="2" t="s">
        <v>194</v>
      </c>
      <c r="I119" s="2" t="s">
        <v>1</v>
      </c>
      <c r="J119" t="s">
        <v>18</v>
      </c>
      <c r="K119" s="2" t="s">
        <v>187</v>
      </c>
      <c r="L119" s="2" t="s">
        <v>1</v>
      </c>
      <c r="M119" t="s">
        <v>18</v>
      </c>
      <c r="N119" s="2" t="s">
        <v>187</v>
      </c>
      <c r="O119" s="2" t="s">
        <v>1</v>
      </c>
      <c r="P119" t="s">
        <v>18</v>
      </c>
      <c r="Q119" s="2" t="s">
        <v>187</v>
      </c>
      <c r="R119" s="2" t="s">
        <v>1</v>
      </c>
      <c r="S119" t="s">
        <v>23</v>
      </c>
      <c r="T119" s="2" t="s">
        <v>194</v>
      </c>
      <c r="U119" t="s">
        <v>1</v>
      </c>
      <c r="V119" t="s">
        <v>18</v>
      </c>
      <c r="W119" s="2" t="s">
        <v>187</v>
      </c>
      <c r="X119" t="s">
        <v>1</v>
      </c>
      <c r="Y119">
        <f t="shared" si="1"/>
        <v>748</v>
      </c>
    </row>
    <row r="120" spans="1:25" ht="142.5" customHeight="1" x14ac:dyDescent="0.25">
      <c r="A120" t="s">
        <v>183</v>
      </c>
      <c r="B120" t="s">
        <v>184</v>
      </c>
      <c r="C120" s="2" t="s">
        <v>1135</v>
      </c>
      <c r="D120" s="2" t="s">
        <v>1136</v>
      </c>
      <c r="E120" s="2" t="s">
        <v>328</v>
      </c>
      <c r="F120" s="2" t="s">
        <v>325</v>
      </c>
      <c r="G120" t="s">
        <v>18</v>
      </c>
      <c r="H120" s="2" t="s">
        <v>187</v>
      </c>
      <c r="I120" s="2" t="s">
        <v>1</v>
      </c>
      <c r="J120" t="s">
        <v>18</v>
      </c>
      <c r="K120" s="2" t="s">
        <v>187</v>
      </c>
      <c r="L120" s="2" t="s">
        <v>1</v>
      </c>
      <c r="M120" t="s">
        <v>18</v>
      </c>
      <c r="N120" s="2" t="s">
        <v>187</v>
      </c>
      <c r="O120" s="2" t="s">
        <v>1</v>
      </c>
      <c r="P120" t="s">
        <v>18</v>
      </c>
      <c r="Q120" s="2" t="s">
        <v>187</v>
      </c>
      <c r="R120" s="2" t="s">
        <v>1</v>
      </c>
      <c r="S120" t="s">
        <v>18</v>
      </c>
      <c r="T120" t="s">
        <v>187</v>
      </c>
      <c r="U120" t="s">
        <v>1</v>
      </c>
      <c r="V120" t="s">
        <v>18</v>
      </c>
      <c r="W120" s="2" t="s">
        <v>187</v>
      </c>
      <c r="X120" t="s">
        <v>1</v>
      </c>
      <c r="Y120">
        <f t="shared" si="1"/>
        <v>746</v>
      </c>
    </row>
    <row r="121" spans="1:25" ht="142.5" customHeight="1" x14ac:dyDescent="0.25">
      <c r="A121" t="s">
        <v>183</v>
      </c>
      <c r="B121" t="s">
        <v>184</v>
      </c>
      <c r="C121" s="2" t="s">
        <v>1135</v>
      </c>
      <c r="D121" s="2" t="s">
        <v>1136</v>
      </c>
      <c r="E121" s="2" t="s">
        <v>329</v>
      </c>
      <c r="F121" s="2" t="s">
        <v>325</v>
      </c>
      <c r="G121" t="s">
        <v>21</v>
      </c>
      <c r="H121" s="2" t="s">
        <v>194</v>
      </c>
      <c r="I121" s="2" t="s">
        <v>1</v>
      </c>
      <c r="J121" t="s">
        <v>21</v>
      </c>
      <c r="K121" s="2" t="s">
        <v>194</v>
      </c>
      <c r="L121" s="2" t="s">
        <v>1</v>
      </c>
      <c r="M121" t="s">
        <v>21</v>
      </c>
      <c r="N121" s="2" t="s">
        <v>194</v>
      </c>
      <c r="O121" s="2" t="s">
        <v>1</v>
      </c>
      <c r="P121" t="s">
        <v>18</v>
      </c>
      <c r="Q121" s="2" t="s">
        <v>187</v>
      </c>
      <c r="R121" s="2" t="s">
        <v>1</v>
      </c>
      <c r="S121" t="s">
        <v>21</v>
      </c>
      <c r="T121" s="2" t="s">
        <v>194</v>
      </c>
      <c r="U121" t="s">
        <v>1</v>
      </c>
      <c r="V121" t="s">
        <v>18</v>
      </c>
      <c r="W121" s="2" t="s">
        <v>187</v>
      </c>
      <c r="X121" t="s">
        <v>1</v>
      </c>
      <c r="Y121">
        <f t="shared" si="1"/>
        <v>769</v>
      </c>
    </row>
    <row r="122" spans="1:25" ht="142.5" customHeight="1" x14ac:dyDescent="0.25">
      <c r="A122" t="s">
        <v>183</v>
      </c>
      <c r="B122" t="s">
        <v>184</v>
      </c>
      <c r="C122" s="2" t="s">
        <v>1135</v>
      </c>
      <c r="D122" s="2" t="s">
        <v>1136</v>
      </c>
      <c r="E122" s="2" t="s">
        <v>330</v>
      </c>
      <c r="F122" s="2" t="s">
        <v>331</v>
      </c>
      <c r="G122" t="s">
        <v>18</v>
      </c>
      <c r="H122" s="2" t="s">
        <v>187</v>
      </c>
      <c r="I122" s="2" t="s">
        <v>1</v>
      </c>
      <c r="J122" t="s">
        <v>21</v>
      </c>
      <c r="K122" s="2" t="s">
        <v>194</v>
      </c>
      <c r="L122" s="2" t="s">
        <v>1</v>
      </c>
      <c r="M122" t="s">
        <v>18</v>
      </c>
      <c r="N122" s="2" t="s">
        <v>187</v>
      </c>
      <c r="O122" s="2" t="s">
        <v>1</v>
      </c>
      <c r="P122" t="s">
        <v>18</v>
      </c>
      <c r="Q122" s="2" t="s">
        <v>187</v>
      </c>
      <c r="R122" s="2" t="s">
        <v>1</v>
      </c>
      <c r="S122" t="s">
        <v>18</v>
      </c>
      <c r="T122" t="s">
        <v>187</v>
      </c>
      <c r="U122" t="s">
        <v>1</v>
      </c>
      <c r="V122" t="s">
        <v>18</v>
      </c>
      <c r="W122" s="2" t="s">
        <v>187</v>
      </c>
      <c r="X122" t="s">
        <v>1</v>
      </c>
      <c r="Y122">
        <f t="shared" si="1"/>
        <v>765</v>
      </c>
    </row>
    <row r="123" spans="1:25" ht="142.5" customHeight="1" x14ac:dyDescent="0.25">
      <c r="A123" t="s">
        <v>183</v>
      </c>
      <c r="B123" t="s">
        <v>184</v>
      </c>
      <c r="C123" s="2" t="s">
        <v>1135</v>
      </c>
      <c r="D123" s="2" t="s">
        <v>1136</v>
      </c>
      <c r="E123" s="2" t="s">
        <v>332</v>
      </c>
      <c r="F123" s="2" t="s">
        <v>331</v>
      </c>
      <c r="G123" t="s">
        <v>18</v>
      </c>
      <c r="H123" s="2" t="s">
        <v>187</v>
      </c>
      <c r="I123" s="2" t="s">
        <v>1</v>
      </c>
      <c r="J123" t="s">
        <v>1183</v>
      </c>
      <c r="K123" s="2" t="s">
        <v>187</v>
      </c>
      <c r="L123" s="2" t="s">
        <v>2</v>
      </c>
      <c r="M123" t="s">
        <v>18</v>
      </c>
      <c r="N123" s="2" t="s">
        <v>187</v>
      </c>
      <c r="O123" s="2" t="s">
        <v>1</v>
      </c>
      <c r="P123" t="s">
        <v>18</v>
      </c>
      <c r="Q123" s="2" t="s">
        <v>187</v>
      </c>
      <c r="R123" s="2" t="s">
        <v>1</v>
      </c>
      <c r="S123" t="s">
        <v>18</v>
      </c>
      <c r="T123" t="s">
        <v>187</v>
      </c>
      <c r="U123" t="s">
        <v>1</v>
      </c>
      <c r="V123" t="s">
        <v>18</v>
      </c>
      <c r="W123" s="2" t="s">
        <v>187</v>
      </c>
      <c r="X123" t="s">
        <v>1</v>
      </c>
      <c r="Y123">
        <f t="shared" si="1"/>
        <v>772</v>
      </c>
    </row>
    <row r="124" spans="1:25" ht="142.5" customHeight="1" x14ac:dyDescent="0.25">
      <c r="A124" t="s">
        <v>183</v>
      </c>
      <c r="B124" t="s">
        <v>184</v>
      </c>
      <c r="C124" s="2" t="s">
        <v>1135</v>
      </c>
      <c r="D124" s="2" t="s">
        <v>1136</v>
      </c>
      <c r="E124" s="2" t="s">
        <v>333</v>
      </c>
      <c r="F124" s="2" t="s">
        <v>331</v>
      </c>
      <c r="G124" t="s">
        <v>23</v>
      </c>
      <c r="H124" s="2" t="s">
        <v>194</v>
      </c>
      <c r="I124" s="2" t="s">
        <v>1</v>
      </c>
      <c r="J124" t="s">
        <v>1184</v>
      </c>
      <c r="K124" s="2" t="s">
        <v>194</v>
      </c>
      <c r="L124" s="2" t="s">
        <v>2</v>
      </c>
      <c r="M124" t="s">
        <v>18</v>
      </c>
      <c r="N124" s="2" t="s">
        <v>187</v>
      </c>
      <c r="O124" s="2" t="s">
        <v>1</v>
      </c>
      <c r="P124" t="s">
        <v>18</v>
      </c>
      <c r="Q124" s="2" t="s">
        <v>187</v>
      </c>
      <c r="R124" s="2" t="s">
        <v>1</v>
      </c>
      <c r="S124" t="s">
        <v>18</v>
      </c>
      <c r="T124" t="s">
        <v>187</v>
      </c>
      <c r="U124" t="s">
        <v>1</v>
      </c>
      <c r="V124" t="s">
        <v>18</v>
      </c>
      <c r="W124" s="2" t="s">
        <v>187</v>
      </c>
      <c r="X124" t="s">
        <v>1</v>
      </c>
      <c r="Y124">
        <f t="shared" si="1"/>
        <v>769</v>
      </c>
    </row>
    <row r="125" spans="1:25" ht="142.5" customHeight="1" x14ac:dyDescent="0.25">
      <c r="A125" t="s">
        <v>183</v>
      </c>
      <c r="B125" t="s">
        <v>184</v>
      </c>
      <c r="C125" s="2" t="s">
        <v>1135</v>
      </c>
      <c r="D125" s="2" t="s">
        <v>1136</v>
      </c>
      <c r="E125" s="2" t="s">
        <v>334</v>
      </c>
      <c r="F125" s="2" t="s">
        <v>331</v>
      </c>
      <c r="G125" t="s">
        <v>18</v>
      </c>
      <c r="H125" s="2" t="s">
        <v>187</v>
      </c>
      <c r="I125" s="2" t="s">
        <v>1</v>
      </c>
      <c r="J125" t="s">
        <v>18</v>
      </c>
      <c r="K125" s="2" t="s">
        <v>187</v>
      </c>
      <c r="L125" s="2" t="s">
        <v>1</v>
      </c>
      <c r="M125" t="s">
        <v>18</v>
      </c>
      <c r="N125" s="2" t="s">
        <v>187</v>
      </c>
      <c r="O125" s="2" t="s">
        <v>1</v>
      </c>
      <c r="P125" t="s">
        <v>18</v>
      </c>
      <c r="Q125" s="2" t="s">
        <v>187</v>
      </c>
      <c r="R125" s="2" t="s">
        <v>1</v>
      </c>
      <c r="S125" t="s">
        <v>18</v>
      </c>
      <c r="T125" t="s">
        <v>187</v>
      </c>
      <c r="U125" t="s">
        <v>1</v>
      </c>
      <c r="V125" t="s">
        <v>18</v>
      </c>
      <c r="W125" s="2" t="s">
        <v>187</v>
      </c>
      <c r="X125" t="s">
        <v>1</v>
      </c>
      <c r="Y125">
        <f t="shared" si="1"/>
        <v>763</v>
      </c>
    </row>
    <row r="126" spans="1:25" ht="142.5" customHeight="1" x14ac:dyDescent="0.25">
      <c r="A126" t="s">
        <v>183</v>
      </c>
      <c r="B126" t="s">
        <v>184</v>
      </c>
      <c r="C126" s="2" t="s">
        <v>1135</v>
      </c>
      <c r="D126" s="2" t="s">
        <v>1136</v>
      </c>
      <c r="E126" s="2" t="s">
        <v>335</v>
      </c>
      <c r="F126" s="2" t="s">
        <v>331</v>
      </c>
      <c r="G126" t="s">
        <v>18</v>
      </c>
      <c r="H126" s="2" t="s">
        <v>187</v>
      </c>
      <c r="I126" s="2" t="s">
        <v>1</v>
      </c>
      <c r="J126" t="s">
        <v>18</v>
      </c>
      <c r="K126" s="2" t="s">
        <v>187</v>
      </c>
      <c r="L126" s="2" t="s">
        <v>1</v>
      </c>
      <c r="M126" t="s">
        <v>18</v>
      </c>
      <c r="N126" s="2" t="s">
        <v>187</v>
      </c>
      <c r="O126" s="2" t="s">
        <v>1</v>
      </c>
      <c r="P126" t="s">
        <v>18</v>
      </c>
      <c r="Q126" s="2" t="s">
        <v>187</v>
      </c>
      <c r="R126" s="2" t="s">
        <v>1</v>
      </c>
      <c r="S126" t="s">
        <v>18</v>
      </c>
      <c r="T126" t="s">
        <v>187</v>
      </c>
      <c r="U126" t="s">
        <v>1</v>
      </c>
      <c r="V126" t="s">
        <v>18</v>
      </c>
      <c r="W126" s="2" t="s">
        <v>187</v>
      </c>
      <c r="X126" t="s">
        <v>1</v>
      </c>
      <c r="Y126">
        <f t="shared" si="1"/>
        <v>762</v>
      </c>
    </row>
    <row r="127" spans="1:25" ht="142.5" customHeight="1" x14ac:dyDescent="0.25">
      <c r="A127" t="s">
        <v>183</v>
      </c>
      <c r="B127" t="s">
        <v>184</v>
      </c>
      <c r="C127" s="2" t="s">
        <v>1135</v>
      </c>
      <c r="D127" s="2" t="s">
        <v>1136</v>
      </c>
      <c r="E127" s="2" t="s">
        <v>336</v>
      </c>
      <c r="F127" s="2" t="s">
        <v>337</v>
      </c>
      <c r="G127" t="s">
        <v>18</v>
      </c>
      <c r="H127" s="2" t="s">
        <v>187</v>
      </c>
      <c r="I127" s="2" t="s">
        <v>1</v>
      </c>
      <c r="J127" t="s">
        <v>1185</v>
      </c>
      <c r="K127" s="2" t="s">
        <v>194</v>
      </c>
      <c r="L127" s="2" t="s">
        <v>2</v>
      </c>
      <c r="M127" t="s">
        <v>21</v>
      </c>
      <c r="N127" s="2" t="s">
        <v>194</v>
      </c>
      <c r="O127" s="2" t="s">
        <v>1</v>
      </c>
      <c r="P127" t="s">
        <v>18</v>
      </c>
      <c r="Q127" s="2" t="s">
        <v>187</v>
      </c>
      <c r="R127" s="2" t="s">
        <v>1</v>
      </c>
      <c r="S127" t="s">
        <v>18</v>
      </c>
      <c r="T127" t="s">
        <v>187</v>
      </c>
      <c r="U127" t="s">
        <v>1</v>
      </c>
      <c r="V127" t="s">
        <v>18</v>
      </c>
      <c r="W127" s="2" t="s">
        <v>187</v>
      </c>
      <c r="X127" t="s">
        <v>1</v>
      </c>
      <c r="Y127">
        <f t="shared" si="1"/>
        <v>765</v>
      </c>
    </row>
    <row r="128" spans="1:25" ht="142.5" customHeight="1" x14ac:dyDescent="0.25">
      <c r="A128" t="s">
        <v>183</v>
      </c>
      <c r="B128" t="s">
        <v>184</v>
      </c>
      <c r="C128" s="2" t="s">
        <v>1135</v>
      </c>
      <c r="D128" s="2" t="s">
        <v>1136</v>
      </c>
      <c r="E128" s="2" t="s">
        <v>338</v>
      </c>
      <c r="F128" s="2" t="s">
        <v>337</v>
      </c>
      <c r="G128" t="s">
        <v>18</v>
      </c>
      <c r="H128" s="2" t="s">
        <v>187</v>
      </c>
      <c r="I128" s="2" t="s">
        <v>1</v>
      </c>
      <c r="J128" t="s">
        <v>18</v>
      </c>
      <c r="K128" s="2" t="s">
        <v>187</v>
      </c>
      <c r="L128" s="2" t="s">
        <v>1</v>
      </c>
      <c r="M128" t="s">
        <v>18</v>
      </c>
      <c r="N128" s="2" t="s">
        <v>187</v>
      </c>
      <c r="O128" s="2" t="s">
        <v>1</v>
      </c>
      <c r="P128" t="s">
        <v>18</v>
      </c>
      <c r="Q128" s="2" t="s">
        <v>187</v>
      </c>
      <c r="R128" s="2" t="s">
        <v>1</v>
      </c>
      <c r="S128" t="s">
        <v>18</v>
      </c>
      <c r="T128" t="s">
        <v>187</v>
      </c>
      <c r="U128" t="s">
        <v>1</v>
      </c>
      <c r="V128" t="s">
        <v>18</v>
      </c>
      <c r="W128" s="2" t="s">
        <v>187</v>
      </c>
      <c r="X128" t="s">
        <v>1</v>
      </c>
      <c r="Y128">
        <f t="shared" si="1"/>
        <v>762</v>
      </c>
    </row>
    <row r="129" spans="1:25" ht="142.5" customHeight="1" x14ac:dyDescent="0.25">
      <c r="A129" t="s">
        <v>183</v>
      </c>
      <c r="B129" t="s">
        <v>184</v>
      </c>
      <c r="C129" s="2" t="s">
        <v>1135</v>
      </c>
      <c r="D129" s="2" t="s">
        <v>1136</v>
      </c>
      <c r="E129" s="2" t="s">
        <v>339</v>
      </c>
      <c r="F129" s="2" t="s">
        <v>337</v>
      </c>
      <c r="G129" t="s">
        <v>18</v>
      </c>
      <c r="H129" s="2" t="s">
        <v>187</v>
      </c>
      <c r="I129" s="2" t="s">
        <v>1</v>
      </c>
      <c r="J129" t="s">
        <v>18</v>
      </c>
      <c r="K129" s="2" t="s">
        <v>187</v>
      </c>
      <c r="L129" s="2" t="s">
        <v>1</v>
      </c>
      <c r="M129" t="s">
        <v>18</v>
      </c>
      <c r="N129" s="2" t="s">
        <v>187</v>
      </c>
      <c r="O129" s="2" t="s">
        <v>1</v>
      </c>
      <c r="P129" t="s">
        <v>18</v>
      </c>
      <c r="Q129" s="2" t="s">
        <v>187</v>
      </c>
      <c r="R129" s="2" t="s">
        <v>1</v>
      </c>
      <c r="S129" t="s">
        <v>18</v>
      </c>
      <c r="T129" t="s">
        <v>187</v>
      </c>
      <c r="U129" t="s">
        <v>1</v>
      </c>
      <c r="V129" t="s">
        <v>18</v>
      </c>
      <c r="W129" s="2" t="s">
        <v>187</v>
      </c>
      <c r="X129" t="s">
        <v>1</v>
      </c>
      <c r="Y129">
        <f t="shared" si="1"/>
        <v>752</v>
      </c>
    </row>
    <row r="130" spans="1:25" ht="142.5" customHeight="1" x14ac:dyDescent="0.25">
      <c r="A130" t="s">
        <v>183</v>
      </c>
      <c r="B130" t="s">
        <v>184</v>
      </c>
      <c r="C130" s="2" t="s">
        <v>1135</v>
      </c>
      <c r="D130" s="2" t="s">
        <v>1136</v>
      </c>
      <c r="E130" s="2" t="s">
        <v>340</v>
      </c>
      <c r="F130" s="2" t="s">
        <v>337</v>
      </c>
      <c r="G130" t="s">
        <v>18</v>
      </c>
      <c r="H130" s="2" t="s">
        <v>187</v>
      </c>
      <c r="I130" s="2" t="s">
        <v>1</v>
      </c>
      <c r="J130" t="s">
        <v>21</v>
      </c>
      <c r="K130" s="2" t="s">
        <v>194</v>
      </c>
      <c r="L130" s="2" t="s">
        <v>1</v>
      </c>
      <c r="M130" t="s">
        <v>18</v>
      </c>
      <c r="N130" s="2" t="s">
        <v>187</v>
      </c>
      <c r="O130" s="2" t="s">
        <v>1</v>
      </c>
      <c r="P130" t="s">
        <v>21</v>
      </c>
      <c r="Q130" s="2" t="s">
        <v>194</v>
      </c>
      <c r="R130" s="2" t="s">
        <v>1</v>
      </c>
      <c r="S130" t="s">
        <v>18</v>
      </c>
      <c r="T130" t="s">
        <v>187</v>
      </c>
      <c r="U130" t="s">
        <v>1</v>
      </c>
      <c r="V130" t="s">
        <v>18</v>
      </c>
      <c r="W130" s="2" t="s">
        <v>187</v>
      </c>
      <c r="X130" t="s">
        <v>1</v>
      </c>
      <c r="Y130">
        <f t="shared" si="1"/>
        <v>763</v>
      </c>
    </row>
    <row r="131" spans="1:25" ht="142.5" customHeight="1" x14ac:dyDescent="0.25">
      <c r="A131" t="s">
        <v>183</v>
      </c>
      <c r="B131" t="s">
        <v>184</v>
      </c>
      <c r="C131" s="2" t="s">
        <v>1135</v>
      </c>
      <c r="D131" s="2" t="s">
        <v>1136</v>
      </c>
      <c r="E131" s="2" t="s">
        <v>341</v>
      </c>
      <c r="F131" s="2" t="s">
        <v>337</v>
      </c>
      <c r="G131" t="s">
        <v>18</v>
      </c>
      <c r="H131" s="2" t="s">
        <v>187</v>
      </c>
      <c r="I131" s="2" t="s">
        <v>1</v>
      </c>
      <c r="J131" t="s">
        <v>21</v>
      </c>
      <c r="K131" s="2" t="s">
        <v>194</v>
      </c>
      <c r="L131" s="2" t="s">
        <v>1</v>
      </c>
      <c r="M131" t="s">
        <v>18</v>
      </c>
      <c r="N131" s="2" t="s">
        <v>187</v>
      </c>
      <c r="O131" s="2" t="s">
        <v>1</v>
      </c>
      <c r="P131" t="s">
        <v>21</v>
      </c>
      <c r="Q131" s="2" t="s">
        <v>194</v>
      </c>
      <c r="R131" s="2" t="s">
        <v>1</v>
      </c>
      <c r="S131" t="s">
        <v>18</v>
      </c>
      <c r="T131" t="s">
        <v>187</v>
      </c>
      <c r="U131" t="s">
        <v>1</v>
      </c>
      <c r="V131" t="s">
        <v>18</v>
      </c>
      <c r="W131" s="2" t="s">
        <v>187</v>
      </c>
      <c r="X131" t="s">
        <v>1</v>
      </c>
      <c r="Y131">
        <f t="shared" ref="Y131:Y146" si="2">LEN(D131)+LEN(E131)</f>
        <v>777</v>
      </c>
    </row>
    <row r="132" spans="1:25" ht="142.5" customHeight="1" x14ac:dyDescent="0.25">
      <c r="A132" t="s">
        <v>183</v>
      </c>
      <c r="B132" t="s">
        <v>184</v>
      </c>
      <c r="C132" s="2" t="s">
        <v>1135</v>
      </c>
      <c r="D132" s="2" t="s">
        <v>1136</v>
      </c>
      <c r="E132" s="2" t="s">
        <v>342</v>
      </c>
      <c r="F132" s="2" t="s">
        <v>343</v>
      </c>
      <c r="G132" t="s">
        <v>18</v>
      </c>
      <c r="H132" s="2" t="s">
        <v>187</v>
      </c>
      <c r="I132" s="2" t="s">
        <v>1</v>
      </c>
      <c r="J132" t="s">
        <v>18</v>
      </c>
      <c r="K132" s="2" t="s">
        <v>187</v>
      </c>
      <c r="L132" s="2" t="s">
        <v>1</v>
      </c>
      <c r="M132" t="s">
        <v>18</v>
      </c>
      <c r="N132" s="2" t="s">
        <v>187</v>
      </c>
      <c r="O132" s="2" t="s">
        <v>1</v>
      </c>
      <c r="P132" t="s">
        <v>18</v>
      </c>
      <c r="Q132" s="2" t="s">
        <v>187</v>
      </c>
      <c r="R132" s="2" t="s">
        <v>1</v>
      </c>
      <c r="S132" t="s">
        <v>18</v>
      </c>
      <c r="T132" t="s">
        <v>187</v>
      </c>
      <c r="U132" t="s">
        <v>1</v>
      </c>
      <c r="V132" t="s">
        <v>18</v>
      </c>
      <c r="W132" t="s">
        <v>187</v>
      </c>
      <c r="X132" t="s">
        <v>1</v>
      </c>
      <c r="Y132">
        <f t="shared" si="2"/>
        <v>762</v>
      </c>
    </row>
    <row r="133" spans="1:25" ht="142.5" customHeight="1" x14ac:dyDescent="0.25">
      <c r="A133" t="s">
        <v>183</v>
      </c>
      <c r="B133" t="s">
        <v>184</v>
      </c>
      <c r="C133" s="2" t="s">
        <v>1135</v>
      </c>
      <c r="D133" s="2" t="s">
        <v>1136</v>
      </c>
      <c r="E133" s="2" t="s">
        <v>344</v>
      </c>
      <c r="F133" s="2" t="s">
        <v>343</v>
      </c>
      <c r="G133" t="s">
        <v>18</v>
      </c>
      <c r="H133" s="2" t="s">
        <v>187</v>
      </c>
      <c r="I133" s="2" t="s">
        <v>1</v>
      </c>
      <c r="J133" t="s">
        <v>21</v>
      </c>
      <c r="K133" s="2" t="s">
        <v>194</v>
      </c>
      <c r="L133" s="2" t="s">
        <v>1</v>
      </c>
      <c r="M133" t="s">
        <v>18</v>
      </c>
      <c r="N133" s="2" t="s">
        <v>187</v>
      </c>
      <c r="O133" s="2" t="s">
        <v>1</v>
      </c>
      <c r="P133" t="s">
        <v>18</v>
      </c>
      <c r="Q133" s="2" t="s">
        <v>187</v>
      </c>
      <c r="R133" s="2" t="s">
        <v>1</v>
      </c>
      <c r="S133" t="s">
        <v>18</v>
      </c>
      <c r="T133" t="s">
        <v>187</v>
      </c>
      <c r="U133" t="s">
        <v>1</v>
      </c>
      <c r="V133" t="s">
        <v>18</v>
      </c>
      <c r="W133" t="s">
        <v>187</v>
      </c>
      <c r="X133" t="s">
        <v>1</v>
      </c>
      <c r="Y133">
        <f t="shared" si="2"/>
        <v>763</v>
      </c>
    </row>
    <row r="134" spans="1:25" ht="142.5" customHeight="1" x14ac:dyDescent="0.25">
      <c r="A134" t="s">
        <v>183</v>
      </c>
      <c r="B134" t="s">
        <v>184</v>
      </c>
      <c r="C134" s="2" t="s">
        <v>1135</v>
      </c>
      <c r="D134" s="2" t="s">
        <v>1136</v>
      </c>
      <c r="E134" s="2" t="s">
        <v>345</v>
      </c>
      <c r="F134" s="2" t="s">
        <v>343</v>
      </c>
      <c r="G134" t="s">
        <v>18</v>
      </c>
      <c r="H134" s="2" t="s">
        <v>187</v>
      </c>
      <c r="I134" s="2" t="s">
        <v>1</v>
      </c>
      <c r="J134" t="s">
        <v>21</v>
      </c>
      <c r="K134" s="2" t="s">
        <v>194</v>
      </c>
      <c r="L134" s="2" t="s">
        <v>1</v>
      </c>
      <c r="M134" t="s">
        <v>18</v>
      </c>
      <c r="N134" s="2" t="s">
        <v>187</v>
      </c>
      <c r="O134" s="2" t="s">
        <v>1</v>
      </c>
      <c r="P134" t="s">
        <v>18</v>
      </c>
      <c r="Q134" s="2" t="s">
        <v>187</v>
      </c>
      <c r="R134" s="2" t="s">
        <v>1</v>
      </c>
      <c r="S134" t="s">
        <v>18</v>
      </c>
      <c r="T134" t="s">
        <v>187</v>
      </c>
      <c r="U134" t="s">
        <v>1</v>
      </c>
      <c r="V134" t="s">
        <v>18</v>
      </c>
      <c r="W134" t="s">
        <v>187</v>
      </c>
      <c r="X134" t="s">
        <v>1</v>
      </c>
      <c r="Y134">
        <f t="shared" si="2"/>
        <v>754</v>
      </c>
    </row>
    <row r="135" spans="1:25" ht="142.5" customHeight="1" x14ac:dyDescent="0.25">
      <c r="A135" t="s">
        <v>183</v>
      </c>
      <c r="B135" t="s">
        <v>184</v>
      </c>
      <c r="C135" s="2" t="s">
        <v>1135</v>
      </c>
      <c r="D135" s="2" t="s">
        <v>1136</v>
      </c>
      <c r="E135" s="2" t="s">
        <v>346</v>
      </c>
      <c r="F135" s="2" t="s">
        <v>343</v>
      </c>
      <c r="G135" t="s">
        <v>18</v>
      </c>
      <c r="H135" s="2" t="s">
        <v>187</v>
      </c>
      <c r="I135" s="2" t="s">
        <v>1</v>
      </c>
      <c r="J135" t="s">
        <v>18</v>
      </c>
      <c r="K135" s="2" t="s">
        <v>187</v>
      </c>
      <c r="L135" s="2" t="s">
        <v>1</v>
      </c>
      <c r="M135" t="s">
        <v>18</v>
      </c>
      <c r="N135" s="2" t="s">
        <v>187</v>
      </c>
      <c r="O135" s="2" t="s">
        <v>1</v>
      </c>
      <c r="P135" t="s">
        <v>18</v>
      </c>
      <c r="Q135" s="2" t="s">
        <v>187</v>
      </c>
      <c r="R135" s="2" t="s">
        <v>1</v>
      </c>
      <c r="S135" t="s">
        <v>18</v>
      </c>
      <c r="T135" t="s">
        <v>187</v>
      </c>
      <c r="U135" t="s">
        <v>1</v>
      </c>
      <c r="V135" t="s">
        <v>18</v>
      </c>
      <c r="W135" t="s">
        <v>187</v>
      </c>
      <c r="X135" t="s">
        <v>1</v>
      </c>
      <c r="Y135">
        <f t="shared" si="2"/>
        <v>757</v>
      </c>
    </row>
    <row r="136" spans="1:25" ht="142.5" customHeight="1" x14ac:dyDescent="0.25">
      <c r="A136" t="s">
        <v>183</v>
      </c>
      <c r="B136" t="s">
        <v>184</v>
      </c>
      <c r="C136" s="2" t="s">
        <v>1135</v>
      </c>
      <c r="D136" s="2" t="s">
        <v>1136</v>
      </c>
      <c r="E136" s="2" t="s">
        <v>347</v>
      </c>
      <c r="F136" s="2" t="s">
        <v>343</v>
      </c>
      <c r="G136" t="s">
        <v>18</v>
      </c>
      <c r="H136" s="2" t="s">
        <v>187</v>
      </c>
      <c r="I136" s="2" t="s">
        <v>1</v>
      </c>
      <c r="J136" t="s">
        <v>18</v>
      </c>
      <c r="K136" s="2" t="s">
        <v>187</v>
      </c>
      <c r="L136" s="2" t="s">
        <v>1</v>
      </c>
      <c r="M136" t="s">
        <v>18</v>
      </c>
      <c r="N136" s="2" t="s">
        <v>187</v>
      </c>
      <c r="O136" s="2" t="s">
        <v>1</v>
      </c>
      <c r="P136" t="s">
        <v>18</v>
      </c>
      <c r="Q136" s="2" t="s">
        <v>187</v>
      </c>
      <c r="R136" s="2" t="s">
        <v>1</v>
      </c>
      <c r="S136" t="s">
        <v>18</v>
      </c>
      <c r="T136" t="s">
        <v>187</v>
      </c>
      <c r="U136" t="s">
        <v>1</v>
      </c>
      <c r="V136" t="s">
        <v>18</v>
      </c>
      <c r="W136" t="s">
        <v>187</v>
      </c>
      <c r="X136" t="s">
        <v>1</v>
      </c>
      <c r="Y136">
        <f t="shared" si="2"/>
        <v>771</v>
      </c>
    </row>
    <row r="137" spans="1:25" ht="142.5" customHeight="1" x14ac:dyDescent="0.25">
      <c r="A137" t="s">
        <v>183</v>
      </c>
      <c r="B137" t="s">
        <v>184</v>
      </c>
      <c r="C137" s="2" t="s">
        <v>1135</v>
      </c>
      <c r="D137" s="2" t="s">
        <v>1136</v>
      </c>
      <c r="E137" s="2" t="s">
        <v>348</v>
      </c>
      <c r="F137" s="2" t="s">
        <v>249</v>
      </c>
      <c r="G137" t="s">
        <v>21</v>
      </c>
      <c r="H137" s="2" t="s">
        <v>194</v>
      </c>
      <c r="I137" s="2" t="s">
        <v>1</v>
      </c>
      <c r="J137" t="s">
        <v>1186</v>
      </c>
      <c r="K137" s="2" t="s">
        <v>187</v>
      </c>
      <c r="L137" s="2" t="s">
        <v>2</v>
      </c>
      <c r="M137" t="s">
        <v>21</v>
      </c>
      <c r="N137" s="2" t="s">
        <v>187</v>
      </c>
      <c r="O137" s="2" t="s">
        <v>1</v>
      </c>
      <c r="P137" t="s">
        <v>21</v>
      </c>
      <c r="Q137" s="2" t="s">
        <v>187</v>
      </c>
      <c r="R137" s="2" t="s">
        <v>1</v>
      </c>
      <c r="S137" t="s">
        <v>21</v>
      </c>
      <c r="T137" s="2" t="s">
        <v>187</v>
      </c>
      <c r="U137" t="s">
        <v>1</v>
      </c>
      <c r="V137" t="s">
        <v>18</v>
      </c>
      <c r="W137" s="2" t="s">
        <v>194</v>
      </c>
      <c r="X137" t="s">
        <v>1</v>
      </c>
      <c r="Y137">
        <f t="shared" si="2"/>
        <v>785</v>
      </c>
    </row>
    <row r="138" spans="1:25" ht="142.5" customHeight="1" x14ac:dyDescent="0.25">
      <c r="A138" t="s">
        <v>183</v>
      </c>
      <c r="B138" t="s">
        <v>184</v>
      </c>
      <c r="C138" s="2" t="s">
        <v>1135</v>
      </c>
      <c r="D138" s="2" t="s">
        <v>1136</v>
      </c>
      <c r="E138" s="2" t="s">
        <v>349</v>
      </c>
      <c r="F138" s="2" t="s">
        <v>296</v>
      </c>
      <c r="G138" t="s">
        <v>23</v>
      </c>
      <c r="H138" s="2" t="s">
        <v>187</v>
      </c>
      <c r="I138" s="2" t="s">
        <v>1</v>
      </c>
      <c r="J138" t="s">
        <v>23</v>
      </c>
      <c r="K138" s="2" t="s">
        <v>187</v>
      </c>
      <c r="L138" s="2" t="s">
        <v>1</v>
      </c>
      <c r="M138" t="s">
        <v>23</v>
      </c>
      <c r="N138" s="2" t="s">
        <v>187</v>
      </c>
      <c r="O138" s="2" t="s">
        <v>1</v>
      </c>
      <c r="P138" t="s">
        <v>21</v>
      </c>
      <c r="Q138" s="2" t="s">
        <v>194</v>
      </c>
      <c r="R138" s="2" t="s">
        <v>1</v>
      </c>
      <c r="S138" t="s">
        <v>23</v>
      </c>
      <c r="T138" t="s">
        <v>187</v>
      </c>
      <c r="U138" t="s">
        <v>1</v>
      </c>
      <c r="V138" t="s">
        <v>18</v>
      </c>
      <c r="W138" s="2" t="s">
        <v>194</v>
      </c>
      <c r="X138" t="s">
        <v>1</v>
      </c>
      <c r="Y138">
        <f t="shared" si="2"/>
        <v>804</v>
      </c>
    </row>
    <row r="139" spans="1:25" ht="142.5" customHeight="1" x14ac:dyDescent="0.25">
      <c r="A139" t="s">
        <v>183</v>
      </c>
      <c r="B139" t="s">
        <v>184</v>
      </c>
      <c r="C139" s="2" t="s">
        <v>1135</v>
      </c>
      <c r="D139" s="2" t="s">
        <v>1136</v>
      </c>
      <c r="E139" s="2" t="s">
        <v>350</v>
      </c>
      <c r="F139" s="2" t="s">
        <v>313</v>
      </c>
      <c r="G139" t="s">
        <v>23</v>
      </c>
      <c r="H139" s="2" t="s">
        <v>194</v>
      </c>
      <c r="I139" s="2" t="s">
        <v>1</v>
      </c>
      <c r="J139" t="s">
        <v>18</v>
      </c>
      <c r="K139" s="2" t="s">
        <v>194</v>
      </c>
      <c r="L139" s="2" t="s">
        <v>1</v>
      </c>
      <c r="M139" t="s">
        <v>21</v>
      </c>
      <c r="N139" s="2" t="s">
        <v>187</v>
      </c>
      <c r="O139" s="2" t="s">
        <v>1</v>
      </c>
      <c r="P139" t="s">
        <v>18</v>
      </c>
      <c r="Q139" s="2" t="s">
        <v>194</v>
      </c>
      <c r="R139" s="2" t="s">
        <v>1</v>
      </c>
      <c r="S139" t="s">
        <v>18</v>
      </c>
      <c r="T139" s="2" t="s">
        <v>194</v>
      </c>
      <c r="U139" t="s">
        <v>1</v>
      </c>
      <c r="V139" t="s">
        <v>18</v>
      </c>
      <c r="W139" s="2" t="s">
        <v>194</v>
      </c>
      <c r="X139" t="s">
        <v>1</v>
      </c>
      <c r="Y139">
        <f t="shared" si="2"/>
        <v>807</v>
      </c>
    </row>
    <row r="140" spans="1:25" ht="142.5" customHeight="1" x14ac:dyDescent="0.25">
      <c r="A140" t="s">
        <v>183</v>
      </c>
      <c r="B140" t="s">
        <v>184</v>
      </c>
      <c r="C140" s="2" t="s">
        <v>1135</v>
      </c>
      <c r="D140" s="2" t="s">
        <v>1136</v>
      </c>
      <c r="E140" s="2" t="s">
        <v>351</v>
      </c>
      <c r="F140" s="2" t="s">
        <v>331</v>
      </c>
      <c r="G140" t="s">
        <v>18</v>
      </c>
      <c r="H140" s="2" t="s">
        <v>187</v>
      </c>
      <c r="I140" s="2" t="s">
        <v>1</v>
      </c>
      <c r="J140" t="s">
        <v>1187</v>
      </c>
      <c r="K140" s="2" t="s">
        <v>187</v>
      </c>
      <c r="L140" s="2" t="s">
        <v>2</v>
      </c>
      <c r="M140" t="s">
        <v>18</v>
      </c>
      <c r="N140" s="2" t="s">
        <v>187</v>
      </c>
      <c r="O140" s="2" t="s">
        <v>1</v>
      </c>
      <c r="P140" t="s">
        <v>18</v>
      </c>
      <c r="Q140" s="2" t="s">
        <v>187</v>
      </c>
      <c r="R140" s="2" t="s">
        <v>1</v>
      </c>
      <c r="S140" t="s">
        <v>18</v>
      </c>
      <c r="T140" t="s">
        <v>187</v>
      </c>
      <c r="U140" t="s">
        <v>1</v>
      </c>
      <c r="V140" t="s">
        <v>18</v>
      </c>
      <c r="W140" s="2" t="s">
        <v>187</v>
      </c>
      <c r="X140" t="s">
        <v>1</v>
      </c>
      <c r="Y140">
        <f t="shared" si="2"/>
        <v>795</v>
      </c>
    </row>
    <row r="141" spans="1:25" ht="142.5" customHeight="1" x14ac:dyDescent="0.25">
      <c r="A141" t="s">
        <v>183</v>
      </c>
      <c r="B141" t="s">
        <v>184</v>
      </c>
      <c r="C141" s="2" t="s">
        <v>1135</v>
      </c>
      <c r="D141" s="2" t="s">
        <v>1136</v>
      </c>
      <c r="E141" s="2" t="s">
        <v>352</v>
      </c>
      <c r="F141" s="2" t="s">
        <v>203</v>
      </c>
      <c r="G141" t="s">
        <v>23</v>
      </c>
      <c r="H141" s="2" t="s">
        <v>194</v>
      </c>
      <c r="I141" s="2" t="s">
        <v>1</v>
      </c>
      <c r="J141" t="s">
        <v>21</v>
      </c>
      <c r="K141" s="2" t="s">
        <v>194</v>
      </c>
      <c r="L141" s="2" t="s">
        <v>1</v>
      </c>
      <c r="M141" t="s">
        <v>23</v>
      </c>
      <c r="N141" s="2" t="s">
        <v>194</v>
      </c>
      <c r="O141" s="2" t="s">
        <v>1</v>
      </c>
      <c r="P141" t="s">
        <v>21</v>
      </c>
      <c r="Q141" s="2" t="s">
        <v>194</v>
      </c>
      <c r="R141" s="2" t="s">
        <v>1</v>
      </c>
      <c r="S141" t="s">
        <v>23</v>
      </c>
      <c r="T141" s="2" t="s">
        <v>194</v>
      </c>
      <c r="U141" t="s">
        <v>1</v>
      </c>
      <c r="V141" t="s">
        <v>18</v>
      </c>
      <c r="W141" s="2" t="s">
        <v>187</v>
      </c>
      <c r="X141" t="s">
        <v>1</v>
      </c>
      <c r="Y141">
        <f t="shared" si="2"/>
        <v>786</v>
      </c>
    </row>
    <row r="142" spans="1:25" ht="142.5" customHeight="1" x14ac:dyDescent="0.25">
      <c r="A142" t="s">
        <v>183</v>
      </c>
      <c r="B142" t="s">
        <v>184</v>
      </c>
      <c r="C142" s="2" t="s">
        <v>1135</v>
      </c>
      <c r="D142" s="2" t="s">
        <v>1136</v>
      </c>
      <c r="E142" s="2" t="s">
        <v>353</v>
      </c>
      <c r="F142" s="2" t="s">
        <v>243</v>
      </c>
      <c r="G142" t="s">
        <v>23</v>
      </c>
      <c r="H142" s="2" t="s">
        <v>187</v>
      </c>
      <c r="I142" s="2" t="s">
        <v>1</v>
      </c>
      <c r="J142" t="s">
        <v>1188</v>
      </c>
      <c r="K142" s="2" t="s">
        <v>187</v>
      </c>
      <c r="L142" s="2" t="s">
        <v>2</v>
      </c>
      <c r="M142" t="s">
        <v>23</v>
      </c>
      <c r="N142" s="2" t="s">
        <v>187</v>
      </c>
      <c r="O142" s="2" t="s">
        <v>1</v>
      </c>
      <c r="P142" t="s">
        <v>18</v>
      </c>
      <c r="Q142" s="2" t="s">
        <v>194</v>
      </c>
      <c r="R142" s="2" t="s">
        <v>1</v>
      </c>
      <c r="S142" t="s">
        <v>21</v>
      </c>
      <c r="T142" s="2" t="s">
        <v>194</v>
      </c>
      <c r="U142" t="s">
        <v>1</v>
      </c>
      <c r="V142" t="s">
        <v>18</v>
      </c>
      <c r="W142" s="2" t="s">
        <v>194</v>
      </c>
      <c r="X142" t="s">
        <v>1</v>
      </c>
      <c r="Y142">
        <f t="shared" si="2"/>
        <v>762</v>
      </c>
    </row>
    <row r="143" spans="1:25" ht="142.5" customHeight="1" x14ac:dyDescent="0.25">
      <c r="A143" t="s">
        <v>183</v>
      </c>
      <c r="B143" t="s">
        <v>184</v>
      </c>
      <c r="C143" s="2" t="s">
        <v>1135</v>
      </c>
      <c r="D143" s="2" t="s">
        <v>1136</v>
      </c>
      <c r="E143" s="2" t="s">
        <v>354</v>
      </c>
      <c r="F143" s="2" t="s">
        <v>231</v>
      </c>
      <c r="G143" t="s">
        <v>18</v>
      </c>
      <c r="H143" s="2" t="s">
        <v>187</v>
      </c>
      <c r="I143" s="2" t="s">
        <v>1</v>
      </c>
      <c r="J143" t="s">
        <v>18</v>
      </c>
      <c r="K143" s="2" t="s">
        <v>187</v>
      </c>
      <c r="L143" s="2" t="s">
        <v>1</v>
      </c>
      <c r="M143" t="s">
        <v>18</v>
      </c>
      <c r="N143" s="2" t="s">
        <v>187</v>
      </c>
      <c r="O143" s="2" t="s">
        <v>1</v>
      </c>
      <c r="P143" t="s">
        <v>21</v>
      </c>
      <c r="Q143" s="2" t="s">
        <v>194</v>
      </c>
      <c r="R143" s="2" t="s">
        <v>1</v>
      </c>
      <c r="S143" t="s">
        <v>18</v>
      </c>
      <c r="T143" t="s">
        <v>187</v>
      </c>
      <c r="U143" t="s">
        <v>1</v>
      </c>
      <c r="V143" t="s">
        <v>18</v>
      </c>
      <c r="W143" s="2" t="s">
        <v>187</v>
      </c>
      <c r="X143" t="s">
        <v>1</v>
      </c>
      <c r="Y143">
        <f t="shared" si="2"/>
        <v>792</v>
      </c>
    </row>
    <row r="144" spans="1:25" ht="142.5" customHeight="1" x14ac:dyDescent="0.25">
      <c r="A144" t="s">
        <v>183</v>
      </c>
      <c r="B144" t="s">
        <v>184</v>
      </c>
      <c r="C144" s="2" t="s">
        <v>1135</v>
      </c>
      <c r="D144" s="2" t="s">
        <v>1136</v>
      </c>
      <c r="E144" s="2" t="s">
        <v>355</v>
      </c>
      <c r="F144" s="2" t="s">
        <v>213</v>
      </c>
      <c r="G144" t="s">
        <v>18</v>
      </c>
      <c r="H144" s="2" t="s">
        <v>194</v>
      </c>
      <c r="I144" s="2" t="s">
        <v>1</v>
      </c>
      <c r="J144" t="s">
        <v>18</v>
      </c>
      <c r="K144" s="2" t="s">
        <v>194</v>
      </c>
      <c r="L144" s="2" t="s">
        <v>1</v>
      </c>
      <c r="M144" t="s">
        <v>21</v>
      </c>
      <c r="N144" s="2" t="s">
        <v>187</v>
      </c>
      <c r="O144" s="2" t="s">
        <v>1</v>
      </c>
      <c r="P144" t="s">
        <v>21</v>
      </c>
      <c r="Q144" s="2" t="s">
        <v>187</v>
      </c>
      <c r="R144" s="2" t="s">
        <v>1</v>
      </c>
      <c r="S144" t="s">
        <v>23</v>
      </c>
      <c r="T144" s="2" t="s">
        <v>194</v>
      </c>
      <c r="U144" t="s">
        <v>1</v>
      </c>
      <c r="V144" t="s">
        <v>18</v>
      </c>
      <c r="W144" s="2" t="s">
        <v>194</v>
      </c>
      <c r="X144" t="s">
        <v>1</v>
      </c>
      <c r="Y144">
        <f t="shared" si="2"/>
        <v>782</v>
      </c>
    </row>
    <row r="145" spans="1:25" ht="142.5" customHeight="1" x14ac:dyDescent="0.25">
      <c r="A145" t="s">
        <v>183</v>
      </c>
      <c r="B145" t="s">
        <v>184</v>
      </c>
      <c r="C145" s="2" t="s">
        <v>1135</v>
      </c>
      <c r="D145" s="2" t="s">
        <v>1136</v>
      </c>
      <c r="E145" s="2" t="s">
        <v>356</v>
      </c>
      <c r="F145" s="2" t="s">
        <v>337</v>
      </c>
      <c r="G145" t="s">
        <v>18</v>
      </c>
      <c r="H145" s="2" t="s">
        <v>187</v>
      </c>
      <c r="I145" s="2" t="s">
        <v>1</v>
      </c>
      <c r="J145" t="s">
        <v>1189</v>
      </c>
      <c r="K145" s="2" t="s">
        <v>187</v>
      </c>
      <c r="L145" s="2" t="s">
        <v>2</v>
      </c>
      <c r="M145" t="s">
        <v>18</v>
      </c>
      <c r="N145" s="2" t="s">
        <v>187</v>
      </c>
      <c r="O145" s="2" t="s">
        <v>1</v>
      </c>
      <c r="P145" t="s">
        <v>18</v>
      </c>
      <c r="Q145" s="2" t="s">
        <v>187</v>
      </c>
      <c r="R145" s="2" t="s">
        <v>1</v>
      </c>
      <c r="S145" t="s">
        <v>18</v>
      </c>
      <c r="T145" t="s">
        <v>187</v>
      </c>
      <c r="U145" t="s">
        <v>1</v>
      </c>
      <c r="V145" t="s">
        <v>18</v>
      </c>
      <c r="W145" s="2" t="s">
        <v>187</v>
      </c>
      <c r="X145" t="s">
        <v>1</v>
      </c>
      <c r="Y145">
        <f t="shared" si="2"/>
        <v>789</v>
      </c>
    </row>
    <row r="146" spans="1:25" ht="142.5" customHeight="1" x14ac:dyDescent="0.25">
      <c r="A146" t="s">
        <v>183</v>
      </c>
      <c r="B146" t="s">
        <v>184</v>
      </c>
      <c r="C146" s="2" t="s">
        <v>1135</v>
      </c>
      <c r="D146" s="2" t="s">
        <v>1136</v>
      </c>
      <c r="E146" s="2" t="s">
        <v>357</v>
      </c>
      <c r="F146" s="2" t="s">
        <v>203</v>
      </c>
      <c r="G146" t="s">
        <v>21</v>
      </c>
      <c r="H146" s="2" t="s">
        <v>194</v>
      </c>
      <c r="I146" s="2" t="s">
        <v>1</v>
      </c>
      <c r="J146" t="s">
        <v>21</v>
      </c>
      <c r="K146" s="2" t="s">
        <v>194</v>
      </c>
      <c r="L146" s="2" t="s">
        <v>1</v>
      </c>
      <c r="M146" t="s">
        <v>23</v>
      </c>
      <c r="N146" s="2" t="s">
        <v>194</v>
      </c>
      <c r="O146" s="2" t="s">
        <v>1</v>
      </c>
      <c r="P146" t="s">
        <v>21</v>
      </c>
      <c r="Q146" s="2" t="s">
        <v>194</v>
      </c>
      <c r="R146" s="2" t="s">
        <v>1</v>
      </c>
      <c r="S146" t="s">
        <v>23</v>
      </c>
      <c r="T146" s="2" t="s">
        <v>194</v>
      </c>
      <c r="U146" t="s">
        <v>1</v>
      </c>
      <c r="V146" t="s">
        <v>18</v>
      </c>
      <c r="W146" s="2" t="s">
        <v>187</v>
      </c>
      <c r="X146" t="s">
        <v>1</v>
      </c>
      <c r="Y146">
        <f t="shared" si="2"/>
        <v>787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B8420-DDE6-4F6B-85A9-0219A6EECB0D}">
  <dimension ref="A1:Y146"/>
  <sheetViews>
    <sheetView topLeftCell="B1" workbookViewId="0">
      <selection activeCell="B42" sqref="B42"/>
    </sheetView>
  </sheetViews>
  <sheetFormatPr defaultRowHeight="15" x14ac:dyDescent="0.25"/>
  <cols>
    <col min="3" max="3" width="42.42578125" customWidth="1"/>
    <col min="4" max="4" width="63.42578125" customWidth="1"/>
    <col min="5" max="5" width="26.5703125" customWidth="1"/>
    <col min="6" max="6" width="25.28515625" customWidth="1"/>
    <col min="7" max="7" width="22.5703125" customWidth="1"/>
    <col min="8" max="8" width="24" customWidth="1"/>
    <col min="9" max="9" width="18.5703125" customWidth="1"/>
    <col min="10" max="10" width="18.5703125" style="2" customWidth="1"/>
    <col min="11" max="12" width="18.5703125" customWidth="1"/>
    <col min="13" max="13" width="35.7109375" customWidth="1"/>
    <col min="14" max="14" width="35.85546875" customWidth="1"/>
    <col min="15" max="15" width="24.42578125" customWidth="1"/>
    <col min="16" max="16" width="20.85546875" style="2" customWidth="1"/>
    <col min="17" max="17" width="20.140625" customWidth="1"/>
    <col min="18" max="18" width="19.140625" customWidth="1"/>
    <col min="19" max="19" width="17.28515625" customWidth="1"/>
    <col min="20" max="20" width="24.28515625" customWidth="1"/>
    <col min="21" max="21" width="21.140625" customWidth="1"/>
    <col min="22" max="22" width="21.5703125" customWidth="1"/>
    <col min="23" max="23" width="23.42578125" customWidth="1"/>
    <col min="24" max="24" width="19.140625" customWidth="1"/>
    <col min="25" max="25" width="18.140625" customWidth="1"/>
  </cols>
  <sheetData>
    <row r="1" spans="1:25" ht="45" x14ac:dyDescent="0.25">
      <c r="A1" s="5" t="s">
        <v>4</v>
      </c>
      <c r="B1" s="5" t="s">
        <v>0</v>
      </c>
      <c r="C1" s="5" t="s">
        <v>7</v>
      </c>
      <c r="D1" s="6" t="s">
        <v>8</v>
      </c>
      <c r="E1" s="6" t="s">
        <v>9</v>
      </c>
      <c r="F1" s="1" t="s">
        <v>10</v>
      </c>
      <c r="G1" s="4" t="s">
        <v>379</v>
      </c>
      <c r="H1" s="4" t="s">
        <v>380</v>
      </c>
      <c r="I1" s="4" t="s">
        <v>1031</v>
      </c>
      <c r="J1" s="4" t="s">
        <v>12</v>
      </c>
      <c r="K1" s="4" t="s">
        <v>13</v>
      </c>
      <c r="L1" s="4" t="s">
        <v>14</v>
      </c>
      <c r="M1" s="4" t="s">
        <v>1069</v>
      </c>
      <c r="N1" s="4" t="s">
        <v>1070</v>
      </c>
      <c r="O1" s="4" t="s">
        <v>1071</v>
      </c>
      <c r="P1" s="12" t="s">
        <v>1035</v>
      </c>
      <c r="Q1" s="12" t="s">
        <v>1066</v>
      </c>
      <c r="R1" s="12" t="s">
        <v>1074</v>
      </c>
      <c r="S1" s="1" t="s">
        <v>1052</v>
      </c>
      <c r="T1" s="4" t="s">
        <v>1053</v>
      </c>
      <c r="U1" s="4" t="s">
        <v>1054</v>
      </c>
      <c r="V1" s="12" t="s">
        <v>1048</v>
      </c>
      <c r="W1" s="12" t="s">
        <v>1050</v>
      </c>
      <c r="X1" s="12" t="s">
        <v>1073</v>
      </c>
      <c r="Y1" s="17" t="s">
        <v>368</v>
      </c>
    </row>
    <row r="2" spans="1:25" ht="194.25" customHeight="1" x14ac:dyDescent="0.25">
      <c r="A2" t="s">
        <v>183</v>
      </c>
      <c r="B2" t="s">
        <v>184</v>
      </c>
      <c r="C2" s="2" t="s">
        <v>1139</v>
      </c>
      <c r="D2" s="2" t="s">
        <v>1140</v>
      </c>
      <c r="E2" s="2" t="s">
        <v>185</v>
      </c>
      <c r="F2" s="2" t="s">
        <v>186</v>
      </c>
      <c r="G2" t="s">
        <v>23</v>
      </c>
      <c r="H2" s="2" t="s">
        <v>187</v>
      </c>
      <c r="I2" s="2" t="s">
        <v>1</v>
      </c>
      <c r="J2" t="s">
        <v>18</v>
      </c>
      <c r="K2" s="2" t="s">
        <v>194</v>
      </c>
      <c r="L2" s="2" t="s">
        <v>1</v>
      </c>
      <c r="M2" t="s">
        <v>23</v>
      </c>
      <c r="N2" s="2" t="s">
        <v>187</v>
      </c>
      <c r="O2" t="s">
        <v>1</v>
      </c>
      <c r="P2" t="s">
        <v>18</v>
      </c>
      <c r="Q2" s="2" t="s">
        <v>194</v>
      </c>
      <c r="R2" s="2" t="s">
        <v>1</v>
      </c>
      <c r="S2" t="s">
        <v>23</v>
      </c>
      <c r="T2" t="s">
        <v>187</v>
      </c>
      <c r="U2" t="s">
        <v>1</v>
      </c>
      <c r="V2" t="s">
        <v>23</v>
      </c>
      <c r="W2" t="s">
        <v>187</v>
      </c>
      <c r="X2" t="s">
        <v>1</v>
      </c>
      <c r="Y2">
        <f>LEN(D2)+LEN(E2)</f>
        <v>782</v>
      </c>
    </row>
    <row r="3" spans="1:25" ht="194.25" customHeight="1" x14ac:dyDescent="0.25">
      <c r="A3" t="s">
        <v>183</v>
      </c>
      <c r="B3" t="s">
        <v>184</v>
      </c>
      <c r="C3" s="2" t="s">
        <v>1139</v>
      </c>
      <c r="D3" s="2" t="s">
        <v>1140</v>
      </c>
      <c r="E3" s="2" t="s">
        <v>188</v>
      </c>
      <c r="F3" s="2" t="s">
        <v>186</v>
      </c>
      <c r="G3" t="s">
        <v>23</v>
      </c>
      <c r="H3" s="2" t="s">
        <v>187</v>
      </c>
      <c r="I3" s="2" t="s">
        <v>1</v>
      </c>
      <c r="J3" t="s">
        <v>21</v>
      </c>
      <c r="K3" s="2" t="s">
        <v>194</v>
      </c>
      <c r="L3" s="2" t="s">
        <v>1</v>
      </c>
      <c r="M3" t="s">
        <v>23</v>
      </c>
      <c r="N3" s="2" t="s">
        <v>187</v>
      </c>
      <c r="O3" t="s">
        <v>1</v>
      </c>
      <c r="P3" t="s">
        <v>18</v>
      </c>
      <c r="Q3" s="2" t="s">
        <v>194</v>
      </c>
      <c r="R3" s="2" t="s">
        <v>1</v>
      </c>
      <c r="S3" t="s">
        <v>18</v>
      </c>
      <c r="T3" t="s">
        <v>194</v>
      </c>
      <c r="U3" t="s">
        <v>1</v>
      </c>
      <c r="V3" t="s">
        <v>23</v>
      </c>
      <c r="W3" t="s">
        <v>187</v>
      </c>
      <c r="X3" t="s">
        <v>1</v>
      </c>
      <c r="Y3">
        <f t="shared" ref="Y3:Y66" si="0">LEN(D3)+LEN(E3)</f>
        <v>781</v>
      </c>
    </row>
    <row r="4" spans="1:25" ht="194.25" customHeight="1" x14ac:dyDescent="0.25">
      <c r="A4" t="s">
        <v>183</v>
      </c>
      <c r="B4" t="s">
        <v>184</v>
      </c>
      <c r="C4" s="2" t="s">
        <v>1139</v>
      </c>
      <c r="D4" s="2" t="s">
        <v>1140</v>
      </c>
      <c r="E4" s="2" t="s">
        <v>189</v>
      </c>
      <c r="F4" s="2" t="s">
        <v>186</v>
      </c>
      <c r="G4" t="s">
        <v>23</v>
      </c>
      <c r="H4" s="2" t="s">
        <v>187</v>
      </c>
      <c r="I4" s="2" t="s">
        <v>1</v>
      </c>
      <c r="J4" t="s">
        <v>23</v>
      </c>
      <c r="K4" s="2" t="s">
        <v>187</v>
      </c>
      <c r="L4" s="2" t="s">
        <v>1</v>
      </c>
      <c r="M4" t="s">
        <v>23</v>
      </c>
      <c r="N4" s="2" t="s">
        <v>187</v>
      </c>
      <c r="O4" t="s">
        <v>1</v>
      </c>
      <c r="P4" t="s">
        <v>21</v>
      </c>
      <c r="Q4" s="2" t="s">
        <v>194</v>
      </c>
      <c r="R4" s="2" t="s">
        <v>1</v>
      </c>
      <c r="S4" t="s">
        <v>23</v>
      </c>
      <c r="T4" t="s">
        <v>187</v>
      </c>
      <c r="U4" t="s">
        <v>1</v>
      </c>
      <c r="V4" t="s">
        <v>23</v>
      </c>
      <c r="W4" t="s">
        <v>187</v>
      </c>
      <c r="X4" t="s">
        <v>1</v>
      </c>
      <c r="Y4">
        <f t="shared" si="0"/>
        <v>775</v>
      </c>
    </row>
    <row r="5" spans="1:25" ht="194.25" customHeight="1" x14ac:dyDescent="0.25">
      <c r="A5" t="s">
        <v>183</v>
      </c>
      <c r="B5" t="s">
        <v>184</v>
      </c>
      <c r="C5" s="2" t="s">
        <v>1139</v>
      </c>
      <c r="D5" s="2" t="s">
        <v>1140</v>
      </c>
      <c r="E5" s="2" t="s">
        <v>190</v>
      </c>
      <c r="F5" s="2" t="s">
        <v>186</v>
      </c>
      <c r="G5" t="s">
        <v>23</v>
      </c>
      <c r="H5" s="2" t="s">
        <v>187</v>
      </c>
      <c r="I5" s="2" t="s">
        <v>1</v>
      </c>
      <c r="J5" t="s">
        <v>1087</v>
      </c>
      <c r="K5" s="2" t="s">
        <v>187</v>
      </c>
      <c r="L5" s="2" t="s">
        <v>1</v>
      </c>
      <c r="M5" t="s">
        <v>23</v>
      </c>
      <c r="N5" s="2" t="s">
        <v>187</v>
      </c>
      <c r="O5" t="s">
        <v>1</v>
      </c>
      <c r="P5" t="s">
        <v>23</v>
      </c>
      <c r="Q5" s="2" t="s">
        <v>187</v>
      </c>
      <c r="R5" s="2" t="s">
        <v>1</v>
      </c>
      <c r="S5" t="s">
        <v>18</v>
      </c>
      <c r="T5" t="s">
        <v>194</v>
      </c>
      <c r="U5" t="s">
        <v>1</v>
      </c>
      <c r="V5" t="s">
        <v>23</v>
      </c>
      <c r="W5" t="s">
        <v>187</v>
      </c>
      <c r="X5" t="s">
        <v>1</v>
      </c>
      <c r="Y5">
        <f t="shared" si="0"/>
        <v>761</v>
      </c>
    </row>
    <row r="6" spans="1:25" ht="194.25" customHeight="1" x14ac:dyDescent="0.25">
      <c r="A6" t="s">
        <v>183</v>
      </c>
      <c r="B6" t="s">
        <v>184</v>
      </c>
      <c r="C6" s="2" t="s">
        <v>1139</v>
      </c>
      <c r="D6" s="2" t="s">
        <v>1140</v>
      </c>
      <c r="E6" s="2" t="s">
        <v>191</v>
      </c>
      <c r="F6" s="2" t="s">
        <v>186</v>
      </c>
      <c r="G6" t="s">
        <v>23</v>
      </c>
      <c r="H6" s="2" t="s">
        <v>187</v>
      </c>
      <c r="I6" s="2" t="s">
        <v>1</v>
      </c>
      <c r="J6" t="s">
        <v>23</v>
      </c>
      <c r="K6" s="2" t="s">
        <v>187</v>
      </c>
      <c r="L6" s="2" t="s">
        <v>1</v>
      </c>
      <c r="M6" t="s">
        <v>23</v>
      </c>
      <c r="N6" s="2" t="s">
        <v>187</v>
      </c>
      <c r="O6" t="s">
        <v>1</v>
      </c>
      <c r="P6" t="s">
        <v>23</v>
      </c>
      <c r="Q6" s="2" t="s">
        <v>187</v>
      </c>
      <c r="R6" s="2" t="s">
        <v>1</v>
      </c>
      <c r="S6" t="s">
        <v>23</v>
      </c>
      <c r="T6" t="s">
        <v>187</v>
      </c>
      <c r="U6" t="s">
        <v>1</v>
      </c>
      <c r="V6" t="s">
        <v>23</v>
      </c>
      <c r="W6" t="s">
        <v>187</v>
      </c>
      <c r="X6" t="s">
        <v>1</v>
      </c>
      <c r="Y6">
        <f t="shared" si="0"/>
        <v>780</v>
      </c>
    </row>
    <row r="7" spans="1:25" ht="194.25" customHeight="1" x14ac:dyDescent="0.25">
      <c r="A7" t="s">
        <v>183</v>
      </c>
      <c r="B7" t="s">
        <v>184</v>
      </c>
      <c r="C7" s="2" t="s">
        <v>1139</v>
      </c>
      <c r="D7" s="2" t="s">
        <v>1140</v>
      </c>
      <c r="E7" s="2" t="s">
        <v>192</v>
      </c>
      <c r="F7" s="2" t="s">
        <v>193</v>
      </c>
      <c r="G7" t="s">
        <v>23</v>
      </c>
      <c r="H7" s="2" t="s">
        <v>187</v>
      </c>
      <c r="I7" s="2" t="s">
        <v>1</v>
      </c>
      <c r="J7" t="s">
        <v>21</v>
      </c>
      <c r="K7" s="2" t="s">
        <v>194</v>
      </c>
      <c r="L7" s="2" t="s">
        <v>1</v>
      </c>
      <c r="M7" t="s">
        <v>23</v>
      </c>
      <c r="N7" s="2" t="s">
        <v>187</v>
      </c>
      <c r="O7" t="s">
        <v>1</v>
      </c>
      <c r="P7" t="s">
        <v>21</v>
      </c>
      <c r="Q7" s="2" t="s">
        <v>194</v>
      </c>
      <c r="R7" s="2" t="s">
        <v>1</v>
      </c>
      <c r="S7" t="s">
        <v>21</v>
      </c>
      <c r="T7" t="s">
        <v>194</v>
      </c>
      <c r="U7" t="s">
        <v>1</v>
      </c>
      <c r="V7" t="s">
        <v>21</v>
      </c>
      <c r="W7" t="s">
        <v>194</v>
      </c>
      <c r="X7" t="s">
        <v>1</v>
      </c>
      <c r="Y7">
        <f t="shared" si="0"/>
        <v>775</v>
      </c>
    </row>
    <row r="8" spans="1:25" ht="194.25" customHeight="1" x14ac:dyDescent="0.25">
      <c r="A8" t="s">
        <v>183</v>
      </c>
      <c r="B8" t="s">
        <v>184</v>
      </c>
      <c r="C8" s="2" t="s">
        <v>1139</v>
      </c>
      <c r="D8" s="2" t="s">
        <v>1140</v>
      </c>
      <c r="E8" s="2" t="s">
        <v>195</v>
      </c>
      <c r="F8" s="2" t="s">
        <v>193</v>
      </c>
      <c r="G8" t="s">
        <v>23</v>
      </c>
      <c r="H8" s="2" t="s">
        <v>187</v>
      </c>
      <c r="I8" s="2" t="s">
        <v>1</v>
      </c>
      <c r="J8" t="s">
        <v>359</v>
      </c>
      <c r="K8" s="2" t="s">
        <v>3</v>
      </c>
      <c r="L8" s="2" t="s">
        <v>1</v>
      </c>
      <c r="M8" t="s">
        <v>23</v>
      </c>
      <c r="N8" s="2" t="s">
        <v>187</v>
      </c>
      <c r="O8" t="s">
        <v>1</v>
      </c>
      <c r="P8" t="s">
        <v>21</v>
      </c>
      <c r="Q8" s="2" t="s">
        <v>194</v>
      </c>
      <c r="R8" s="2" t="s">
        <v>1</v>
      </c>
      <c r="S8" t="s">
        <v>21</v>
      </c>
      <c r="T8" t="s">
        <v>194</v>
      </c>
      <c r="U8" t="s">
        <v>1</v>
      </c>
      <c r="V8" t="s">
        <v>18</v>
      </c>
      <c r="W8" t="s">
        <v>194</v>
      </c>
      <c r="X8" t="s">
        <v>1</v>
      </c>
      <c r="Y8">
        <f t="shared" si="0"/>
        <v>768</v>
      </c>
    </row>
    <row r="9" spans="1:25" ht="194.25" customHeight="1" x14ac:dyDescent="0.25">
      <c r="A9" t="s">
        <v>183</v>
      </c>
      <c r="B9" t="s">
        <v>184</v>
      </c>
      <c r="C9" s="2" t="s">
        <v>1139</v>
      </c>
      <c r="D9" s="2" t="s">
        <v>1140</v>
      </c>
      <c r="E9" s="2" t="s">
        <v>196</v>
      </c>
      <c r="F9" s="2" t="s">
        <v>193</v>
      </c>
      <c r="G9" t="s">
        <v>21</v>
      </c>
      <c r="H9" s="2" t="s">
        <v>194</v>
      </c>
      <c r="I9" s="2" t="s">
        <v>1</v>
      </c>
      <c r="J9" t="s">
        <v>21</v>
      </c>
      <c r="K9" s="2" t="s">
        <v>194</v>
      </c>
      <c r="L9" s="2" t="s">
        <v>1</v>
      </c>
      <c r="M9" t="s">
        <v>23</v>
      </c>
      <c r="N9" s="2" t="s">
        <v>187</v>
      </c>
      <c r="O9" t="s">
        <v>1</v>
      </c>
      <c r="P9" t="s">
        <v>18</v>
      </c>
      <c r="Q9" s="2" t="s">
        <v>194</v>
      </c>
      <c r="R9" s="2" t="s">
        <v>1</v>
      </c>
      <c r="S9" t="s">
        <v>21</v>
      </c>
      <c r="T9" t="s">
        <v>194</v>
      </c>
      <c r="U9" t="s">
        <v>1</v>
      </c>
      <c r="V9" t="s">
        <v>18</v>
      </c>
      <c r="W9" t="s">
        <v>194</v>
      </c>
      <c r="X9" t="s">
        <v>1</v>
      </c>
      <c r="Y9">
        <f t="shared" si="0"/>
        <v>767</v>
      </c>
    </row>
    <row r="10" spans="1:25" ht="194.25" customHeight="1" x14ac:dyDescent="0.25">
      <c r="A10" t="s">
        <v>183</v>
      </c>
      <c r="B10" t="s">
        <v>184</v>
      </c>
      <c r="C10" s="2" t="s">
        <v>1139</v>
      </c>
      <c r="D10" s="2" t="s">
        <v>1140</v>
      </c>
      <c r="E10" s="2" t="s">
        <v>197</v>
      </c>
      <c r="F10" s="2" t="s">
        <v>193</v>
      </c>
      <c r="G10" t="s">
        <v>18</v>
      </c>
      <c r="H10" s="2" t="s">
        <v>194</v>
      </c>
      <c r="I10" s="2" t="s">
        <v>1</v>
      </c>
      <c r="J10" t="s">
        <v>21</v>
      </c>
      <c r="K10" s="2" t="s">
        <v>194</v>
      </c>
      <c r="L10" s="2" t="s">
        <v>1</v>
      </c>
      <c r="M10" t="s">
        <v>23</v>
      </c>
      <c r="N10" s="2" t="s">
        <v>187</v>
      </c>
      <c r="O10" t="s">
        <v>1</v>
      </c>
      <c r="P10" t="s">
        <v>18</v>
      </c>
      <c r="Q10" s="2" t="s">
        <v>194</v>
      </c>
      <c r="R10" s="2" t="s">
        <v>1</v>
      </c>
      <c r="S10" t="s">
        <v>23</v>
      </c>
      <c r="T10" t="s">
        <v>187</v>
      </c>
      <c r="U10" t="s">
        <v>1</v>
      </c>
      <c r="V10" t="s">
        <v>18</v>
      </c>
      <c r="W10" t="s">
        <v>194</v>
      </c>
      <c r="X10" t="s">
        <v>1</v>
      </c>
      <c r="Y10">
        <f t="shared" si="0"/>
        <v>777</v>
      </c>
    </row>
    <row r="11" spans="1:25" ht="194.25" customHeight="1" x14ac:dyDescent="0.25">
      <c r="A11" t="s">
        <v>183</v>
      </c>
      <c r="B11" t="s">
        <v>184</v>
      </c>
      <c r="C11" s="2" t="s">
        <v>1139</v>
      </c>
      <c r="D11" s="2" t="s">
        <v>1140</v>
      </c>
      <c r="E11" s="2" t="s">
        <v>198</v>
      </c>
      <c r="F11" s="2" t="s">
        <v>193</v>
      </c>
      <c r="G11" t="s">
        <v>21</v>
      </c>
      <c r="H11" s="2" t="s">
        <v>194</v>
      </c>
      <c r="I11" s="2" t="s">
        <v>1</v>
      </c>
      <c r="J11" t="s">
        <v>21</v>
      </c>
      <c r="K11" s="2" t="s">
        <v>194</v>
      </c>
      <c r="L11" s="2" t="s">
        <v>1</v>
      </c>
      <c r="M11" t="s">
        <v>18</v>
      </c>
      <c r="N11" s="2" t="s">
        <v>194</v>
      </c>
      <c r="O11" t="s">
        <v>1</v>
      </c>
      <c r="P11" t="s">
        <v>21</v>
      </c>
      <c r="Q11" s="2" t="s">
        <v>194</v>
      </c>
      <c r="R11" s="2" t="s">
        <v>1</v>
      </c>
      <c r="S11" t="s">
        <v>23</v>
      </c>
      <c r="T11" t="s">
        <v>187</v>
      </c>
      <c r="U11" t="s">
        <v>1</v>
      </c>
      <c r="V11" t="s">
        <v>18</v>
      </c>
      <c r="W11" t="s">
        <v>194</v>
      </c>
      <c r="X11" t="s">
        <v>1</v>
      </c>
      <c r="Y11">
        <f t="shared" si="0"/>
        <v>777</v>
      </c>
    </row>
    <row r="12" spans="1:25" ht="194.25" customHeight="1" x14ac:dyDescent="0.25">
      <c r="A12" t="s">
        <v>183</v>
      </c>
      <c r="B12" t="s">
        <v>184</v>
      </c>
      <c r="C12" s="2" t="s">
        <v>1139</v>
      </c>
      <c r="D12" s="2" t="s">
        <v>1140</v>
      </c>
      <c r="E12" s="2" t="s">
        <v>199</v>
      </c>
      <c r="F12" s="2" t="s">
        <v>200</v>
      </c>
      <c r="G12" t="s">
        <v>23</v>
      </c>
      <c r="H12" s="2" t="s">
        <v>187</v>
      </c>
      <c r="I12" s="2" t="s">
        <v>1</v>
      </c>
      <c r="J12" t="s">
        <v>23</v>
      </c>
      <c r="K12" s="2" t="s">
        <v>187</v>
      </c>
      <c r="L12" s="2" t="s">
        <v>1</v>
      </c>
      <c r="M12" t="s">
        <v>23</v>
      </c>
      <c r="N12" s="2" t="s">
        <v>187</v>
      </c>
      <c r="O12" t="s">
        <v>1</v>
      </c>
      <c r="P12" t="s">
        <v>23</v>
      </c>
      <c r="Q12" s="2" t="s">
        <v>187</v>
      </c>
      <c r="R12" s="2" t="s">
        <v>1</v>
      </c>
      <c r="S12" t="s">
        <v>23</v>
      </c>
      <c r="T12" t="s">
        <v>187</v>
      </c>
      <c r="U12" t="s">
        <v>1</v>
      </c>
      <c r="V12" t="s">
        <v>23</v>
      </c>
      <c r="W12" t="s">
        <v>187</v>
      </c>
      <c r="X12" t="s">
        <v>1</v>
      </c>
      <c r="Y12">
        <f t="shared" si="0"/>
        <v>773</v>
      </c>
    </row>
    <row r="13" spans="1:25" ht="194.25" customHeight="1" x14ac:dyDescent="0.25">
      <c r="A13" t="s">
        <v>183</v>
      </c>
      <c r="B13" t="s">
        <v>184</v>
      </c>
      <c r="C13" s="2" t="s">
        <v>1139</v>
      </c>
      <c r="D13" s="2" t="s">
        <v>1140</v>
      </c>
      <c r="E13" s="2" t="s">
        <v>201</v>
      </c>
      <c r="F13" s="2" t="s">
        <v>200</v>
      </c>
      <c r="G13" t="s">
        <v>23</v>
      </c>
      <c r="H13" s="2" t="s">
        <v>187</v>
      </c>
      <c r="I13" s="2" t="s">
        <v>1</v>
      </c>
      <c r="J13" t="s">
        <v>23</v>
      </c>
      <c r="K13" s="2" t="s">
        <v>187</v>
      </c>
      <c r="L13" s="2" t="s">
        <v>1</v>
      </c>
      <c r="M13" t="s">
        <v>23</v>
      </c>
      <c r="N13" s="2" t="s">
        <v>187</v>
      </c>
      <c r="O13" t="s">
        <v>1</v>
      </c>
      <c r="P13" t="s">
        <v>21</v>
      </c>
      <c r="Q13" s="2" t="s">
        <v>194</v>
      </c>
      <c r="R13" s="2" t="s">
        <v>1</v>
      </c>
      <c r="S13" t="s">
        <v>23</v>
      </c>
      <c r="T13" t="s">
        <v>187</v>
      </c>
      <c r="U13" t="s">
        <v>1</v>
      </c>
      <c r="V13" t="s">
        <v>23</v>
      </c>
      <c r="W13" t="s">
        <v>187</v>
      </c>
      <c r="X13" t="s">
        <v>1</v>
      </c>
      <c r="Y13">
        <f t="shared" si="0"/>
        <v>773</v>
      </c>
    </row>
    <row r="14" spans="1:25" ht="194.25" customHeight="1" x14ac:dyDescent="0.25">
      <c r="A14" t="s">
        <v>183</v>
      </c>
      <c r="B14" t="s">
        <v>184</v>
      </c>
      <c r="C14" s="2" t="s">
        <v>1139</v>
      </c>
      <c r="D14" s="2" t="s">
        <v>1140</v>
      </c>
      <c r="E14" s="2" t="s">
        <v>202</v>
      </c>
      <c r="F14" s="2" t="s">
        <v>200</v>
      </c>
      <c r="G14" t="s">
        <v>23</v>
      </c>
      <c r="H14" s="2" t="s">
        <v>187</v>
      </c>
      <c r="I14" s="2" t="s">
        <v>1</v>
      </c>
      <c r="J14" t="s">
        <v>23</v>
      </c>
      <c r="K14" s="2" t="s">
        <v>187</v>
      </c>
      <c r="L14" s="2" t="s">
        <v>1</v>
      </c>
      <c r="M14" t="s">
        <v>18</v>
      </c>
      <c r="N14" s="2" t="s">
        <v>194</v>
      </c>
      <c r="O14" t="s">
        <v>1</v>
      </c>
      <c r="P14" t="s">
        <v>23</v>
      </c>
      <c r="Q14" s="2" t="s">
        <v>187</v>
      </c>
      <c r="R14" s="2" t="s">
        <v>1</v>
      </c>
      <c r="S14" t="s">
        <v>23</v>
      </c>
      <c r="T14" t="s">
        <v>187</v>
      </c>
      <c r="U14" t="s">
        <v>1</v>
      </c>
      <c r="V14" t="s">
        <v>23</v>
      </c>
      <c r="W14" t="s">
        <v>187</v>
      </c>
      <c r="X14" t="s">
        <v>1</v>
      </c>
      <c r="Y14">
        <f t="shared" si="0"/>
        <v>778</v>
      </c>
    </row>
    <row r="15" spans="1:25" ht="194.25" customHeight="1" x14ac:dyDescent="0.25">
      <c r="A15" t="s">
        <v>183</v>
      </c>
      <c r="B15" t="s">
        <v>184</v>
      </c>
      <c r="C15" s="2" t="s">
        <v>1139</v>
      </c>
      <c r="D15" s="2" t="s">
        <v>1140</v>
      </c>
      <c r="E15" s="2" t="s">
        <v>204</v>
      </c>
      <c r="F15" s="2" t="s">
        <v>200</v>
      </c>
      <c r="G15" t="s">
        <v>23</v>
      </c>
      <c r="H15" s="2" t="s">
        <v>187</v>
      </c>
      <c r="I15" s="2" t="s">
        <v>1</v>
      </c>
      <c r="J15" t="s">
        <v>23</v>
      </c>
      <c r="K15" s="2" t="s">
        <v>187</v>
      </c>
      <c r="L15" s="2" t="s">
        <v>1</v>
      </c>
      <c r="M15" t="s">
        <v>23</v>
      </c>
      <c r="N15" s="2" t="s">
        <v>187</v>
      </c>
      <c r="O15" t="s">
        <v>1</v>
      </c>
      <c r="P15" t="s">
        <v>23</v>
      </c>
      <c r="Q15" s="2" t="s">
        <v>187</v>
      </c>
      <c r="R15" s="2" t="s">
        <v>1</v>
      </c>
      <c r="S15" t="s">
        <v>23</v>
      </c>
      <c r="T15" t="s">
        <v>187</v>
      </c>
      <c r="U15" t="s">
        <v>1</v>
      </c>
      <c r="V15" t="s">
        <v>23</v>
      </c>
      <c r="W15" t="s">
        <v>187</v>
      </c>
      <c r="X15" t="s">
        <v>1</v>
      </c>
      <c r="Y15">
        <f t="shared" si="0"/>
        <v>773</v>
      </c>
    </row>
    <row r="16" spans="1:25" ht="194.25" customHeight="1" x14ac:dyDescent="0.25">
      <c r="A16" t="s">
        <v>183</v>
      </c>
      <c r="B16" t="s">
        <v>184</v>
      </c>
      <c r="C16" s="2" t="s">
        <v>1139</v>
      </c>
      <c r="D16" s="2" t="s">
        <v>1140</v>
      </c>
      <c r="E16" s="2" t="s">
        <v>205</v>
      </c>
      <c r="F16" s="2" t="s">
        <v>200</v>
      </c>
      <c r="G16" t="s">
        <v>23</v>
      </c>
      <c r="H16" s="2" t="s">
        <v>187</v>
      </c>
      <c r="I16" s="2" t="s">
        <v>1</v>
      </c>
      <c r="J16" t="s">
        <v>18</v>
      </c>
      <c r="K16" s="2" t="s">
        <v>194</v>
      </c>
      <c r="L16" s="2" t="s">
        <v>1</v>
      </c>
      <c r="M16" t="s">
        <v>18</v>
      </c>
      <c r="N16" s="2" t="s">
        <v>194</v>
      </c>
      <c r="O16" t="s">
        <v>1</v>
      </c>
      <c r="P16" t="s">
        <v>18</v>
      </c>
      <c r="Q16" s="2" t="s">
        <v>194</v>
      </c>
      <c r="R16" s="2" t="s">
        <v>1</v>
      </c>
      <c r="S16" t="s">
        <v>18</v>
      </c>
      <c r="T16" t="s">
        <v>194</v>
      </c>
      <c r="U16" t="s">
        <v>1</v>
      </c>
      <c r="V16" t="s">
        <v>18</v>
      </c>
      <c r="W16" t="s">
        <v>194</v>
      </c>
      <c r="X16" t="s">
        <v>1</v>
      </c>
      <c r="Y16">
        <f t="shared" si="0"/>
        <v>767</v>
      </c>
    </row>
    <row r="17" spans="1:25" ht="194.25" customHeight="1" x14ac:dyDescent="0.25">
      <c r="A17" t="s">
        <v>183</v>
      </c>
      <c r="B17" t="s">
        <v>184</v>
      </c>
      <c r="C17" s="2" t="s">
        <v>1139</v>
      </c>
      <c r="D17" s="2" t="s">
        <v>1140</v>
      </c>
      <c r="E17" s="2" t="s">
        <v>206</v>
      </c>
      <c r="F17" s="2" t="s">
        <v>207</v>
      </c>
      <c r="G17" t="s">
        <v>23</v>
      </c>
      <c r="H17" s="2" t="s">
        <v>187</v>
      </c>
      <c r="I17" s="2" t="s">
        <v>1</v>
      </c>
      <c r="J17" t="s">
        <v>21</v>
      </c>
      <c r="K17" s="2" t="s">
        <v>194</v>
      </c>
      <c r="L17" s="2" t="s">
        <v>1</v>
      </c>
      <c r="M17" t="s">
        <v>23</v>
      </c>
      <c r="N17" s="2" t="s">
        <v>187</v>
      </c>
      <c r="O17" t="s">
        <v>1</v>
      </c>
      <c r="P17" t="s">
        <v>21</v>
      </c>
      <c r="Q17" s="2" t="s">
        <v>194</v>
      </c>
      <c r="R17" s="2" t="s">
        <v>1</v>
      </c>
      <c r="S17" t="s">
        <v>23</v>
      </c>
      <c r="T17" t="s">
        <v>187</v>
      </c>
      <c r="U17" t="s">
        <v>1</v>
      </c>
      <c r="V17" t="s">
        <v>18</v>
      </c>
      <c r="W17" t="s">
        <v>194</v>
      </c>
      <c r="X17" t="s">
        <v>1</v>
      </c>
      <c r="Y17">
        <f t="shared" si="0"/>
        <v>775</v>
      </c>
    </row>
    <row r="18" spans="1:25" ht="194.25" customHeight="1" x14ac:dyDescent="0.25">
      <c r="A18" t="s">
        <v>183</v>
      </c>
      <c r="B18" t="s">
        <v>184</v>
      </c>
      <c r="C18" s="2" t="s">
        <v>1139</v>
      </c>
      <c r="D18" s="2" t="s">
        <v>1140</v>
      </c>
      <c r="E18" s="2" t="s">
        <v>208</v>
      </c>
      <c r="F18" s="2" t="s">
        <v>207</v>
      </c>
      <c r="G18" t="s">
        <v>23</v>
      </c>
      <c r="H18" s="2" t="s">
        <v>187</v>
      </c>
      <c r="I18" s="2" t="s">
        <v>1</v>
      </c>
      <c r="J18" t="s">
        <v>21</v>
      </c>
      <c r="K18" s="2" t="s">
        <v>194</v>
      </c>
      <c r="L18" s="2" t="s">
        <v>1</v>
      </c>
      <c r="M18" t="s">
        <v>23</v>
      </c>
      <c r="N18" s="2" t="s">
        <v>187</v>
      </c>
      <c r="O18" t="s">
        <v>1</v>
      </c>
      <c r="P18" t="s">
        <v>21</v>
      </c>
      <c r="Q18" s="2" t="s">
        <v>194</v>
      </c>
      <c r="R18" s="2" t="s">
        <v>1</v>
      </c>
      <c r="S18" t="s">
        <v>18</v>
      </c>
      <c r="T18" t="s">
        <v>194</v>
      </c>
      <c r="U18" t="s">
        <v>1</v>
      </c>
      <c r="V18" t="s">
        <v>23</v>
      </c>
      <c r="W18" t="s">
        <v>187</v>
      </c>
      <c r="X18" t="s">
        <v>1</v>
      </c>
      <c r="Y18">
        <f t="shared" si="0"/>
        <v>777</v>
      </c>
    </row>
    <row r="19" spans="1:25" ht="194.25" customHeight="1" x14ac:dyDescent="0.25">
      <c r="A19" t="s">
        <v>183</v>
      </c>
      <c r="B19" t="s">
        <v>184</v>
      </c>
      <c r="C19" s="2" t="s">
        <v>1139</v>
      </c>
      <c r="D19" s="2" t="s">
        <v>1140</v>
      </c>
      <c r="E19" s="2" t="s">
        <v>209</v>
      </c>
      <c r="F19" s="2" t="s">
        <v>207</v>
      </c>
      <c r="G19" t="s">
        <v>23</v>
      </c>
      <c r="H19" s="2" t="s">
        <v>187</v>
      </c>
      <c r="I19" s="2" t="s">
        <v>1</v>
      </c>
      <c r="J19" t="s">
        <v>21</v>
      </c>
      <c r="K19" s="2" t="s">
        <v>194</v>
      </c>
      <c r="L19" s="2" t="s">
        <v>1</v>
      </c>
      <c r="M19" t="s">
        <v>18</v>
      </c>
      <c r="N19" s="2" t="s">
        <v>194</v>
      </c>
      <c r="O19" t="s">
        <v>1</v>
      </c>
      <c r="P19" t="s">
        <v>21</v>
      </c>
      <c r="Q19" s="2" t="s">
        <v>194</v>
      </c>
      <c r="R19" s="2" t="s">
        <v>1</v>
      </c>
      <c r="S19" t="s">
        <v>21</v>
      </c>
      <c r="T19" t="s">
        <v>194</v>
      </c>
      <c r="U19" t="s">
        <v>1</v>
      </c>
      <c r="V19" t="s">
        <v>23</v>
      </c>
      <c r="W19" t="s">
        <v>187</v>
      </c>
      <c r="X19" t="s">
        <v>1</v>
      </c>
      <c r="Y19">
        <f t="shared" si="0"/>
        <v>777</v>
      </c>
    </row>
    <row r="20" spans="1:25" ht="194.25" customHeight="1" x14ac:dyDescent="0.25">
      <c r="A20" t="s">
        <v>183</v>
      </c>
      <c r="B20" t="s">
        <v>184</v>
      </c>
      <c r="C20" s="2" t="s">
        <v>1139</v>
      </c>
      <c r="D20" s="2" t="s">
        <v>1140</v>
      </c>
      <c r="E20" s="2" t="s">
        <v>210</v>
      </c>
      <c r="F20" s="2" t="s">
        <v>207</v>
      </c>
      <c r="G20" t="s">
        <v>23</v>
      </c>
      <c r="H20" s="2" t="s">
        <v>187</v>
      </c>
      <c r="I20" s="2" t="s">
        <v>1</v>
      </c>
      <c r="J20" t="s">
        <v>21</v>
      </c>
      <c r="K20" s="2" t="s">
        <v>194</v>
      </c>
      <c r="L20" s="2" t="s">
        <v>1</v>
      </c>
      <c r="M20" t="s">
        <v>23</v>
      </c>
      <c r="N20" s="2" t="s">
        <v>187</v>
      </c>
      <c r="O20" t="s">
        <v>1</v>
      </c>
      <c r="P20" t="s">
        <v>21</v>
      </c>
      <c r="Q20" s="2" t="s">
        <v>194</v>
      </c>
      <c r="R20" s="2" t="s">
        <v>1</v>
      </c>
      <c r="S20" t="s">
        <v>21</v>
      </c>
      <c r="T20" t="s">
        <v>194</v>
      </c>
      <c r="U20" t="s">
        <v>1</v>
      </c>
      <c r="V20" t="s">
        <v>18</v>
      </c>
      <c r="W20" t="s">
        <v>194</v>
      </c>
      <c r="X20" t="s">
        <v>1</v>
      </c>
      <c r="Y20">
        <f t="shared" si="0"/>
        <v>768</v>
      </c>
    </row>
    <row r="21" spans="1:25" ht="194.25" customHeight="1" x14ac:dyDescent="0.25">
      <c r="A21" t="s">
        <v>183</v>
      </c>
      <c r="B21" t="s">
        <v>184</v>
      </c>
      <c r="C21" s="2" t="s">
        <v>1139</v>
      </c>
      <c r="D21" s="2" t="s">
        <v>1140</v>
      </c>
      <c r="E21" s="2" t="s">
        <v>211</v>
      </c>
      <c r="F21" s="2" t="s">
        <v>207</v>
      </c>
      <c r="G21" t="s">
        <v>18</v>
      </c>
      <c r="H21" s="2" t="s">
        <v>194</v>
      </c>
      <c r="I21" s="2" t="s">
        <v>1</v>
      </c>
      <c r="J21" t="s">
        <v>23</v>
      </c>
      <c r="K21" s="2" t="s">
        <v>187</v>
      </c>
      <c r="L21" s="2" t="s">
        <v>1</v>
      </c>
      <c r="M21" t="s">
        <v>23</v>
      </c>
      <c r="N21" s="2" t="s">
        <v>187</v>
      </c>
      <c r="O21" t="s">
        <v>1</v>
      </c>
      <c r="P21" t="s">
        <v>18</v>
      </c>
      <c r="Q21" s="2" t="s">
        <v>194</v>
      </c>
      <c r="R21" s="2" t="s">
        <v>1</v>
      </c>
      <c r="S21" t="s">
        <v>18</v>
      </c>
      <c r="T21" t="s">
        <v>194</v>
      </c>
      <c r="U21" t="s">
        <v>1</v>
      </c>
      <c r="V21" t="s">
        <v>23</v>
      </c>
      <c r="W21" t="s">
        <v>187</v>
      </c>
      <c r="X21" t="s">
        <v>1</v>
      </c>
      <c r="Y21">
        <f t="shared" si="0"/>
        <v>784</v>
      </c>
    </row>
    <row r="22" spans="1:25" ht="194.25" customHeight="1" x14ac:dyDescent="0.25">
      <c r="A22" t="s">
        <v>183</v>
      </c>
      <c r="B22" t="s">
        <v>184</v>
      </c>
      <c r="C22" s="2" t="s">
        <v>1139</v>
      </c>
      <c r="D22" s="2" t="s">
        <v>1140</v>
      </c>
      <c r="E22" s="2" t="s">
        <v>212</v>
      </c>
      <c r="F22" s="2" t="s">
        <v>213</v>
      </c>
      <c r="G22" t="s">
        <v>21</v>
      </c>
      <c r="H22" s="2" t="s">
        <v>187</v>
      </c>
      <c r="I22" s="2" t="s">
        <v>1</v>
      </c>
      <c r="J22" t="s">
        <v>21</v>
      </c>
      <c r="K22" s="2" t="s">
        <v>187</v>
      </c>
      <c r="L22" s="2" t="s">
        <v>1</v>
      </c>
      <c r="M22" t="s">
        <v>21</v>
      </c>
      <c r="N22" s="2" t="s">
        <v>187</v>
      </c>
      <c r="O22" t="s">
        <v>1</v>
      </c>
      <c r="P22" t="s">
        <v>21</v>
      </c>
      <c r="Q22" s="2" t="s">
        <v>187</v>
      </c>
      <c r="R22" s="2" t="s">
        <v>1</v>
      </c>
      <c r="S22" t="s">
        <v>21</v>
      </c>
      <c r="T22" t="s">
        <v>187</v>
      </c>
      <c r="U22" t="s">
        <v>1</v>
      </c>
      <c r="V22" t="s">
        <v>18</v>
      </c>
      <c r="W22" t="s">
        <v>194</v>
      </c>
      <c r="X22" t="s">
        <v>1</v>
      </c>
      <c r="Y22">
        <f t="shared" si="0"/>
        <v>782</v>
      </c>
    </row>
    <row r="23" spans="1:25" ht="194.25" customHeight="1" x14ac:dyDescent="0.25">
      <c r="A23" t="s">
        <v>183</v>
      </c>
      <c r="B23" t="s">
        <v>184</v>
      </c>
      <c r="C23" s="2" t="s">
        <v>1139</v>
      </c>
      <c r="D23" s="2" t="s">
        <v>1140</v>
      </c>
      <c r="E23" s="2" t="s">
        <v>214</v>
      </c>
      <c r="F23" s="2" t="s">
        <v>213</v>
      </c>
      <c r="G23" t="s">
        <v>21</v>
      </c>
      <c r="H23" s="2" t="s">
        <v>187</v>
      </c>
      <c r="I23" s="2" t="s">
        <v>1</v>
      </c>
      <c r="J23" t="s">
        <v>21</v>
      </c>
      <c r="K23" s="2" t="s">
        <v>187</v>
      </c>
      <c r="L23" s="2" t="s">
        <v>1</v>
      </c>
      <c r="M23" t="s">
        <v>21</v>
      </c>
      <c r="N23" s="2" t="s">
        <v>187</v>
      </c>
      <c r="O23" t="s">
        <v>1</v>
      </c>
      <c r="P23" t="s">
        <v>21</v>
      </c>
      <c r="Q23" s="2" t="s">
        <v>187</v>
      </c>
      <c r="R23" s="2" t="s">
        <v>1</v>
      </c>
      <c r="S23" t="s">
        <v>21</v>
      </c>
      <c r="T23" t="s">
        <v>187</v>
      </c>
      <c r="U23" t="s">
        <v>1</v>
      </c>
      <c r="V23" t="s">
        <v>18</v>
      </c>
      <c r="W23" t="s">
        <v>194</v>
      </c>
      <c r="X23" t="s">
        <v>1</v>
      </c>
      <c r="Y23">
        <f t="shared" si="0"/>
        <v>763</v>
      </c>
    </row>
    <row r="24" spans="1:25" ht="194.25" customHeight="1" x14ac:dyDescent="0.25">
      <c r="A24" t="s">
        <v>183</v>
      </c>
      <c r="B24" t="s">
        <v>184</v>
      </c>
      <c r="C24" s="2" t="s">
        <v>1139</v>
      </c>
      <c r="D24" s="2" t="s">
        <v>1140</v>
      </c>
      <c r="E24" s="2" t="s">
        <v>215</v>
      </c>
      <c r="F24" s="2" t="s">
        <v>213</v>
      </c>
      <c r="G24" t="s">
        <v>21</v>
      </c>
      <c r="H24" s="2" t="s">
        <v>187</v>
      </c>
      <c r="I24" s="2" t="s">
        <v>1</v>
      </c>
      <c r="J24" t="s">
        <v>21</v>
      </c>
      <c r="K24" s="2" t="s">
        <v>187</v>
      </c>
      <c r="L24" s="2" t="s">
        <v>1</v>
      </c>
      <c r="M24" t="s">
        <v>21</v>
      </c>
      <c r="N24" s="2" t="s">
        <v>187</v>
      </c>
      <c r="O24" t="s">
        <v>1</v>
      </c>
      <c r="P24" t="s">
        <v>21</v>
      </c>
      <c r="Q24" s="2" t="s">
        <v>187</v>
      </c>
      <c r="R24" s="2" t="s">
        <v>1</v>
      </c>
      <c r="S24" t="s">
        <v>23</v>
      </c>
      <c r="T24" t="s">
        <v>194</v>
      </c>
      <c r="U24" t="s">
        <v>1</v>
      </c>
      <c r="V24" t="s">
        <v>18</v>
      </c>
      <c r="W24" t="s">
        <v>194</v>
      </c>
      <c r="X24" t="s">
        <v>1</v>
      </c>
      <c r="Y24">
        <f t="shared" si="0"/>
        <v>760</v>
      </c>
    </row>
    <row r="25" spans="1:25" ht="194.25" customHeight="1" x14ac:dyDescent="0.25">
      <c r="A25" t="s">
        <v>183</v>
      </c>
      <c r="B25" t="s">
        <v>184</v>
      </c>
      <c r="C25" s="2" t="s">
        <v>1139</v>
      </c>
      <c r="D25" s="2" t="s">
        <v>1140</v>
      </c>
      <c r="E25" s="2" t="s">
        <v>216</v>
      </c>
      <c r="F25" s="2" t="s">
        <v>213</v>
      </c>
      <c r="G25" t="s">
        <v>21</v>
      </c>
      <c r="H25" s="2" t="s">
        <v>187</v>
      </c>
      <c r="I25" s="2" t="s">
        <v>1</v>
      </c>
      <c r="J25" t="s">
        <v>21</v>
      </c>
      <c r="K25" s="2" t="s">
        <v>187</v>
      </c>
      <c r="L25" s="2" t="s">
        <v>1</v>
      </c>
      <c r="M25" t="s">
        <v>21</v>
      </c>
      <c r="N25" s="2" t="s">
        <v>187</v>
      </c>
      <c r="O25" t="s">
        <v>1</v>
      </c>
      <c r="P25" t="s">
        <v>21</v>
      </c>
      <c r="Q25" s="2" t="s">
        <v>187</v>
      </c>
      <c r="R25" s="2" t="s">
        <v>1</v>
      </c>
      <c r="S25" t="s">
        <v>21</v>
      </c>
      <c r="T25" t="s">
        <v>187</v>
      </c>
      <c r="U25" t="s">
        <v>1</v>
      </c>
      <c r="V25" t="s">
        <v>18</v>
      </c>
      <c r="W25" t="s">
        <v>194</v>
      </c>
      <c r="X25" t="s">
        <v>1</v>
      </c>
      <c r="Y25">
        <f t="shared" si="0"/>
        <v>765</v>
      </c>
    </row>
    <row r="26" spans="1:25" ht="194.25" customHeight="1" x14ac:dyDescent="0.25">
      <c r="A26" t="s">
        <v>183</v>
      </c>
      <c r="B26" t="s">
        <v>184</v>
      </c>
      <c r="C26" s="2" t="s">
        <v>1139</v>
      </c>
      <c r="D26" s="2" t="s">
        <v>1140</v>
      </c>
      <c r="E26" s="2" t="s">
        <v>217</v>
      </c>
      <c r="F26" s="2" t="s">
        <v>213</v>
      </c>
      <c r="G26" t="s">
        <v>21</v>
      </c>
      <c r="H26" s="2" t="s">
        <v>187</v>
      </c>
      <c r="I26" s="2" t="s">
        <v>1</v>
      </c>
      <c r="J26" t="s">
        <v>1079</v>
      </c>
      <c r="K26" s="2" t="s">
        <v>187</v>
      </c>
      <c r="L26" s="2" t="s">
        <v>1</v>
      </c>
      <c r="M26" t="s">
        <v>21</v>
      </c>
      <c r="N26" s="2" t="s">
        <v>187</v>
      </c>
      <c r="O26" t="s">
        <v>1</v>
      </c>
      <c r="P26" t="s">
        <v>21</v>
      </c>
      <c r="Q26" s="2" t="s">
        <v>187</v>
      </c>
      <c r="R26" s="2" t="s">
        <v>1</v>
      </c>
      <c r="S26" t="s">
        <v>21</v>
      </c>
      <c r="T26" t="s">
        <v>187</v>
      </c>
      <c r="U26" t="s">
        <v>1</v>
      </c>
      <c r="V26" t="s">
        <v>18</v>
      </c>
      <c r="W26" t="s">
        <v>194</v>
      </c>
      <c r="X26" t="s">
        <v>1</v>
      </c>
      <c r="Y26">
        <f t="shared" si="0"/>
        <v>758</v>
      </c>
    </row>
    <row r="27" spans="1:25" ht="194.25" customHeight="1" x14ac:dyDescent="0.25">
      <c r="A27" t="s">
        <v>183</v>
      </c>
      <c r="B27" t="s">
        <v>184</v>
      </c>
      <c r="C27" s="2" t="s">
        <v>1139</v>
      </c>
      <c r="D27" s="2" t="s">
        <v>1140</v>
      </c>
      <c r="E27" s="2" t="s">
        <v>218</v>
      </c>
      <c r="F27" s="2" t="s">
        <v>219</v>
      </c>
      <c r="G27" t="s">
        <v>23</v>
      </c>
      <c r="H27" s="2" t="s">
        <v>187</v>
      </c>
      <c r="I27" s="2" t="s">
        <v>1</v>
      </c>
      <c r="J27" t="s">
        <v>23</v>
      </c>
      <c r="K27" s="2" t="s">
        <v>187</v>
      </c>
      <c r="L27" s="2" t="s">
        <v>1</v>
      </c>
      <c r="M27" t="s">
        <v>23</v>
      </c>
      <c r="N27" s="2" t="s">
        <v>187</v>
      </c>
      <c r="O27" t="s">
        <v>1</v>
      </c>
      <c r="P27" t="s">
        <v>21</v>
      </c>
      <c r="Q27" s="2" t="s">
        <v>194</v>
      </c>
      <c r="R27" s="2" t="s">
        <v>1</v>
      </c>
      <c r="S27" t="s">
        <v>21</v>
      </c>
      <c r="T27" t="s">
        <v>194</v>
      </c>
      <c r="U27" t="s">
        <v>1</v>
      </c>
      <c r="V27" t="s">
        <v>23</v>
      </c>
      <c r="W27" t="s">
        <v>187</v>
      </c>
      <c r="X27" t="s">
        <v>1</v>
      </c>
      <c r="Y27">
        <f t="shared" si="0"/>
        <v>758</v>
      </c>
    </row>
    <row r="28" spans="1:25" ht="194.25" customHeight="1" x14ac:dyDescent="0.25">
      <c r="A28" t="s">
        <v>183</v>
      </c>
      <c r="B28" t="s">
        <v>184</v>
      </c>
      <c r="C28" s="2" t="s">
        <v>1139</v>
      </c>
      <c r="D28" s="2" t="s">
        <v>1140</v>
      </c>
      <c r="E28" s="2" t="s">
        <v>220</v>
      </c>
      <c r="F28" s="2" t="s">
        <v>219</v>
      </c>
      <c r="G28" t="s">
        <v>18</v>
      </c>
      <c r="H28" s="2" t="s">
        <v>194</v>
      </c>
      <c r="I28" s="2" t="s">
        <v>1</v>
      </c>
      <c r="J28" t="s">
        <v>18</v>
      </c>
      <c r="K28" s="2" t="s">
        <v>194</v>
      </c>
      <c r="L28" s="2" t="s">
        <v>1</v>
      </c>
      <c r="M28" t="s">
        <v>23</v>
      </c>
      <c r="N28" s="2" t="s">
        <v>187</v>
      </c>
      <c r="O28" t="s">
        <v>1</v>
      </c>
      <c r="P28" t="s">
        <v>18</v>
      </c>
      <c r="Q28" s="2" t="s">
        <v>194</v>
      </c>
      <c r="R28" s="2" t="s">
        <v>1</v>
      </c>
      <c r="S28" t="s">
        <v>18</v>
      </c>
      <c r="T28" t="s">
        <v>194</v>
      </c>
      <c r="U28" t="s">
        <v>1</v>
      </c>
      <c r="V28" t="s">
        <v>18</v>
      </c>
      <c r="W28" t="s">
        <v>194</v>
      </c>
      <c r="X28" t="s">
        <v>1</v>
      </c>
      <c r="Y28">
        <f t="shared" si="0"/>
        <v>758</v>
      </c>
    </row>
    <row r="29" spans="1:25" ht="194.25" customHeight="1" x14ac:dyDescent="0.25">
      <c r="A29" t="s">
        <v>183</v>
      </c>
      <c r="B29" t="s">
        <v>184</v>
      </c>
      <c r="C29" s="2" t="s">
        <v>1139</v>
      </c>
      <c r="D29" s="2" t="s">
        <v>1140</v>
      </c>
      <c r="E29" s="2" t="s">
        <v>221</v>
      </c>
      <c r="F29" s="2" t="s">
        <v>219</v>
      </c>
      <c r="G29" t="s">
        <v>21</v>
      </c>
      <c r="H29" s="2" t="s">
        <v>194</v>
      </c>
      <c r="I29" s="2" t="s">
        <v>1</v>
      </c>
      <c r="J29" t="s">
        <v>21</v>
      </c>
      <c r="K29" s="2" t="s">
        <v>194</v>
      </c>
      <c r="L29" s="2" t="s">
        <v>1</v>
      </c>
      <c r="M29" t="s">
        <v>23</v>
      </c>
      <c r="N29" s="2" t="s">
        <v>187</v>
      </c>
      <c r="O29" t="s">
        <v>1</v>
      </c>
      <c r="P29" t="s">
        <v>21</v>
      </c>
      <c r="Q29" s="2" t="s">
        <v>194</v>
      </c>
      <c r="R29" s="2" t="s">
        <v>1</v>
      </c>
      <c r="S29" t="s">
        <v>21</v>
      </c>
      <c r="T29" t="s">
        <v>194</v>
      </c>
      <c r="U29" t="s">
        <v>1</v>
      </c>
      <c r="V29" t="s">
        <v>18</v>
      </c>
      <c r="W29" t="s">
        <v>194</v>
      </c>
      <c r="X29" t="s">
        <v>1</v>
      </c>
      <c r="Y29">
        <f t="shared" si="0"/>
        <v>763</v>
      </c>
    </row>
    <row r="30" spans="1:25" ht="194.25" customHeight="1" x14ac:dyDescent="0.25">
      <c r="A30" t="s">
        <v>183</v>
      </c>
      <c r="B30" t="s">
        <v>184</v>
      </c>
      <c r="C30" s="2" t="s">
        <v>1139</v>
      </c>
      <c r="D30" s="2" t="s">
        <v>1140</v>
      </c>
      <c r="E30" s="2" t="s">
        <v>222</v>
      </c>
      <c r="F30" s="2" t="s">
        <v>219</v>
      </c>
      <c r="G30" t="s">
        <v>23</v>
      </c>
      <c r="H30" s="2" t="s">
        <v>187</v>
      </c>
      <c r="I30" s="2" t="s">
        <v>1</v>
      </c>
      <c r="J30" t="s">
        <v>23</v>
      </c>
      <c r="K30" s="2" t="s">
        <v>187</v>
      </c>
      <c r="L30" s="2" t="s">
        <v>1</v>
      </c>
      <c r="M30" t="s">
        <v>18</v>
      </c>
      <c r="N30" s="2" t="s">
        <v>194</v>
      </c>
      <c r="O30" t="s">
        <v>1</v>
      </c>
      <c r="P30" t="s">
        <v>18</v>
      </c>
      <c r="Q30" s="2" t="s">
        <v>194</v>
      </c>
      <c r="R30" s="2" t="s">
        <v>1</v>
      </c>
      <c r="S30" t="s">
        <v>23</v>
      </c>
      <c r="T30" t="s">
        <v>187</v>
      </c>
      <c r="U30" t="s">
        <v>1</v>
      </c>
      <c r="V30" t="s">
        <v>18</v>
      </c>
      <c r="W30" t="s">
        <v>194</v>
      </c>
      <c r="X30" t="s">
        <v>1</v>
      </c>
      <c r="Y30">
        <f t="shared" si="0"/>
        <v>765</v>
      </c>
    </row>
    <row r="31" spans="1:25" ht="194.25" customHeight="1" x14ac:dyDescent="0.25">
      <c r="A31" t="s">
        <v>183</v>
      </c>
      <c r="B31" t="s">
        <v>184</v>
      </c>
      <c r="C31" s="2" t="s">
        <v>1139</v>
      </c>
      <c r="D31" s="2" t="s">
        <v>1140</v>
      </c>
      <c r="E31" s="2" t="s">
        <v>223</v>
      </c>
      <c r="F31" s="2" t="s">
        <v>272</v>
      </c>
      <c r="G31" t="s">
        <v>21</v>
      </c>
      <c r="H31" s="2" t="s">
        <v>187</v>
      </c>
      <c r="I31" s="2" t="s">
        <v>1</v>
      </c>
      <c r="J31" t="s">
        <v>21</v>
      </c>
      <c r="K31" s="2" t="s">
        <v>187</v>
      </c>
      <c r="L31" s="2" t="s">
        <v>1</v>
      </c>
      <c r="M31" t="s">
        <v>21</v>
      </c>
      <c r="N31" s="2" t="s">
        <v>187</v>
      </c>
      <c r="O31" t="s">
        <v>1</v>
      </c>
      <c r="P31" t="s">
        <v>21</v>
      </c>
      <c r="Q31" s="2" t="s">
        <v>187</v>
      </c>
      <c r="R31" s="2" t="s">
        <v>1</v>
      </c>
      <c r="S31" t="s">
        <v>18</v>
      </c>
      <c r="T31" t="s">
        <v>194</v>
      </c>
      <c r="U31" t="s">
        <v>1</v>
      </c>
      <c r="V31" t="s">
        <v>18</v>
      </c>
      <c r="W31" t="s">
        <v>194</v>
      </c>
      <c r="X31" t="s">
        <v>1</v>
      </c>
      <c r="Y31">
        <f t="shared" si="0"/>
        <v>758</v>
      </c>
    </row>
    <row r="32" spans="1:25" ht="194.25" customHeight="1" x14ac:dyDescent="0.25">
      <c r="A32" t="s">
        <v>183</v>
      </c>
      <c r="B32" t="s">
        <v>184</v>
      </c>
      <c r="C32" s="2" t="s">
        <v>1139</v>
      </c>
      <c r="D32" s="2" t="s">
        <v>1140</v>
      </c>
      <c r="E32" s="2" t="s">
        <v>224</v>
      </c>
      <c r="F32" s="2" t="s">
        <v>225</v>
      </c>
      <c r="G32" t="s">
        <v>23</v>
      </c>
      <c r="H32" s="2" t="s">
        <v>187</v>
      </c>
      <c r="I32" s="2" t="s">
        <v>1</v>
      </c>
      <c r="J32" t="s">
        <v>21</v>
      </c>
      <c r="K32" s="2" t="s">
        <v>194</v>
      </c>
      <c r="L32" s="2" t="s">
        <v>1</v>
      </c>
      <c r="M32" t="s">
        <v>23</v>
      </c>
      <c r="N32" s="2" t="s">
        <v>187</v>
      </c>
      <c r="O32" t="s">
        <v>1</v>
      </c>
      <c r="P32" t="s">
        <v>18</v>
      </c>
      <c r="Q32" s="2" t="s">
        <v>194</v>
      </c>
      <c r="R32" s="2" t="s">
        <v>1</v>
      </c>
      <c r="S32" t="s">
        <v>23</v>
      </c>
      <c r="T32" t="s">
        <v>187</v>
      </c>
      <c r="U32" t="s">
        <v>1</v>
      </c>
      <c r="V32" t="s">
        <v>18</v>
      </c>
      <c r="W32" t="s">
        <v>194</v>
      </c>
      <c r="X32" t="s">
        <v>1</v>
      </c>
      <c r="Y32">
        <f t="shared" si="0"/>
        <v>784</v>
      </c>
    </row>
    <row r="33" spans="1:25" ht="194.25" customHeight="1" x14ac:dyDescent="0.25">
      <c r="A33" t="s">
        <v>183</v>
      </c>
      <c r="B33" t="s">
        <v>184</v>
      </c>
      <c r="C33" s="2" t="s">
        <v>1139</v>
      </c>
      <c r="D33" s="2" t="s">
        <v>1140</v>
      </c>
      <c r="E33" s="2" t="s">
        <v>226</v>
      </c>
      <c r="F33" s="2" t="s">
        <v>225</v>
      </c>
      <c r="G33" t="s">
        <v>18</v>
      </c>
      <c r="H33" s="2" t="s">
        <v>194</v>
      </c>
      <c r="I33" s="2" t="s">
        <v>1</v>
      </c>
      <c r="J33" t="s">
        <v>1158</v>
      </c>
      <c r="K33" s="2" t="s">
        <v>187</v>
      </c>
      <c r="L33" s="2" t="s">
        <v>2</v>
      </c>
      <c r="M33" t="s">
        <v>18</v>
      </c>
      <c r="N33" s="2" t="s">
        <v>194</v>
      </c>
      <c r="O33" t="s">
        <v>1</v>
      </c>
      <c r="P33" t="s">
        <v>18</v>
      </c>
      <c r="Q33" s="2" t="s">
        <v>194</v>
      </c>
      <c r="R33" s="2" t="s">
        <v>1</v>
      </c>
      <c r="S33" t="s">
        <v>23</v>
      </c>
      <c r="T33" t="s">
        <v>187</v>
      </c>
      <c r="U33" t="s">
        <v>1</v>
      </c>
      <c r="V33" t="s">
        <v>18</v>
      </c>
      <c r="W33" t="s">
        <v>194</v>
      </c>
      <c r="X33" t="s">
        <v>1</v>
      </c>
      <c r="Y33">
        <f t="shared" si="0"/>
        <v>777</v>
      </c>
    </row>
    <row r="34" spans="1:25" ht="194.25" customHeight="1" x14ac:dyDescent="0.25">
      <c r="A34" t="s">
        <v>183</v>
      </c>
      <c r="B34" t="s">
        <v>184</v>
      </c>
      <c r="C34" s="2" t="s">
        <v>1139</v>
      </c>
      <c r="D34" s="2" t="s">
        <v>1140</v>
      </c>
      <c r="E34" s="2" t="s">
        <v>227</v>
      </c>
      <c r="F34" s="2" t="s">
        <v>225</v>
      </c>
      <c r="G34" t="s">
        <v>18</v>
      </c>
      <c r="H34" s="2" t="s">
        <v>194</v>
      </c>
      <c r="I34" s="2" t="s">
        <v>1</v>
      </c>
      <c r="J34" t="s">
        <v>18</v>
      </c>
      <c r="K34" s="2" t="s">
        <v>194</v>
      </c>
      <c r="L34" s="2" t="s">
        <v>1</v>
      </c>
      <c r="M34" t="s">
        <v>23</v>
      </c>
      <c r="N34" s="2" t="s">
        <v>187</v>
      </c>
      <c r="O34" t="s">
        <v>1</v>
      </c>
      <c r="P34" t="s">
        <v>18</v>
      </c>
      <c r="Q34" s="2" t="s">
        <v>194</v>
      </c>
      <c r="R34" s="2" t="s">
        <v>1</v>
      </c>
      <c r="S34" t="s">
        <v>18</v>
      </c>
      <c r="T34" t="s">
        <v>194</v>
      </c>
      <c r="U34" t="s">
        <v>1</v>
      </c>
      <c r="V34" t="s">
        <v>18</v>
      </c>
      <c r="W34" t="s">
        <v>194</v>
      </c>
      <c r="X34" t="s">
        <v>1</v>
      </c>
      <c r="Y34">
        <f t="shared" si="0"/>
        <v>765</v>
      </c>
    </row>
    <row r="35" spans="1:25" ht="194.25" customHeight="1" x14ac:dyDescent="0.25">
      <c r="A35" t="s">
        <v>183</v>
      </c>
      <c r="B35" t="s">
        <v>184</v>
      </c>
      <c r="C35" s="2" t="s">
        <v>1139</v>
      </c>
      <c r="D35" s="2" t="s">
        <v>1140</v>
      </c>
      <c r="E35" s="2" t="s">
        <v>228</v>
      </c>
      <c r="F35" s="2" t="s">
        <v>225</v>
      </c>
      <c r="G35" t="s">
        <v>18</v>
      </c>
      <c r="H35" s="2" t="s">
        <v>194</v>
      </c>
      <c r="I35" s="2" t="s">
        <v>1</v>
      </c>
      <c r="J35" t="s">
        <v>1159</v>
      </c>
      <c r="K35" s="2" t="s">
        <v>194</v>
      </c>
      <c r="L35" s="2" t="s">
        <v>2</v>
      </c>
      <c r="M35" t="s">
        <v>18</v>
      </c>
      <c r="N35" s="2" t="s">
        <v>194</v>
      </c>
      <c r="O35" t="s">
        <v>1</v>
      </c>
      <c r="P35" t="s">
        <v>18</v>
      </c>
      <c r="Q35" s="2" t="s">
        <v>194</v>
      </c>
      <c r="R35" s="2" t="s">
        <v>1</v>
      </c>
      <c r="S35" t="s">
        <v>18</v>
      </c>
      <c r="T35" t="s">
        <v>194</v>
      </c>
      <c r="U35" t="s">
        <v>1</v>
      </c>
      <c r="V35" t="s">
        <v>18</v>
      </c>
      <c r="W35" t="s">
        <v>194</v>
      </c>
      <c r="X35" t="s">
        <v>1</v>
      </c>
      <c r="Y35">
        <f t="shared" si="0"/>
        <v>766</v>
      </c>
    </row>
    <row r="36" spans="1:25" ht="194.25" customHeight="1" x14ac:dyDescent="0.25">
      <c r="A36" t="s">
        <v>183</v>
      </c>
      <c r="B36" t="s">
        <v>184</v>
      </c>
      <c r="C36" s="2" t="s">
        <v>1139</v>
      </c>
      <c r="D36" s="2" t="s">
        <v>1140</v>
      </c>
      <c r="E36" s="2" t="s">
        <v>229</v>
      </c>
      <c r="F36" s="2" t="s">
        <v>225</v>
      </c>
      <c r="G36" t="s">
        <v>18</v>
      </c>
      <c r="H36" s="2" t="s">
        <v>194</v>
      </c>
      <c r="I36" s="2" t="s">
        <v>1</v>
      </c>
      <c r="J36" t="s">
        <v>18</v>
      </c>
      <c r="K36" s="2" t="s">
        <v>194</v>
      </c>
      <c r="L36" s="2" t="s">
        <v>1</v>
      </c>
      <c r="M36" t="s">
        <v>23</v>
      </c>
      <c r="N36" s="2" t="s">
        <v>187</v>
      </c>
      <c r="O36" t="s">
        <v>1</v>
      </c>
      <c r="P36" t="s">
        <v>18</v>
      </c>
      <c r="Q36" s="2" t="s">
        <v>194</v>
      </c>
      <c r="R36" s="2" t="s">
        <v>1</v>
      </c>
      <c r="S36" t="s">
        <v>18</v>
      </c>
      <c r="T36" t="s">
        <v>194</v>
      </c>
      <c r="U36" t="s">
        <v>1</v>
      </c>
      <c r="V36" t="s">
        <v>18</v>
      </c>
      <c r="W36" t="s">
        <v>194</v>
      </c>
      <c r="X36" t="s">
        <v>1</v>
      </c>
      <c r="Y36">
        <f t="shared" si="0"/>
        <v>768</v>
      </c>
    </row>
    <row r="37" spans="1:25" ht="194.25" customHeight="1" x14ac:dyDescent="0.25">
      <c r="A37" t="s">
        <v>183</v>
      </c>
      <c r="B37" t="s">
        <v>184</v>
      </c>
      <c r="C37" s="2" t="s">
        <v>1139</v>
      </c>
      <c r="D37" s="2" t="s">
        <v>1140</v>
      </c>
      <c r="E37" s="2" t="s">
        <v>230</v>
      </c>
      <c r="F37" s="2" t="s">
        <v>231</v>
      </c>
      <c r="G37" t="s">
        <v>18</v>
      </c>
      <c r="H37" s="2" t="s">
        <v>194</v>
      </c>
      <c r="I37" s="2" t="s">
        <v>1</v>
      </c>
      <c r="J37" t="s">
        <v>21</v>
      </c>
      <c r="K37" s="2" t="s">
        <v>194</v>
      </c>
      <c r="L37" s="2" t="s">
        <v>1</v>
      </c>
      <c r="M37" t="s">
        <v>23</v>
      </c>
      <c r="N37" s="2" t="s">
        <v>187</v>
      </c>
      <c r="O37" t="s">
        <v>1</v>
      </c>
      <c r="P37" t="s">
        <v>18</v>
      </c>
      <c r="Q37" s="2" t="s">
        <v>194</v>
      </c>
      <c r="R37" s="2" t="s">
        <v>1</v>
      </c>
      <c r="S37" t="s">
        <v>18</v>
      </c>
      <c r="T37" t="s">
        <v>194</v>
      </c>
      <c r="U37" t="s">
        <v>1</v>
      </c>
      <c r="V37" t="s">
        <v>18</v>
      </c>
      <c r="W37" t="s">
        <v>194</v>
      </c>
      <c r="X37" t="s">
        <v>1</v>
      </c>
      <c r="Y37">
        <f t="shared" si="0"/>
        <v>765</v>
      </c>
    </row>
    <row r="38" spans="1:25" ht="194.25" customHeight="1" x14ac:dyDescent="0.25">
      <c r="A38" t="s">
        <v>183</v>
      </c>
      <c r="B38" t="s">
        <v>184</v>
      </c>
      <c r="C38" s="2" t="s">
        <v>1139</v>
      </c>
      <c r="D38" s="2" t="s">
        <v>1140</v>
      </c>
      <c r="E38" s="2" t="s">
        <v>232</v>
      </c>
      <c r="F38" s="2" t="s">
        <v>231</v>
      </c>
      <c r="G38" t="s">
        <v>18</v>
      </c>
      <c r="H38" s="2" t="s">
        <v>194</v>
      </c>
      <c r="I38" s="2" t="s">
        <v>1</v>
      </c>
      <c r="J38" t="s">
        <v>21</v>
      </c>
      <c r="K38" s="2" t="s">
        <v>194</v>
      </c>
      <c r="L38" s="2" t="s">
        <v>1</v>
      </c>
      <c r="M38" t="s">
        <v>18</v>
      </c>
      <c r="N38" s="2" t="s">
        <v>194</v>
      </c>
      <c r="O38" t="s">
        <v>1</v>
      </c>
      <c r="P38" t="s">
        <v>21</v>
      </c>
      <c r="Q38" s="2" t="s">
        <v>194</v>
      </c>
      <c r="R38" s="2" t="s">
        <v>1</v>
      </c>
      <c r="S38" t="s">
        <v>23</v>
      </c>
      <c r="T38" t="s">
        <v>187</v>
      </c>
      <c r="U38" t="s">
        <v>1</v>
      </c>
      <c r="V38" t="s">
        <v>18</v>
      </c>
      <c r="W38" t="s">
        <v>194</v>
      </c>
      <c r="X38" t="s">
        <v>1</v>
      </c>
      <c r="Y38">
        <f t="shared" si="0"/>
        <v>766</v>
      </c>
    </row>
    <row r="39" spans="1:25" ht="194.25" customHeight="1" x14ac:dyDescent="0.25">
      <c r="A39" t="s">
        <v>183</v>
      </c>
      <c r="B39" t="s">
        <v>184</v>
      </c>
      <c r="C39" s="2" t="s">
        <v>1139</v>
      </c>
      <c r="D39" s="2" t="s">
        <v>1140</v>
      </c>
      <c r="E39" s="2" t="s">
        <v>233</v>
      </c>
      <c r="F39" s="2" t="s">
        <v>231</v>
      </c>
      <c r="G39" t="s">
        <v>18</v>
      </c>
      <c r="H39" s="2" t="s">
        <v>194</v>
      </c>
      <c r="I39" s="2" t="s">
        <v>1</v>
      </c>
      <c r="J39" t="s">
        <v>21</v>
      </c>
      <c r="K39" s="2" t="s">
        <v>194</v>
      </c>
      <c r="L39" s="2" t="s">
        <v>1</v>
      </c>
      <c r="M39" t="s">
        <v>23</v>
      </c>
      <c r="N39" s="2" t="s">
        <v>187</v>
      </c>
      <c r="O39" t="s">
        <v>1</v>
      </c>
      <c r="P39" t="s">
        <v>21</v>
      </c>
      <c r="Q39" s="2" t="s">
        <v>194</v>
      </c>
      <c r="R39" s="2" t="s">
        <v>1</v>
      </c>
      <c r="S39" t="s">
        <v>18</v>
      </c>
      <c r="T39" t="s">
        <v>194</v>
      </c>
      <c r="U39" t="s">
        <v>1</v>
      </c>
      <c r="V39" t="s">
        <v>18</v>
      </c>
      <c r="W39" t="s">
        <v>194</v>
      </c>
      <c r="X39" t="s">
        <v>1</v>
      </c>
      <c r="Y39">
        <f t="shared" si="0"/>
        <v>761</v>
      </c>
    </row>
    <row r="40" spans="1:25" ht="194.25" customHeight="1" x14ac:dyDescent="0.25">
      <c r="A40" t="s">
        <v>183</v>
      </c>
      <c r="B40" t="s">
        <v>184</v>
      </c>
      <c r="C40" s="2" t="s">
        <v>1139</v>
      </c>
      <c r="D40" s="2" t="s">
        <v>1140</v>
      </c>
      <c r="E40" s="2" t="s">
        <v>234</v>
      </c>
      <c r="F40" s="2" t="s">
        <v>231</v>
      </c>
      <c r="G40" t="s">
        <v>18</v>
      </c>
      <c r="H40" s="2" t="s">
        <v>194</v>
      </c>
      <c r="I40" s="2" t="s">
        <v>1</v>
      </c>
      <c r="J40" t="s">
        <v>21</v>
      </c>
      <c r="K40" s="2" t="s">
        <v>194</v>
      </c>
      <c r="L40" s="2" t="s">
        <v>1</v>
      </c>
      <c r="M40" t="s">
        <v>23</v>
      </c>
      <c r="N40" s="2" t="s">
        <v>187</v>
      </c>
      <c r="O40" t="s">
        <v>1</v>
      </c>
      <c r="P40" t="s">
        <v>18</v>
      </c>
      <c r="Q40" s="2" t="s">
        <v>194</v>
      </c>
      <c r="R40" s="2" t="s">
        <v>1</v>
      </c>
      <c r="S40" t="s">
        <v>23</v>
      </c>
      <c r="T40" t="s">
        <v>187</v>
      </c>
      <c r="U40" t="s">
        <v>1</v>
      </c>
      <c r="V40" t="s">
        <v>18</v>
      </c>
      <c r="W40" t="s">
        <v>194</v>
      </c>
      <c r="X40" t="s">
        <v>1</v>
      </c>
      <c r="Y40">
        <f t="shared" si="0"/>
        <v>765</v>
      </c>
    </row>
    <row r="41" spans="1:25" ht="194.25" customHeight="1" x14ac:dyDescent="0.25">
      <c r="A41" t="s">
        <v>183</v>
      </c>
      <c r="B41" t="s">
        <v>184</v>
      </c>
      <c r="C41" s="2" t="s">
        <v>1139</v>
      </c>
      <c r="D41" s="2" t="s">
        <v>1140</v>
      </c>
      <c r="E41" s="2" t="s">
        <v>235</v>
      </c>
      <c r="F41" s="2" t="s">
        <v>231</v>
      </c>
      <c r="G41" t="s">
        <v>23</v>
      </c>
      <c r="H41" s="2" t="s">
        <v>187</v>
      </c>
      <c r="I41" s="2" t="s">
        <v>1</v>
      </c>
      <c r="J41" t="s">
        <v>21</v>
      </c>
      <c r="K41" s="2" t="s">
        <v>194</v>
      </c>
      <c r="L41" s="2" t="s">
        <v>1</v>
      </c>
      <c r="M41" t="s">
        <v>23</v>
      </c>
      <c r="N41" s="2" t="s">
        <v>187</v>
      </c>
      <c r="O41" t="s">
        <v>1</v>
      </c>
      <c r="P41" t="s">
        <v>21</v>
      </c>
      <c r="Q41" s="2" t="s">
        <v>194</v>
      </c>
      <c r="R41" s="2" t="s">
        <v>1</v>
      </c>
      <c r="S41" t="s">
        <v>23</v>
      </c>
      <c r="T41" t="s">
        <v>187</v>
      </c>
      <c r="U41" t="s">
        <v>1</v>
      </c>
      <c r="V41" t="s">
        <v>18</v>
      </c>
      <c r="W41" t="s">
        <v>194</v>
      </c>
      <c r="X41" t="s">
        <v>1</v>
      </c>
      <c r="Y41">
        <f t="shared" si="0"/>
        <v>768</v>
      </c>
    </row>
    <row r="42" spans="1:25" ht="194.25" customHeight="1" x14ac:dyDescent="0.25">
      <c r="A42" t="s">
        <v>183</v>
      </c>
      <c r="B42" t="s">
        <v>184</v>
      </c>
      <c r="C42" s="2" t="s">
        <v>1139</v>
      </c>
      <c r="D42" s="2" t="s">
        <v>1140</v>
      </c>
      <c r="E42" s="2" t="s">
        <v>236</v>
      </c>
      <c r="F42" s="2" t="s">
        <v>237</v>
      </c>
      <c r="G42" t="s">
        <v>23</v>
      </c>
      <c r="H42" s="2" t="s">
        <v>194</v>
      </c>
      <c r="I42" s="2" t="s">
        <v>1</v>
      </c>
      <c r="J42" t="s">
        <v>23</v>
      </c>
      <c r="K42" s="2" t="s">
        <v>194</v>
      </c>
      <c r="L42" s="2" t="s">
        <v>1</v>
      </c>
      <c r="M42" t="s">
        <v>23</v>
      </c>
      <c r="N42" s="2" t="s">
        <v>194</v>
      </c>
      <c r="O42" t="s">
        <v>1</v>
      </c>
      <c r="P42" t="s">
        <v>18</v>
      </c>
      <c r="Q42" s="2" t="s">
        <v>187</v>
      </c>
      <c r="R42" s="2" t="s">
        <v>1</v>
      </c>
      <c r="S42" t="s">
        <v>23</v>
      </c>
      <c r="T42" t="s">
        <v>194</v>
      </c>
      <c r="U42" t="s">
        <v>1</v>
      </c>
      <c r="V42" t="s">
        <v>18</v>
      </c>
      <c r="W42" t="s">
        <v>187</v>
      </c>
      <c r="X42" t="s">
        <v>1</v>
      </c>
      <c r="Y42">
        <f t="shared" si="0"/>
        <v>763</v>
      </c>
    </row>
    <row r="43" spans="1:25" ht="194.25" customHeight="1" x14ac:dyDescent="0.25">
      <c r="A43" t="s">
        <v>183</v>
      </c>
      <c r="B43" t="s">
        <v>184</v>
      </c>
      <c r="C43" s="2" t="s">
        <v>1139</v>
      </c>
      <c r="D43" s="2" t="s">
        <v>1140</v>
      </c>
      <c r="E43" s="2" t="s">
        <v>238</v>
      </c>
      <c r="F43" s="2" t="s">
        <v>237</v>
      </c>
      <c r="G43" t="s">
        <v>18</v>
      </c>
      <c r="H43" s="2" t="s">
        <v>187</v>
      </c>
      <c r="I43" s="2" t="s">
        <v>1</v>
      </c>
      <c r="J43" t="s">
        <v>18</v>
      </c>
      <c r="K43" s="2" t="s">
        <v>187</v>
      </c>
      <c r="L43" s="2" t="s">
        <v>1</v>
      </c>
      <c r="M43" t="s">
        <v>18</v>
      </c>
      <c r="N43" s="2" t="s">
        <v>187</v>
      </c>
      <c r="O43" t="s">
        <v>1</v>
      </c>
      <c r="P43" t="s">
        <v>18</v>
      </c>
      <c r="Q43" s="2" t="s">
        <v>187</v>
      </c>
      <c r="R43" s="2" t="s">
        <v>1</v>
      </c>
      <c r="S43" t="s">
        <v>18</v>
      </c>
      <c r="T43" t="s">
        <v>187</v>
      </c>
      <c r="U43" t="s">
        <v>1</v>
      </c>
      <c r="V43" t="s">
        <v>18</v>
      </c>
      <c r="W43" t="s">
        <v>187</v>
      </c>
      <c r="X43" t="s">
        <v>1</v>
      </c>
      <c r="Y43">
        <f t="shared" si="0"/>
        <v>757</v>
      </c>
    </row>
    <row r="44" spans="1:25" ht="194.25" customHeight="1" x14ac:dyDescent="0.25">
      <c r="A44" t="s">
        <v>183</v>
      </c>
      <c r="B44" t="s">
        <v>184</v>
      </c>
      <c r="C44" s="2" t="s">
        <v>1139</v>
      </c>
      <c r="D44" s="2" t="s">
        <v>1140</v>
      </c>
      <c r="E44" s="2" t="s">
        <v>239</v>
      </c>
      <c r="F44" s="2" t="s">
        <v>237</v>
      </c>
      <c r="G44" t="s">
        <v>18</v>
      </c>
      <c r="H44" s="2" t="s">
        <v>187</v>
      </c>
      <c r="I44" s="2" t="s">
        <v>1</v>
      </c>
      <c r="J44" t="s">
        <v>18</v>
      </c>
      <c r="K44" s="2" t="s">
        <v>187</v>
      </c>
      <c r="L44" s="2" t="s">
        <v>1</v>
      </c>
      <c r="M44" t="s">
        <v>18</v>
      </c>
      <c r="N44" s="2" t="s">
        <v>187</v>
      </c>
      <c r="O44" t="s">
        <v>1</v>
      </c>
      <c r="P44" t="s">
        <v>18</v>
      </c>
      <c r="Q44" s="2" t="s">
        <v>187</v>
      </c>
      <c r="R44" s="2" t="s">
        <v>1</v>
      </c>
      <c r="S44" t="s">
        <v>18</v>
      </c>
      <c r="T44" t="s">
        <v>187</v>
      </c>
      <c r="U44" t="s">
        <v>1</v>
      </c>
      <c r="V44" t="s">
        <v>18</v>
      </c>
      <c r="W44" t="s">
        <v>187</v>
      </c>
      <c r="X44" t="s">
        <v>1</v>
      </c>
      <c r="Y44">
        <f t="shared" si="0"/>
        <v>760</v>
      </c>
    </row>
    <row r="45" spans="1:25" ht="194.25" customHeight="1" x14ac:dyDescent="0.25">
      <c r="A45" t="s">
        <v>183</v>
      </c>
      <c r="B45" t="s">
        <v>184</v>
      </c>
      <c r="C45" s="2" t="s">
        <v>1139</v>
      </c>
      <c r="D45" s="2" t="s">
        <v>1140</v>
      </c>
      <c r="E45" s="2" t="s">
        <v>240</v>
      </c>
      <c r="F45" s="2" t="s">
        <v>237</v>
      </c>
      <c r="G45" t="s">
        <v>18</v>
      </c>
      <c r="H45" s="2" t="s">
        <v>187</v>
      </c>
      <c r="I45" s="2" t="s">
        <v>1</v>
      </c>
      <c r="J45" t="s">
        <v>1160</v>
      </c>
      <c r="K45" s="2" t="s">
        <v>187</v>
      </c>
      <c r="L45" s="2" t="s">
        <v>1</v>
      </c>
      <c r="M45" t="s">
        <v>18</v>
      </c>
      <c r="N45" s="2" t="s">
        <v>187</v>
      </c>
      <c r="O45" t="s">
        <v>1</v>
      </c>
      <c r="P45" t="s">
        <v>18</v>
      </c>
      <c r="Q45" s="2" t="s">
        <v>187</v>
      </c>
      <c r="R45" s="2" t="s">
        <v>1</v>
      </c>
      <c r="S45" t="s">
        <v>18</v>
      </c>
      <c r="T45" t="s">
        <v>187</v>
      </c>
      <c r="U45" t="s">
        <v>1</v>
      </c>
      <c r="V45" t="s">
        <v>18</v>
      </c>
      <c r="W45" t="s">
        <v>187</v>
      </c>
      <c r="X45" t="s">
        <v>1</v>
      </c>
      <c r="Y45">
        <f t="shared" si="0"/>
        <v>745</v>
      </c>
    </row>
    <row r="46" spans="1:25" ht="194.25" customHeight="1" x14ac:dyDescent="0.25">
      <c r="A46" t="s">
        <v>183</v>
      </c>
      <c r="B46" t="s">
        <v>184</v>
      </c>
      <c r="C46" s="2" t="s">
        <v>1139</v>
      </c>
      <c r="D46" s="2" t="s">
        <v>1140</v>
      </c>
      <c r="E46" s="2" t="s">
        <v>241</v>
      </c>
      <c r="F46" s="2" t="s">
        <v>290</v>
      </c>
      <c r="G46" t="s">
        <v>23</v>
      </c>
      <c r="H46" s="2" t="s">
        <v>194</v>
      </c>
      <c r="I46" s="2" t="s">
        <v>1</v>
      </c>
      <c r="J46" t="s">
        <v>21</v>
      </c>
      <c r="K46" s="2" t="s">
        <v>194</v>
      </c>
      <c r="L46" s="2" t="s">
        <v>1</v>
      </c>
      <c r="M46" t="s">
        <v>21</v>
      </c>
      <c r="N46" s="2" t="s">
        <v>194</v>
      </c>
      <c r="O46" t="s">
        <v>1</v>
      </c>
      <c r="P46" t="s">
        <v>18</v>
      </c>
      <c r="Q46" s="2" t="s">
        <v>187</v>
      </c>
      <c r="R46" s="2" t="s">
        <v>1</v>
      </c>
      <c r="S46" t="s">
        <v>23</v>
      </c>
      <c r="T46" t="s">
        <v>194</v>
      </c>
      <c r="U46" t="s">
        <v>1</v>
      </c>
      <c r="V46" t="s">
        <v>21</v>
      </c>
      <c r="W46" t="s">
        <v>194</v>
      </c>
      <c r="X46" t="s">
        <v>1</v>
      </c>
      <c r="Y46">
        <f t="shared" si="0"/>
        <v>772</v>
      </c>
    </row>
    <row r="47" spans="1:25" ht="194.25" customHeight="1" x14ac:dyDescent="0.25">
      <c r="A47" t="s">
        <v>183</v>
      </c>
      <c r="B47" t="s">
        <v>184</v>
      </c>
      <c r="C47" s="2" t="s">
        <v>1139</v>
      </c>
      <c r="D47" s="2" t="s">
        <v>1140</v>
      </c>
      <c r="E47" s="2" t="s">
        <v>242</v>
      </c>
      <c r="F47" s="2" t="s">
        <v>243</v>
      </c>
      <c r="G47" t="s">
        <v>23</v>
      </c>
      <c r="H47" s="2" t="s">
        <v>187</v>
      </c>
      <c r="I47" s="2" t="s">
        <v>1</v>
      </c>
      <c r="J47" t="s">
        <v>1161</v>
      </c>
      <c r="K47" s="2" t="s">
        <v>187</v>
      </c>
      <c r="L47" s="2" t="s">
        <v>2</v>
      </c>
      <c r="M47" t="s">
        <v>23</v>
      </c>
      <c r="N47" s="2" t="s">
        <v>187</v>
      </c>
      <c r="O47" t="s">
        <v>1</v>
      </c>
      <c r="P47" t="s">
        <v>21</v>
      </c>
      <c r="Q47" s="2" t="s">
        <v>194</v>
      </c>
      <c r="R47" s="2" t="s">
        <v>1</v>
      </c>
      <c r="S47" t="s">
        <v>21</v>
      </c>
      <c r="T47" t="s">
        <v>194</v>
      </c>
      <c r="U47" t="s">
        <v>1</v>
      </c>
      <c r="V47" t="s">
        <v>21</v>
      </c>
      <c r="W47" t="s">
        <v>194</v>
      </c>
      <c r="X47" t="s">
        <v>1</v>
      </c>
      <c r="Y47">
        <f t="shared" si="0"/>
        <v>780</v>
      </c>
    </row>
    <row r="48" spans="1:25" ht="194.25" customHeight="1" x14ac:dyDescent="0.25">
      <c r="A48" t="s">
        <v>183</v>
      </c>
      <c r="B48" t="s">
        <v>184</v>
      </c>
      <c r="C48" s="2" t="s">
        <v>1139</v>
      </c>
      <c r="D48" s="2" t="s">
        <v>1140</v>
      </c>
      <c r="E48" s="2" t="s">
        <v>244</v>
      </c>
      <c r="F48" s="2" t="s">
        <v>243</v>
      </c>
      <c r="G48" t="s">
        <v>23</v>
      </c>
      <c r="H48" s="2" t="s">
        <v>187</v>
      </c>
      <c r="I48" s="2" t="s">
        <v>1</v>
      </c>
      <c r="J48" t="s">
        <v>23</v>
      </c>
      <c r="K48" s="2" t="s">
        <v>187</v>
      </c>
      <c r="L48" s="2" t="s">
        <v>1</v>
      </c>
      <c r="M48" t="s">
        <v>23</v>
      </c>
      <c r="N48" s="2" t="s">
        <v>187</v>
      </c>
      <c r="O48" t="s">
        <v>1</v>
      </c>
      <c r="P48" t="s">
        <v>23</v>
      </c>
      <c r="Q48" s="2" t="s">
        <v>187</v>
      </c>
      <c r="R48" s="2" t="s">
        <v>1</v>
      </c>
      <c r="S48" t="s">
        <v>23</v>
      </c>
      <c r="T48" t="s">
        <v>187</v>
      </c>
      <c r="U48" t="s">
        <v>1</v>
      </c>
      <c r="V48" t="s">
        <v>23</v>
      </c>
      <c r="W48" t="s">
        <v>187</v>
      </c>
      <c r="X48" t="s">
        <v>1</v>
      </c>
      <c r="Y48">
        <f t="shared" si="0"/>
        <v>778</v>
      </c>
    </row>
    <row r="49" spans="1:25" ht="194.25" customHeight="1" x14ac:dyDescent="0.25">
      <c r="A49" t="s">
        <v>183</v>
      </c>
      <c r="B49" t="s">
        <v>184</v>
      </c>
      <c r="C49" s="2" t="s">
        <v>1139</v>
      </c>
      <c r="D49" s="2" t="s">
        <v>1140</v>
      </c>
      <c r="E49" s="2" t="s">
        <v>245</v>
      </c>
      <c r="F49" s="2" t="s">
        <v>243</v>
      </c>
      <c r="G49" t="s">
        <v>23</v>
      </c>
      <c r="H49" s="2" t="s">
        <v>187</v>
      </c>
      <c r="I49" s="2" t="s">
        <v>1</v>
      </c>
      <c r="J49" t="s">
        <v>21</v>
      </c>
      <c r="K49" s="2" t="s">
        <v>194</v>
      </c>
      <c r="L49" s="2" t="s">
        <v>1</v>
      </c>
      <c r="M49" t="s">
        <v>23</v>
      </c>
      <c r="N49" s="2" t="s">
        <v>187</v>
      </c>
      <c r="O49" t="s">
        <v>1</v>
      </c>
      <c r="P49" t="s">
        <v>21</v>
      </c>
      <c r="Q49" s="2" t="s">
        <v>194</v>
      </c>
      <c r="R49" s="2" t="s">
        <v>1</v>
      </c>
      <c r="S49" t="s">
        <v>23</v>
      </c>
      <c r="T49" t="s">
        <v>187</v>
      </c>
      <c r="U49" t="s">
        <v>1</v>
      </c>
      <c r="V49" t="s">
        <v>18</v>
      </c>
      <c r="W49" t="s">
        <v>194</v>
      </c>
      <c r="X49" t="s">
        <v>1</v>
      </c>
      <c r="Y49">
        <f t="shared" si="0"/>
        <v>774</v>
      </c>
    </row>
    <row r="50" spans="1:25" ht="194.25" customHeight="1" x14ac:dyDescent="0.25">
      <c r="A50" t="s">
        <v>183</v>
      </c>
      <c r="B50" t="s">
        <v>184</v>
      </c>
      <c r="C50" s="2" t="s">
        <v>1139</v>
      </c>
      <c r="D50" s="2" t="s">
        <v>1140</v>
      </c>
      <c r="E50" s="2" t="s">
        <v>246</v>
      </c>
      <c r="F50" s="2" t="s">
        <v>243</v>
      </c>
      <c r="G50" t="s">
        <v>23</v>
      </c>
      <c r="H50" s="2" t="s">
        <v>187</v>
      </c>
      <c r="I50" s="2" t="s">
        <v>1</v>
      </c>
      <c r="J50" t="s">
        <v>21</v>
      </c>
      <c r="K50" s="2" t="s">
        <v>194</v>
      </c>
      <c r="L50" s="2" t="s">
        <v>1</v>
      </c>
      <c r="M50" t="s">
        <v>23</v>
      </c>
      <c r="N50" s="2" t="s">
        <v>187</v>
      </c>
      <c r="O50" t="s">
        <v>1</v>
      </c>
      <c r="P50" t="s">
        <v>21</v>
      </c>
      <c r="Q50" s="2" t="s">
        <v>194</v>
      </c>
      <c r="R50" s="2" t="s">
        <v>1</v>
      </c>
      <c r="S50" t="s">
        <v>21</v>
      </c>
      <c r="T50" t="s">
        <v>194</v>
      </c>
      <c r="U50" t="s">
        <v>1</v>
      </c>
      <c r="V50" t="s">
        <v>18</v>
      </c>
      <c r="W50" t="s">
        <v>194</v>
      </c>
      <c r="X50" t="s">
        <v>1</v>
      </c>
      <c r="Y50">
        <f t="shared" si="0"/>
        <v>774</v>
      </c>
    </row>
    <row r="51" spans="1:25" ht="194.25" customHeight="1" x14ac:dyDescent="0.25">
      <c r="A51" t="s">
        <v>183</v>
      </c>
      <c r="B51" t="s">
        <v>184</v>
      </c>
      <c r="C51" s="2" t="s">
        <v>1139</v>
      </c>
      <c r="D51" s="2" t="s">
        <v>1140</v>
      </c>
      <c r="E51" s="2" t="s">
        <v>247</v>
      </c>
      <c r="F51" s="2" t="s">
        <v>243</v>
      </c>
      <c r="G51" t="s">
        <v>23</v>
      </c>
      <c r="H51" s="2" t="s">
        <v>187</v>
      </c>
      <c r="I51" s="2" t="s">
        <v>1</v>
      </c>
      <c r="J51" t="s">
        <v>23</v>
      </c>
      <c r="K51" s="2" t="s">
        <v>187</v>
      </c>
      <c r="L51" s="2" t="s">
        <v>1</v>
      </c>
      <c r="M51" t="s">
        <v>23</v>
      </c>
      <c r="N51" s="2" t="s">
        <v>187</v>
      </c>
      <c r="O51" t="s">
        <v>1</v>
      </c>
      <c r="P51" t="s">
        <v>23</v>
      </c>
      <c r="Q51" s="2" t="s">
        <v>187</v>
      </c>
      <c r="R51" s="2" t="s">
        <v>1</v>
      </c>
      <c r="S51" t="s">
        <v>23</v>
      </c>
      <c r="T51" t="s">
        <v>187</v>
      </c>
      <c r="U51" t="s">
        <v>1</v>
      </c>
      <c r="V51" t="s">
        <v>23</v>
      </c>
      <c r="W51" t="s">
        <v>187</v>
      </c>
      <c r="X51" t="s">
        <v>1</v>
      </c>
      <c r="Y51">
        <f t="shared" si="0"/>
        <v>779</v>
      </c>
    </row>
    <row r="52" spans="1:25" ht="194.25" customHeight="1" x14ac:dyDescent="0.25">
      <c r="A52" t="s">
        <v>183</v>
      </c>
      <c r="B52" t="s">
        <v>184</v>
      </c>
      <c r="C52" s="2" t="s">
        <v>1139</v>
      </c>
      <c r="D52" s="2" t="s">
        <v>1140</v>
      </c>
      <c r="E52" s="2" t="s">
        <v>248</v>
      </c>
      <c r="F52" s="2" t="s">
        <v>249</v>
      </c>
      <c r="G52" t="s">
        <v>23</v>
      </c>
      <c r="H52" s="2" t="s">
        <v>194</v>
      </c>
      <c r="I52" s="2" t="s">
        <v>1</v>
      </c>
      <c r="J52" t="s">
        <v>21</v>
      </c>
      <c r="K52" s="2" t="s">
        <v>187</v>
      </c>
      <c r="L52" s="2" t="s">
        <v>1</v>
      </c>
      <c r="M52" t="s">
        <v>21</v>
      </c>
      <c r="N52" s="2" t="s">
        <v>187</v>
      </c>
      <c r="O52" t="s">
        <v>1</v>
      </c>
      <c r="P52" t="s">
        <v>21</v>
      </c>
      <c r="Q52" s="2" t="s">
        <v>187</v>
      </c>
      <c r="R52" s="2" t="s">
        <v>1</v>
      </c>
      <c r="S52" t="s">
        <v>21</v>
      </c>
      <c r="T52" t="s">
        <v>187</v>
      </c>
      <c r="U52" t="s">
        <v>1</v>
      </c>
      <c r="V52" t="s">
        <v>18</v>
      </c>
      <c r="W52" t="s">
        <v>194</v>
      </c>
      <c r="X52" t="s">
        <v>1</v>
      </c>
      <c r="Y52">
        <f t="shared" si="0"/>
        <v>773</v>
      </c>
    </row>
    <row r="53" spans="1:25" ht="194.25" customHeight="1" x14ac:dyDescent="0.25">
      <c r="A53" t="s">
        <v>183</v>
      </c>
      <c r="B53" t="s">
        <v>184</v>
      </c>
      <c r="C53" s="2" t="s">
        <v>1139</v>
      </c>
      <c r="D53" s="2" t="s">
        <v>1140</v>
      </c>
      <c r="E53" s="2" t="s">
        <v>250</v>
      </c>
      <c r="F53" s="2" t="s">
        <v>249</v>
      </c>
      <c r="G53" t="s">
        <v>23</v>
      </c>
      <c r="H53" s="2" t="s">
        <v>194</v>
      </c>
      <c r="I53" s="2" t="s">
        <v>1</v>
      </c>
      <c r="J53" t="s">
        <v>21</v>
      </c>
      <c r="K53" s="2" t="s">
        <v>187</v>
      </c>
      <c r="L53" s="2" t="s">
        <v>1</v>
      </c>
      <c r="M53" t="s">
        <v>21</v>
      </c>
      <c r="N53" s="2" t="s">
        <v>187</v>
      </c>
      <c r="O53" t="s">
        <v>1</v>
      </c>
      <c r="P53" t="s">
        <v>21</v>
      </c>
      <c r="Q53" s="2" t="s">
        <v>187</v>
      </c>
      <c r="R53" s="2" t="s">
        <v>1</v>
      </c>
      <c r="S53" t="s">
        <v>21</v>
      </c>
      <c r="T53" t="s">
        <v>187</v>
      </c>
      <c r="U53" t="s">
        <v>1</v>
      </c>
      <c r="V53" t="s">
        <v>18</v>
      </c>
      <c r="W53" t="s">
        <v>194</v>
      </c>
      <c r="X53" t="s">
        <v>1</v>
      </c>
      <c r="Y53">
        <f t="shared" si="0"/>
        <v>762</v>
      </c>
    </row>
    <row r="54" spans="1:25" ht="194.25" customHeight="1" x14ac:dyDescent="0.25">
      <c r="A54" t="s">
        <v>183</v>
      </c>
      <c r="B54" t="s">
        <v>184</v>
      </c>
      <c r="C54" s="2" t="s">
        <v>1139</v>
      </c>
      <c r="D54" s="2" t="s">
        <v>1140</v>
      </c>
      <c r="E54" s="2" t="s">
        <v>251</v>
      </c>
      <c r="F54" s="2" t="s">
        <v>249</v>
      </c>
      <c r="G54" t="s">
        <v>23</v>
      </c>
      <c r="H54" s="2" t="s">
        <v>194</v>
      </c>
      <c r="I54" s="2" t="s">
        <v>1</v>
      </c>
      <c r="J54" t="s">
        <v>21</v>
      </c>
      <c r="K54" s="2" t="s">
        <v>187</v>
      </c>
      <c r="L54" s="2" t="s">
        <v>1</v>
      </c>
      <c r="M54" t="s">
        <v>21</v>
      </c>
      <c r="N54" s="2" t="s">
        <v>187</v>
      </c>
      <c r="O54" t="s">
        <v>1</v>
      </c>
      <c r="P54" t="s">
        <v>18</v>
      </c>
      <c r="Q54" s="2" t="s">
        <v>194</v>
      </c>
      <c r="R54" s="2" t="s">
        <v>1</v>
      </c>
      <c r="S54" t="s">
        <v>23</v>
      </c>
      <c r="T54" t="s">
        <v>194</v>
      </c>
      <c r="U54" t="s">
        <v>1</v>
      </c>
      <c r="V54" t="s">
        <v>18</v>
      </c>
      <c r="W54" t="s">
        <v>194</v>
      </c>
      <c r="X54" t="s">
        <v>1</v>
      </c>
      <c r="Y54">
        <f t="shared" si="0"/>
        <v>766</v>
      </c>
    </row>
    <row r="55" spans="1:25" ht="194.25" customHeight="1" x14ac:dyDescent="0.25">
      <c r="A55" t="s">
        <v>183</v>
      </c>
      <c r="B55" t="s">
        <v>184</v>
      </c>
      <c r="C55" s="2" t="s">
        <v>1139</v>
      </c>
      <c r="D55" s="2" t="s">
        <v>1140</v>
      </c>
      <c r="E55" s="2" t="s">
        <v>252</v>
      </c>
      <c r="F55" s="2" t="s">
        <v>249</v>
      </c>
      <c r="G55" t="s">
        <v>18</v>
      </c>
      <c r="H55" s="2" t="s">
        <v>194</v>
      </c>
      <c r="I55" s="2" t="s">
        <v>1</v>
      </c>
      <c r="J55" t="s">
        <v>23</v>
      </c>
      <c r="K55" s="2" t="s">
        <v>194</v>
      </c>
      <c r="L55" s="2" t="s">
        <v>1</v>
      </c>
      <c r="M55" t="s">
        <v>18</v>
      </c>
      <c r="N55" s="2" t="s">
        <v>194</v>
      </c>
      <c r="O55" t="s">
        <v>1</v>
      </c>
      <c r="P55" t="s">
        <v>18</v>
      </c>
      <c r="Q55" s="2" t="s">
        <v>194</v>
      </c>
      <c r="R55" s="2" t="s">
        <v>1</v>
      </c>
      <c r="S55" t="s">
        <v>18</v>
      </c>
      <c r="T55" t="s">
        <v>194</v>
      </c>
      <c r="U55" t="s">
        <v>1</v>
      </c>
      <c r="V55" t="s">
        <v>18</v>
      </c>
      <c r="W55" t="s">
        <v>194</v>
      </c>
      <c r="X55" t="s">
        <v>1</v>
      </c>
      <c r="Y55">
        <f t="shared" si="0"/>
        <v>768</v>
      </c>
    </row>
    <row r="56" spans="1:25" ht="194.25" customHeight="1" x14ac:dyDescent="0.25">
      <c r="A56" t="s">
        <v>183</v>
      </c>
      <c r="B56" t="s">
        <v>184</v>
      </c>
      <c r="C56" s="2" t="s">
        <v>1139</v>
      </c>
      <c r="D56" s="2" t="s">
        <v>1140</v>
      </c>
      <c r="E56" s="2" t="s">
        <v>253</v>
      </c>
      <c r="F56" s="2" t="s">
        <v>249</v>
      </c>
      <c r="G56" t="s">
        <v>21</v>
      </c>
      <c r="H56" s="2" t="s">
        <v>187</v>
      </c>
      <c r="I56" s="2" t="s">
        <v>1</v>
      </c>
      <c r="J56" t="s">
        <v>21</v>
      </c>
      <c r="K56" s="2" t="s">
        <v>187</v>
      </c>
      <c r="L56" s="2" t="s">
        <v>1</v>
      </c>
      <c r="M56" t="s">
        <v>21</v>
      </c>
      <c r="N56" s="2" t="s">
        <v>187</v>
      </c>
      <c r="O56" t="s">
        <v>1</v>
      </c>
      <c r="P56" t="s">
        <v>21</v>
      </c>
      <c r="Q56" s="2" t="s">
        <v>187</v>
      </c>
      <c r="R56" s="2" t="s">
        <v>1</v>
      </c>
      <c r="S56" t="s">
        <v>21</v>
      </c>
      <c r="T56" t="s">
        <v>187</v>
      </c>
      <c r="U56" t="s">
        <v>1</v>
      </c>
      <c r="V56" t="s">
        <v>18</v>
      </c>
      <c r="W56" t="s">
        <v>194</v>
      </c>
      <c r="X56" t="s">
        <v>1</v>
      </c>
      <c r="Y56">
        <f t="shared" si="0"/>
        <v>769</v>
      </c>
    </row>
    <row r="57" spans="1:25" ht="194.25" customHeight="1" x14ac:dyDescent="0.25">
      <c r="A57" t="s">
        <v>183</v>
      </c>
      <c r="B57" t="s">
        <v>184</v>
      </c>
      <c r="C57" s="2" t="s">
        <v>1139</v>
      </c>
      <c r="D57" s="2" t="s">
        <v>1140</v>
      </c>
      <c r="E57" s="2" t="s">
        <v>254</v>
      </c>
      <c r="F57" s="2" t="s">
        <v>72</v>
      </c>
      <c r="G57" t="s">
        <v>23</v>
      </c>
      <c r="H57" s="2" t="s">
        <v>194</v>
      </c>
      <c r="I57" s="2" t="s">
        <v>1</v>
      </c>
      <c r="J57" t="s">
        <v>21</v>
      </c>
      <c r="K57" s="2" t="s">
        <v>187</v>
      </c>
      <c r="L57" s="2" t="s">
        <v>1</v>
      </c>
      <c r="M57" t="s">
        <v>21</v>
      </c>
      <c r="N57" s="2" t="s">
        <v>187</v>
      </c>
      <c r="O57" t="s">
        <v>1</v>
      </c>
      <c r="P57" t="s">
        <v>21</v>
      </c>
      <c r="Q57" s="2" t="s">
        <v>187</v>
      </c>
      <c r="R57" s="2" t="s">
        <v>1</v>
      </c>
      <c r="S57" t="s">
        <v>21</v>
      </c>
      <c r="T57" t="s">
        <v>187</v>
      </c>
      <c r="U57" t="s">
        <v>1</v>
      </c>
      <c r="V57" t="s">
        <v>18</v>
      </c>
      <c r="W57" t="s">
        <v>194</v>
      </c>
      <c r="X57" t="s">
        <v>1</v>
      </c>
      <c r="Y57">
        <f t="shared" si="0"/>
        <v>756</v>
      </c>
    </row>
    <row r="58" spans="1:25" ht="194.25" customHeight="1" x14ac:dyDescent="0.25">
      <c r="A58" t="s">
        <v>183</v>
      </c>
      <c r="B58" t="s">
        <v>184</v>
      </c>
      <c r="C58" s="2" t="s">
        <v>1139</v>
      </c>
      <c r="D58" s="2" t="s">
        <v>1140</v>
      </c>
      <c r="E58" s="2" t="s">
        <v>255</v>
      </c>
      <c r="F58" s="2" t="s">
        <v>72</v>
      </c>
      <c r="G58" t="s">
        <v>23</v>
      </c>
      <c r="H58" s="2" t="s">
        <v>194</v>
      </c>
      <c r="I58" s="2" t="s">
        <v>1</v>
      </c>
      <c r="J58" t="s">
        <v>21</v>
      </c>
      <c r="K58" s="2" t="s">
        <v>187</v>
      </c>
      <c r="L58" s="2" t="s">
        <v>1</v>
      </c>
      <c r="M58" t="s">
        <v>21</v>
      </c>
      <c r="N58" s="2" t="s">
        <v>187</v>
      </c>
      <c r="O58" t="s">
        <v>1</v>
      </c>
      <c r="P58" t="s">
        <v>18</v>
      </c>
      <c r="Q58" s="2" t="s">
        <v>194</v>
      </c>
      <c r="R58" s="2" t="s">
        <v>1</v>
      </c>
      <c r="S58" t="s">
        <v>23</v>
      </c>
      <c r="T58" t="s">
        <v>194</v>
      </c>
      <c r="U58" t="s">
        <v>1</v>
      </c>
      <c r="V58" t="s">
        <v>18</v>
      </c>
      <c r="W58" t="s">
        <v>194</v>
      </c>
      <c r="X58" t="s">
        <v>1</v>
      </c>
      <c r="Y58">
        <f t="shared" si="0"/>
        <v>754</v>
      </c>
    </row>
    <row r="59" spans="1:25" ht="194.25" customHeight="1" x14ac:dyDescent="0.25">
      <c r="A59" t="s">
        <v>183</v>
      </c>
      <c r="B59" t="s">
        <v>184</v>
      </c>
      <c r="C59" s="2" t="s">
        <v>1139</v>
      </c>
      <c r="D59" s="2" t="s">
        <v>1140</v>
      </c>
      <c r="E59" s="2" t="s">
        <v>256</v>
      </c>
      <c r="F59" s="2" t="s">
        <v>72</v>
      </c>
      <c r="G59" t="s">
        <v>23</v>
      </c>
      <c r="H59" s="2" t="s">
        <v>194</v>
      </c>
      <c r="I59" s="2" t="s">
        <v>1</v>
      </c>
      <c r="J59" t="s">
        <v>18</v>
      </c>
      <c r="K59" s="2" t="s">
        <v>194</v>
      </c>
      <c r="L59" s="2" t="s">
        <v>1</v>
      </c>
      <c r="M59" t="s">
        <v>18</v>
      </c>
      <c r="N59" s="2" t="s">
        <v>194</v>
      </c>
      <c r="O59" t="s">
        <v>1</v>
      </c>
      <c r="P59" t="s">
        <v>21</v>
      </c>
      <c r="Q59" s="2" t="s">
        <v>187</v>
      </c>
      <c r="R59" s="2" t="s">
        <v>1</v>
      </c>
      <c r="S59" t="s">
        <v>23</v>
      </c>
      <c r="T59" t="s">
        <v>194</v>
      </c>
      <c r="U59" t="s">
        <v>1</v>
      </c>
      <c r="V59" t="s">
        <v>18</v>
      </c>
      <c r="W59" t="s">
        <v>194</v>
      </c>
      <c r="X59" t="s">
        <v>1</v>
      </c>
      <c r="Y59">
        <f t="shared" si="0"/>
        <v>739</v>
      </c>
    </row>
    <row r="60" spans="1:25" ht="194.25" customHeight="1" x14ac:dyDescent="0.25">
      <c r="A60" t="s">
        <v>183</v>
      </c>
      <c r="B60" t="s">
        <v>184</v>
      </c>
      <c r="C60" s="2" t="s">
        <v>1139</v>
      </c>
      <c r="D60" s="2" t="s">
        <v>1140</v>
      </c>
      <c r="E60" s="2" t="s">
        <v>257</v>
      </c>
      <c r="F60" s="2" t="s">
        <v>72</v>
      </c>
      <c r="G60" t="s">
        <v>23</v>
      </c>
      <c r="H60" s="2" t="s">
        <v>194</v>
      </c>
      <c r="I60" s="2" t="s">
        <v>1</v>
      </c>
      <c r="J60" t="s">
        <v>18</v>
      </c>
      <c r="K60" s="2" t="s">
        <v>194</v>
      </c>
      <c r="L60" s="2" t="s">
        <v>1</v>
      </c>
      <c r="M60" t="s">
        <v>21</v>
      </c>
      <c r="N60" s="2" t="s">
        <v>187</v>
      </c>
      <c r="O60" t="s">
        <v>1</v>
      </c>
      <c r="P60" t="s">
        <v>18</v>
      </c>
      <c r="Q60" s="2" t="s">
        <v>194</v>
      </c>
      <c r="R60" s="2" t="s">
        <v>1</v>
      </c>
      <c r="S60" t="s">
        <v>23</v>
      </c>
      <c r="T60" t="s">
        <v>194</v>
      </c>
      <c r="U60" t="s">
        <v>1</v>
      </c>
      <c r="V60" t="s">
        <v>18</v>
      </c>
      <c r="W60" t="s">
        <v>194</v>
      </c>
      <c r="X60" t="s">
        <v>1</v>
      </c>
      <c r="Y60">
        <f t="shared" si="0"/>
        <v>768</v>
      </c>
    </row>
    <row r="61" spans="1:25" ht="194.25" customHeight="1" x14ac:dyDescent="0.25">
      <c r="A61" t="s">
        <v>183</v>
      </c>
      <c r="B61" t="s">
        <v>184</v>
      </c>
      <c r="C61" s="2" t="s">
        <v>1139</v>
      </c>
      <c r="D61" s="2" t="s">
        <v>1140</v>
      </c>
      <c r="E61" s="2" t="s">
        <v>258</v>
      </c>
      <c r="F61" s="2" t="s">
        <v>72</v>
      </c>
      <c r="G61" t="s">
        <v>23</v>
      </c>
      <c r="H61" s="2" t="s">
        <v>194</v>
      </c>
      <c r="I61" s="2" t="s">
        <v>1</v>
      </c>
      <c r="J61" t="s">
        <v>18</v>
      </c>
      <c r="K61" s="2" t="s">
        <v>194</v>
      </c>
      <c r="L61" s="2" t="s">
        <v>1</v>
      </c>
      <c r="M61" t="s">
        <v>21</v>
      </c>
      <c r="N61" s="2" t="s">
        <v>187</v>
      </c>
      <c r="O61" t="s">
        <v>1</v>
      </c>
      <c r="P61" t="s">
        <v>21</v>
      </c>
      <c r="Q61" s="2" t="s">
        <v>187</v>
      </c>
      <c r="R61" s="2" t="s">
        <v>1</v>
      </c>
      <c r="S61" t="s">
        <v>21</v>
      </c>
      <c r="T61" t="s">
        <v>187</v>
      </c>
      <c r="U61" t="s">
        <v>1</v>
      </c>
      <c r="V61" t="s">
        <v>18</v>
      </c>
      <c r="W61" t="s">
        <v>194</v>
      </c>
      <c r="X61" t="s">
        <v>1</v>
      </c>
      <c r="Y61">
        <f t="shared" si="0"/>
        <v>765</v>
      </c>
    </row>
    <row r="62" spans="1:25" ht="194.25" customHeight="1" x14ac:dyDescent="0.25">
      <c r="A62" t="s">
        <v>183</v>
      </c>
      <c r="B62" t="s">
        <v>184</v>
      </c>
      <c r="C62" s="2" t="s">
        <v>1139</v>
      </c>
      <c r="D62" s="2" t="s">
        <v>1140</v>
      </c>
      <c r="E62" s="2" t="s">
        <v>259</v>
      </c>
      <c r="F62" s="2" t="s">
        <v>260</v>
      </c>
      <c r="G62" t="s">
        <v>21</v>
      </c>
      <c r="H62" s="2" t="s">
        <v>187</v>
      </c>
      <c r="I62" s="2" t="s">
        <v>1</v>
      </c>
      <c r="J62" t="s">
        <v>21</v>
      </c>
      <c r="K62" s="2" t="s">
        <v>187</v>
      </c>
      <c r="L62" s="2" t="s">
        <v>1</v>
      </c>
      <c r="M62" t="s">
        <v>21</v>
      </c>
      <c r="N62" s="2" t="s">
        <v>187</v>
      </c>
      <c r="O62" t="s">
        <v>1</v>
      </c>
      <c r="P62" t="s">
        <v>21</v>
      </c>
      <c r="Q62" s="2" t="s">
        <v>187</v>
      </c>
      <c r="R62" s="2" t="s">
        <v>1</v>
      </c>
      <c r="S62" t="s">
        <v>21</v>
      </c>
      <c r="T62" t="s">
        <v>187</v>
      </c>
      <c r="U62" t="s">
        <v>1</v>
      </c>
      <c r="V62" t="s">
        <v>18</v>
      </c>
      <c r="W62" t="s">
        <v>194</v>
      </c>
      <c r="X62" t="s">
        <v>1</v>
      </c>
      <c r="Y62">
        <f t="shared" si="0"/>
        <v>770</v>
      </c>
    </row>
    <row r="63" spans="1:25" ht="194.25" customHeight="1" x14ac:dyDescent="0.25">
      <c r="A63" t="s">
        <v>183</v>
      </c>
      <c r="B63" t="s">
        <v>184</v>
      </c>
      <c r="C63" s="2" t="s">
        <v>1139</v>
      </c>
      <c r="D63" s="2" t="s">
        <v>1140</v>
      </c>
      <c r="E63" s="2" t="s">
        <v>261</v>
      </c>
      <c r="F63" s="2" t="s">
        <v>260</v>
      </c>
      <c r="G63" t="s">
        <v>21</v>
      </c>
      <c r="H63" s="2" t="s">
        <v>187</v>
      </c>
      <c r="I63" s="2" t="s">
        <v>1</v>
      </c>
      <c r="J63" t="s">
        <v>21</v>
      </c>
      <c r="K63" s="2" t="s">
        <v>187</v>
      </c>
      <c r="L63" s="2" t="s">
        <v>1</v>
      </c>
      <c r="M63" t="s">
        <v>21</v>
      </c>
      <c r="N63" s="2" t="s">
        <v>187</v>
      </c>
      <c r="O63" t="s">
        <v>1</v>
      </c>
      <c r="P63" t="s">
        <v>21</v>
      </c>
      <c r="Q63" s="2" t="s">
        <v>187</v>
      </c>
      <c r="R63" s="2" t="s">
        <v>1</v>
      </c>
      <c r="S63" t="s">
        <v>21</v>
      </c>
      <c r="T63" t="s">
        <v>187</v>
      </c>
      <c r="U63" t="s">
        <v>1</v>
      </c>
      <c r="V63" t="s">
        <v>21</v>
      </c>
      <c r="W63" t="s">
        <v>187</v>
      </c>
      <c r="X63" t="s">
        <v>1</v>
      </c>
      <c r="Y63">
        <f t="shared" si="0"/>
        <v>772</v>
      </c>
    </row>
    <row r="64" spans="1:25" ht="194.25" customHeight="1" x14ac:dyDescent="0.25">
      <c r="A64" t="s">
        <v>183</v>
      </c>
      <c r="B64" t="s">
        <v>184</v>
      </c>
      <c r="C64" s="2" t="s">
        <v>1139</v>
      </c>
      <c r="D64" s="2" t="s">
        <v>1140</v>
      </c>
      <c r="E64" s="2" t="s">
        <v>262</v>
      </c>
      <c r="F64" s="2" t="s">
        <v>260</v>
      </c>
      <c r="G64" t="s">
        <v>23</v>
      </c>
      <c r="H64" s="2" t="s">
        <v>194</v>
      </c>
      <c r="I64" s="2" t="s">
        <v>1</v>
      </c>
      <c r="J64" t="s">
        <v>21</v>
      </c>
      <c r="K64" s="2" t="s">
        <v>187</v>
      </c>
      <c r="L64" s="2" t="s">
        <v>1</v>
      </c>
      <c r="M64" t="s">
        <v>21</v>
      </c>
      <c r="N64" s="2" t="s">
        <v>187</v>
      </c>
      <c r="O64" t="s">
        <v>1</v>
      </c>
      <c r="P64" t="s">
        <v>21</v>
      </c>
      <c r="Q64" s="2" t="s">
        <v>187</v>
      </c>
      <c r="R64" s="2" t="s">
        <v>1</v>
      </c>
      <c r="S64" t="s">
        <v>23</v>
      </c>
      <c r="T64" t="s">
        <v>194</v>
      </c>
      <c r="U64" t="s">
        <v>1</v>
      </c>
      <c r="V64" t="s">
        <v>18</v>
      </c>
      <c r="W64" t="s">
        <v>194</v>
      </c>
      <c r="X64" t="s">
        <v>1</v>
      </c>
      <c r="Y64">
        <f t="shared" si="0"/>
        <v>765</v>
      </c>
    </row>
    <row r="65" spans="1:25" ht="194.25" customHeight="1" x14ac:dyDescent="0.25">
      <c r="A65" t="s">
        <v>183</v>
      </c>
      <c r="B65" t="s">
        <v>184</v>
      </c>
      <c r="C65" s="2" t="s">
        <v>1139</v>
      </c>
      <c r="D65" s="2" t="s">
        <v>1140</v>
      </c>
      <c r="E65" s="2" t="s">
        <v>263</v>
      </c>
      <c r="F65" s="2" t="s">
        <v>260</v>
      </c>
      <c r="G65" t="s">
        <v>23</v>
      </c>
      <c r="H65" s="2" t="s">
        <v>194</v>
      </c>
      <c r="I65" s="2" t="s">
        <v>1</v>
      </c>
      <c r="J65" t="s">
        <v>18</v>
      </c>
      <c r="K65" s="2" t="s">
        <v>194</v>
      </c>
      <c r="L65" s="2" t="s">
        <v>1</v>
      </c>
      <c r="M65" t="s">
        <v>21</v>
      </c>
      <c r="N65" s="2" t="s">
        <v>187</v>
      </c>
      <c r="O65" t="s">
        <v>1</v>
      </c>
      <c r="P65" t="s">
        <v>21</v>
      </c>
      <c r="Q65" s="2" t="s">
        <v>187</v>
      </c>
      <c r="R65" s="2" t="s">
        <v>1</v>
      </c>
      <c r="S65" t="s">
        <v>23</v>
      </c>
      <c r="T65" t="s">
        <v>194</v>
      </c>
      <c r="U65" t="s">
        <v>1</v>
      </c>
      <c r="V65" t="s">
        <v>18</v>
      </c>
      <c r="W65" t="s">
        <v>194</v>
      </c>
      <c r="X65" t="s">
        <v>1</v>
      </c>
      <c r="Y65">
        <f t="shared" si="0"/>
        <v>767</v>
      </c>
    </row>
    <row r="66" spans="1:25" ht="194.25" customHeight="1" x14ac:dyDescent="0.25">
      <c r="A66" t="s">
        <v>183</v>
      </c>
      <c r="B66" t="s">
        <v>184</v>
      </c>
      <c r="C66" s="2" t="s">
        <v>1139</v>
      </c>
      <c r="D66" s="2" t="s">
        <v>1140</v>
      </c>
      <c r="E66" s="2" t="s">
        <v>264</v>
      </c>
      <c r="F66" s="2" t="s">
        <v>260</v>
      </c>
      <c r="G66" t="s">
        <v>18</v>
      </c>
      <c r="H66" s="2" t="s">
        <v>194</v>
      </c>
      <c r="I66" s="2" t="s">
        <v>1</v>
      </c>
      <c r="J66" t="s">
        <v>23</v>
      </c>
      <c r="K66" s="2" t="s">
        <v>194</v>
      </c>
      <c r="L66" s="2" t="s">
        <v>1</v>
      </c>
      <c r="M66" t="s">
        <v>21</v>
      </c>
      <c r="N66" s="2" t="s">
        <v>187</v>
      </c>
      <c r="O66" t="s">
        <v>1</v>
      </c>
      <c r="P66" t="s">
        <v>21</v>
      </c>
      <c r="Q66" s="2" t="s">
        <v>187</v>
      </c>
      <c r="R66" s="2" t="s">
        <v>1</v>
      </c>
      <c r="S66" t="s">
        <v>18</v>
      </c>
      <c r="T66" t="s">
        <v>194</v>
      </c>
      <c r="U66" t="s">
        <v>1</v>
      </c>
      <c r="V66" t="s">
        <v>18</v>
      </c>
      <c r="W66" t="s">
        <v>194</v>
      </c>
      <c r="X66" t="s">
        <v>1</v>
      </c>
      <c r="Y66">
        <f t="shared" si="0"/>
        <v>760</v>
      </c>
    </row>
    <row r="67" spans="1:25" ht="194.25" customHeight="1" x14ac:dyDescent="0.25">
      <c r="A67" t="s">
        <v>183</v>
      </c>
      <c r="B67" t="s">
        <v>184</v>
      </c>
      <c r="C67" s="2" t="s">
        <v>1139</v>
      </c>
      <c r="D67" s="2" t="s">
        <v>1140</v>
      </c>
      <c r="E67" s="2" t="s">
        <v>265</v>
      </c>
      <c r="F67" s="2" t="s">
        <v>266</v>
      </c>
      <c r="G67" t="s">
        <v>21</v>
      </c>
      <c r="H67" s="2" t="s">
        <v>187</v>
      </c>
      <c r="I67" s="2" t="s">
        <v>1</v>
      </c>
      <c r="J67" t="s">
        <v>21</v>
      </c>
      <c r="K67" s="2" t="s">
        <v>187</v>
      </c>
      <c r="L67" s="2" t="s">
        <v>1</v>
      </c>
      <c r="M67" t="s">
        <v>21</v>
      </c>
      <c r="N67" s="2" t="s">
        <v>187</v>
      </c>
      <c r="O67" t="s">
        <v>1</v>
      </c>
      <c r="P67" t="s">
        <v>21</v>
      </c>
      <c r="Q67" s="2" t="s">
        <v>187</v>
      </c>
      <c r="R67" s="2" t="s">
        <v>1</v>
      </c>
      <c r="S67" t="s">
        <v>21</v>
      </c>
      <c r="T67" t="s">
        <v>187</v>
      </c>
      <c r="U67" t="s">
        <v>1</v>
      </c>
      <c r="V67" t="s">
        <v>18</v>
      </c>
      <c r="W67" t="s">
        <v>194</v>
      </c>
      <c r="X67" t="s">
        <v>1</v>
      </c>
      <c r="Y67">
        <f t="shared" ref="Y67:Y130" si="1">LEN(D67)+LEN(E67)</f>
        <v>755</v>
      </c>
    </row>
    <row r="68" spans="1:25" ht="194.25" customHeight="1" x14ac:dyDescent="0.25">
      <c r="A68" t="s">
        <v>183</v>
      </c>
      <c r="B68" t="s">
        <v>184</v>
      </c>
      <c r="C68" s="2" t="s">
        <v>1139</v>
      </c>
      <c r="D68" s="2" t="s">
        <v>1140</v>
      </c>
      <c r="E68" s="2" t="s">
        <v>267</v>
      </c>
      <c r="F68" s="2" t="s">
        <v>266</v>
      </c>
      <c r="G68" t="s">
        <v>21</v>
      </c>
      <c r="H68" s="2" t="s">
        <v>187</v>
      </c>
      <c r="I68" s="2" t="s">
        <v>1</v>
      </c>
      <c r="J68" t="s">
        <v>21</v>
      </c>
      <c r="K68" s="2" t="s">
        <v>187</v>
      </c>
      <c r="L68" s="2" t="s">
        <v>1</v>
      </c>
      <c r="M68" t="s">
        <v>21</v>
      </c>
      <c r="N68" s="2" t="s">
        <v>187</v>
      </c>
      <c r="O68" t="s">
        <v>1</v>
      </c>
      <c r="P68" t="s">
        <v>21</v>
      </c>
      <c r="Q68" s="2" t="s">
        <v>187</v>
      </c>
      <c r="R68" s="2" t="s">
        <v>1</v>
      </c>
      <c r="S68" t="s">
        <v>21</v>
      </c>
      <c r="T68" t="s">
        <v>187</v>
      </c>
      <c r="U68" t="s">
        <v>1</v>
      </c>
      <c r="V68" t="s">
        <v>21</v>
      </c>
      <c r="W68" t="s">
        <v>187</v>
      </c>
      <c r="X68" t="s">
        <v>1</v>
      </c>
      <c r="Y68">
        <f t="shared" si="1"/>
        <v>755</v>
      </c>
    </row>
    <row r="69" spans="1:25" ht="194.25" customHeight="1" x14ac:dyDescent="0.25">
      <c r="A69" t="s">
        <v>183</v>
      </c>
      <c r="B69" t="s">
        <v>184</v>
      </c>
      <c r="C69" s="2" t="s">
        <v>1139</v>
      </c>
      <c r="D69" s="2" t="s">
        <v>1140</v>
      </c>
      <c r="E69" s="2" t="s">
        <v>268</v>
      </c>
      <c r="F69" s="2" t="s">
        <v>266</v>
      </c>
      <c r="G69" t="s">
        <v>21</v>
      </c>
      <c r="H69" s="2" t="s">
        <v>187</v>
      </c>
      <c r="I69" s="2" t="s">
        <v>1</v>
      </c>
      <c r="J69" t="s">
        <v>1162</v>
      </c>
      <c r="K69" s="2" t="s">
        <v>187</v>
      </c>
      <c r="L69" s="2" t="s">
        <v>2</v>
      </c>
      <c r="M69" t="s">
        <v>21</v>
      </c>
      <c r="N69" s="2" t="s">
        <v>187</v>
      </c>
      <c r="O69" t="s">
        <v>1</v>
      </c>
      <c r="P69" t="s">
        <v>21</v>
      </c>
      <c r="Q69" s="2" t="s">
        <v>187</v>
      </c>
      <c r="R69" s="2" t="s">
        <v>1</v>
      </c>
      <c r="S69" t="s">
        <v>21</v>
      </c>
      <c r="T69" t="s">
        <v>187</v>
      </c>
      <c r="U69" t="s">
        <v>1</v>
      </c>
      <c r="V69" t="s">
        <v>18</v>
      </c>
      <c r="W69" t="s">
        <v>194</v>
      </c>
      <c r="X69" t="s">
        <v>1</v>
      </c>
      <c r="Y69">
        <f t="shared" si="1"/>
        <v>768</v>
      </c>
    </row>
    <row r="70" spans="1:25" ht="194.25" customHeight="1" x14ac:dyDescent="0.25">
      <c r="A70" t="s">
        <v>183</v>
      </c>
      <c r="B70" t="s">
        <v>184</v>
      </c>
      <c r="C70" s="2" t="s">
        <v>1139</v>
      </c>
      <c r="D70" s="2" t="s">
        <v>1140</v>
      </c>
      <c r="E70" s="2" t="s">
        <v>269</v>
      </c>
      <c r="F70" s="2" t="s">
        <v>266</v>
      </c>
      <c r="G70" t="s">
        <v>21</v>
      </c>
      <c r="H70" s="2" t="s">
        <v>187</v>
      </c>
      <c r="I70" s="2" t="s">
        <v>1</v>
      </c>
      <c r="J70" t="s">
        <v>21</v>
      </c>
      <c r="K70" s="2" t="s">
        <v>187</v>
      </c>
      <c r="L70" s="2" t="s">
        <v>1</v>
      </c>
      <c r="M70" t="s">
        <v>21</v>
      </c>
      <c r="N70" s="2" t="s">
        <v>187</v>
      </c>
      <c r="O70" t="s">
        <v>1</v>
      </c>
      <c r="P70" t="s">
        <v>21</v>
      </c>
      <c r="Q70" s="2" t="s">
        <v>187</v>
      </c>
      <c r="R70" s="2" t="s">
        <v>1</v>
      </c>
      <c r="S70" t="s">
        <v>21</v>
      </c>
      <c r="T70" t="s">
        <v>187</v>
      </c>
      <c r="U70" t="s">
        <v>1</v>
      </c>
      <c r="V70" t="s">
        <v>21</v>
      </c>
      <c r="W70" t="s">
        <v>187</v>
      </c>
      <c r="X70" t="s">
        <v>1</v>
      </c>
      <c r="Y70">
        <f t="shared" si="1"/>
        <v>764</v>
      </c>
    </row>
    <row r="71" spans="1:25" ht="194.25" customHeight="1" x14ac:dyDescent="0.25">
      <c r="A71" t="s">
        <v>183</v>
      </c>
      <c r="B71" t="s">
        <v>184</v>
      </c>
      <c r="C71" s="2" t="s">
        <v>1139</v>
      </c>
      <c r="D71" s="2" t="s">
        <v>1140</v>
      </c>
      <c r="E71" s="2" t="s">
        <v>270</v>
      </c>
      <c r="F71" s="2" t="s">
        <v>266</v>
      </c>
      <c r="G71" t="s">
        <v>21</v>
      </c>
      <c r="H71" s="2" t="s">
        <v>187</v>
      </c>
      <c r="I71" s="2" t="s">
        <v>1</v>
      </c>
      <c r="J71" t="s">
        <v>21</v>
      </c>
      <c r="K71" s="2" t="s">
        <v>187</v>
      </c>
      <c r="L71" s="2" t="s">
        <v>1</v>
      </c>
      <c r="M71" t="s">
        <v>21</v>
      </c>
      <c r="N71" s="2" t="s">
        <v>187</v>
      </c>
      <c r="O71" t="s">
        <v>1</v>
      </c>
      <c r="P71" t="s">
        <v>21</v>
      </c>
      <c r="Q71" s="2" t="s">
        <v>187</v>
      </c>
      <c r="R71" s="2" t="s">
        <v>1</v>
      </c>
      <c r="S71" t="s">
        <v>21</v>
      </c>
      <c r="T71" t="s">
        <v>187</v>
      </c>
      <c r="U71" t="s">
        <v>1</v>
      </c>
      <c r="V71" t="s">
        <v>18</v>
      </c>
      <c r="W71" t="s">
        <v>194</v>
      </c>
      <c r="X71" t="s">
        <v>1</v>
      </c>
      <c r="Y71">
        <f t="shared" si="1"/>
        <v>763</v>
      </c>
    </row>
    <row r="72" spans="1:25" ht="194.25" customHeight="1" x14ac:dyDescent="0.25">
      <c r="A72" t="s">
        <v>183</v>
      </c>
      <c r="B72" t="s">
        <v>184</v>
      </c>
      <c r="C72" s="2" t="s">
        <v>1139</v>
      </c>
      <c r="D72" s="2" t="s">
        <v>1140</v>
      </c>
      <c r="E72" s="2" t="s">
        <v>271</v>
      </c>
      <c r="F72" s="2" t="s">
        <v>272</v>
      </c>
      <c r="G72" t="s">
        <v>21</v>
      </c>
      <c r="H72" s="2" t="s">
        <v>187</v>
      </c>
      <c r="I72" s="2" t="s">
        <v>1</v>
      </c>
      <c r="J72" t="s">
        <v>21</v>
      </c>
      <c r="K72" s="2" t="s">
        <v>187</v>
      </c>
      <c r="L72" s="2" t="s">
        <v>1</v>
      </c>
      <c r="M72" t="s">
        <v>21</v>
      </c>
      <c r="N72" s="2" t="s">
        <v>187</v>
      </c>
      <c r="O72" t="s">
        <v>1</v>
      </c>
      <c r="P72" t="s">
        <v>21</v>
      </c>
      <c r="Q72" s="2" t="s">
        <v>187</v>
      </c>
      <c r="R72" s="2" t="s">
        <v>1</v>
      </c>
      <c r="S72" t="s">
        <v>18</v>
      </c>
      <c r="T72" t="s">
        <v>194</v>
      </c>
      <c r="U72" t="s">
        <v>1</v>
      </c>
      <c r="V72" t="s">
        <v>21</v>
      </c>
      <c r="W72" t="s">
        <v>187</v>
      </c>
      <c r="X72" t="s">
        <v>1</v>
      </c>
      <c r="Y72">
        <f t="shared" si="1"/>
        <v>749</v>
      </c>
    </row>
    <row r="73" spans="1:25" ht="194.25" customHeight="1" x14ac:dyDescent="0.25">
      <c r="A73" t="s">
        <v>183</v>
      </c>
      <c r="B73" t="s">
        <v>184</v>
      </c>
      <c r="C73" s="2" t="s">
        <v>1139</v>
      </c>
      <c r="D73" s="2" t="s">
        <v>1140</v>
      </c>
      <c r="E73" s="2" t="s">
        <v>273</v>
      </c>
      <c r="F73" s="2" t="s">
        <v>272</v>
      </c>
      <c r="G73" t="s">
        <v>21</v>
      </c>
      <c r="H73" s="2" t="s">
        <v>187</v>
      </c>
      <c r="I73" s="2" t="s">
        <v>1</v>
      </c>
      <c r="J73" t="s">
        <v>18</v>
      </c>
      <c r="K73" s="2" t="s">
        <v>194</v>
      </c>
      <c r="L73" s="2" t="s">
        <v>1</v>
      </c>
      <c r="M73" t="s">
        <v>21</v>
      </c>
      <c r="N73" s="2" t="s">
        <v>187</v>
      </c>
      <c r="O73" t="s">
        <v>1</v>
      </c>
      <c r="P73" t="s">
        <v>21</v>
      </c>
      <c r="Q73" s="2" t="s">
        <v>187</v>
      </c>
      <c r="R73" s="2" t="s">
        <v>1</v>
      </c>
      <c r="S73" t="s">
        <v>23</v>
      </c>
      <c r="T73" t="s">
        <v>194</v>
      </c>
      <c r="U73" t="s">
        <v>1</v>
      </c>
      <c r="V73" t="s">
        <v>18</v>
      </c>
      <c r="W73" t="s">
        <v>194</v>
      </c>
      <c r="X73" t="s">
        <v>1</v>
      </c>
      <c r="Y73">
        <f t="shared" si="1"/>
        <v>762</v>
      </c>
    </row>
    <row r="74" spans="1:25" ht="194.25" customHeight="1" x14ac:dyDescent="0.25">
      <c r="A74" t="s">
        <v>183</v>
      </c>
      <c r="B74" t="s">
        <v>184</v>
      </c>
      <c r="C74" s="2" t="s">
        <v>1139</v>
      </c>
      <c r="D74" s="2" t="s">
        <v>1140</v>
      </c>
      <c r="E74" s="2" t="s">
        <v>274</v>
      </c>
      <c r="F74" s="2" t="s">
        <v>272</v>
      </c>
      <c r="G74" t="s">
        <v>23</v>
      </c>
      <c r="H74" s="2" t="s">
        <v>194</v>
      </c>
      <c r="I74" s="2" t="s">
        <v>1</v>
      </c>
      <c r="J74" t="s">
        <v>18</v>
      </c>
      <c r="K74" s="2" t="s">
        <v>194</v>
      </c>
      <c r="L74" s="2" t="s">
        <v>1</v>
      </c>
      <c r="M74" t="s">
        <v>21</v>
      </c>
      <c r="N74" s="2" t="s">
        <v>187</v>
      </c>
      <c r="O74" t="s">
        <v>1</v>
      </c>
      <c r="P74" t="s">
        <v>18</v>
      </c>
      <c r="Q74" s="2" t="s">
        <v>194</v>
      </c>
      <c r="R74" s="2" t="s">
        <v>1</v>
      </c>
      <c r="S74" t="s">
        <v>21</v>
      </c>
      <c r="T74" t="s">
        <v>187</v>
      </c>
      <c r="U74" t="s">
        <v>1</v>
      </c>
      <c r="V74" t="s">
        <v>18</v>
      </c>
      <c r="W74" t="s">
        <v>194</v>
      </c>
      <c r="X74" t="s">
        <v>1</v>
      </c>
      <c r="Y74">
        <f t="shared" si="1"/>
        <v>751</v>
      </c>
    </row>
    <row r="75" spans="1:25" ht="194.25" customHeight="1" x14ac:dyDescent="0.25">
      <c r="A75" t="s">
        <v>183</v>
      </c>
      <c r="B75" t="s">
        <v>184</v>
      </c>
      <c r="C75" s="2" t="s">
        <v>1139</v>
      </c>
      <c r="D75" s="2" t="s">
        <v>1140</v>
      </c>
      <c r="E75" s="2" t="s">
        <v>275</v>
      </c>
      <c r="F75" s="2" t="s">
        <v>272</v>
      </c>
      <c r="G75" t="s">
        <v>21</v>
      </c>
      <c r="H75" s="2" t="s">
        <v>187</v>
      </c>
      <c r="I75" s="2" t="s">
        <v>1</v>
      </c>
      <c r="J75" t="s">
        <v>21</v>
      </c>
      <c r="K75" s="2" t="s">
        <v>187</v>
      </c>
      <c r="L75" s="2" t="s">
        <v>1</v>
      </c>
      <c r="M75" t="s">
        <v>21</v>
      </c>
      <c r="N75" s="2" t="s">
        <v>187</v>
      </c>
      <c r="O75" t="s">
        <v>1</v>
      </c>
      <c r="P75" t="s">
        <v>21</v>
      </c>
      <c r="Q75" s="2" t="s">
        <v>187</v>
      </c>
      <c r="R75" s="2" t="s">
        <v>1</v>
      </c>
      <c r="S75" t="s">
        <v>21</v>
      </c>
      <c r="T75" t="s">
        <v>187</v>
      </c>
      <c r="U75" t="s">
        <v>1</v>
      </c>
      <c r="V75" t="s">
        <v>21</v>
      </c>
      <c r="W75" t="s">
        <v>187</v>
      </c>
      <c r="X75" t="s">
        <v>1</v>
      </c>
      <c r="Y75">
        <f t="shared" si="1"/>
        <v>751</v>
      </c>
    </row>
    <row r="76" spans="1:25" ht="194.25" customHeight="1" x14ac:dyDescent="0.25">
      <c r="A76" t="s">
        <v>183</v>
      </c>
      <c r="B76" t="s">
        <v>184</v>
      </c>
      <c r="C76" s="2" t="s">
        <v>1139</v>
      </c>
      <c r="D76" s="2" t="s">
        <v>1140</v>
      </c>
      <c r="E76" s="2" t="s">
        <v>276</v>
      </c>
      <c r="F76" s="2" t="s">
        <v>272</v>
      </c>
      <c r="G76" t="s">
        <v>21</v>
      </c>
      <c r="H76" s="2" t="s">
        <v>187</v>
      </c>
      <c r="I76" s="2" t="s">
        <v>1</v>
      </c>
      <c r="J76" t="s">
        <v>21</v>
      </c>
      <c r="K76" s="2" t="s">
        <v>187</v>
      </c>
      <c r="L76" s="2" t="s">
        <v>1</v>
      </c>
      <c r="M76" t="s">
        <v>21</v>
      </c>
      <c r="N76" s="2" t="s">
        <v>187</v>
      </c>
      <c r="O76" t="s">
        <v>1</v>
      </c>
      <c r="P76" t="s">
        <v>21</v>
      </c>
      <c r="Q76" s="2" t="s">
        <v>187</v>
      </c>
      <c r="R76" s="2" t="s">
        <v>1</v>
      </c>
      <c r="S76" t="s">
        <v>21</v>
      </c>
      <c r="T76" t="s">
        <v>187</v>
      </c>
      <c r="U76" t="s">
        <v>1</v>
      </c>
      <c r="V76" t="s">
        <v>18</v>
      </c>
      <c r="W76" t="s">
        <v>194</v>
      </c>
      <c r="X76" t="s">
        <v>1</v>
      </c>
      <c r="Y76">
        <f t="shared" si="1"/>
        <v>753</v>
      </c>
    </row>
    <row r="77" spans="1:25" ht="194.25" customHeight="1" x14ac:dyDescent="0.25">
      <c r="A77" t="s">
        <v>183</v>
      </c>
      <c r="B77" t="s">
        <v>184</v>
      </c>
      <c r="C77" s="2" t="s">
        <v>1139</v>
      </c>
      <c r="D77" s="2" t="s">
        <v>1140</v>
      </c>
      <c r="E77" s="2" t="s">
        <v>277</v>
      </c>
      <c r="F77" s="2" t="s">
        <v>278</v>
      </c>
      <c r="G77" t="s">
        <v>18</v>
      </c>
      <c r="H77" s="2" t="s">
        <v>194</v>
      </c>
      <c r="I77" s="2" t="s">
        <v>1</v>
      </c>
      <c r="J77" t="s">
        <v>18</v>
      </c>
      <c r="K77" s="2" t="s">
        <v>194</v>
      </c>
      <c r="L77" s="2" t="s">
        <v>1</v>
      </c>
      <c r="M77" t="s">
        <v>18</v>
      </c>
      <c r="N77" s="2" t="s">
        <v>194</v>
      </c>
      <c r="O77" t="s">
        <v>1</v>
      </c>
      <c r="P77" t="s">
        <v>18</v>
      </c>
      <c r="Q77" s="2" t="s">
        <v>194</v>
      </c>
      <c r="R77" s="2" t="s">
        <v>1</v>
      </c>
      <c r="S77" t="s">
        <v>18</v>
      </c>
      <c r="T77" t="s">
        <v>194</v>
      </c>
      <c r="U77" t="s">
        <v>1</v>
      </c>
      <c r="V77" t="s">
        <v>18</v>
      </c>
      <c r="W77" t="s">
        <v>194</v>
      </c>
      <c r="X77" t="s">
        <v>1</v>
      </c>
      <c r="Y77">
        <f t="shared" si="1"/>
        <v>773</v>
      </c>
    </row>
    <row r="78" spans="1:25" ht="194.25" customHeight="1" x14ac:dyDescent="0.25">
      <c r="A78" t="s">
        <v>183</v>
      </c>
      <c r="B78" t="s">
        <v>184</v>
      </c>
      <c r="C78" s="2" t="s">
        <v>1139</v>
      </c>
      <c r="D78" s="2" t="s">
        <v>1140</v>
      </c>
      <c r="E78" s="2" t="s">
        <v>279</v>
      </c>
      <c r="F78" s="2" t="s">
        <v>278</v>
      </c>
      <c r="G78" t="s">
        <v>23</v>
      </c>
      <c r="H78" s="2" t="s">
        <v>194</v>
      </c>
      <c r="I78" s="2" t="s">
        <v>1</v>
      </c>
      <c r="J78" t="s">
        <v>1119</v>
      </c>
      <c r="K78" s="2" t="s">
        <v>194</v>
      </c>
      <c r="L78" s="2" t="s">
        <v>1</v>
      </c>
      <c r="M78" t="s">
        <v>21</v>
      </c>
      <c r="N78" s="2" t="s">
        <v>187</v>
      </c>
      <c r="O78" t="s">
        <v>1</v>
      </c>
      <c r="P78" t="s">
        <v>21</v>
      </c>
      <c r="Q78" s="2" t="s">
        <v>187</v>
      </c>
      <c r="R78" s="2" t="s">
        <v>1</v>
      </c>
      <c r="S78" t="s">
        <v>23</v>
      </c>
      <c r="T78" t="s">
        <v>194</v>
      </c>
      <c r="U78" t="s">
        <v>1</v>
      </c>
      <c r="V78" t="s">
        <v>18</v>
      </c>
      <c r="W78" t="s">
        <v>194</v>
      </c>
      <c r="X78" t="s">
        <v>1</v>
      </c>
      <c r="Y78">
        <f t="shared" si="1"/>
        <v>765</v>
      </c>
    </row>
    <row r="79" spans="1:25" ht="194.25" customHeight="1" x14ac:dyDescent="0.25">
      <c r="A79" t="s">
        <v>183</v>
      </c>
      <c r="B79" t="s">
        <v>184</v>
      </c>
      <c r="C79" s="2" t="s">
        <v>1139</v>
      </c>
      <c r="D79" s="2" t="s">
        <v>1140</v>
      </c>
      <c r="E79" s="2" t="s">
        <v>280</v>
      </c>
      <c r="F79" s="2" t="s">
        <v>278</v>
      </c>
      <c r="G79" t="s">
        <v>23</v>
      </c>
      <c r="H79" s="2" t="s">
        <v>194</v>
      </c>
      <c r="I79" s="2" t="s">
        <v>1</v>
      </c>
      <c r="J79" t="s">
        <v>1163</v>
      </c>
      <c r="K79" s="2" t="s">
        <v>194</v>
      </c>
      <c r="L79" s="2" t="s">
        <v>2</v>
      </c>
      <c r="M79" t="s">
        <v>18</v>
      </c>
      <c r="N79" s="2" t="s">
        <v>194</v>
      </c>
      <c r="O79" t="s">
        <v>1</v>
      </c>
      <c r="P79" t="s">
        <v>18</v>
      </c>
      <c r="Q79" s="2" t="s">
        <v>194</v>
      </c>
      <c r="R79" s="2" t="s">
        <v>1</v>
      </c>
      <c r="S79" t="s">
        <v>18</v>
      </c>
      <c r="T79" t="s">
        <v>194</v>
      </c>
      <c r="U79" t="s">
        <v>1</v>
      </c>
      <c r="V79" t="s">
        <v>23</v>
      </c>
      <c r="W79" t="s">
        <v>194</v>
      </c>
      <c r="X79" t="s">
        <v>1</v>
      </c>
      <c r="Y79">
        <f t="shared" si="1"/>
        <v>766</v>
      </c>
    </row>
    <row r="80" spans="1:25" ht="194.25" customHeight="1" x14ac:dyDescent="0.25">
      <c r="A80" t="s">
        <v>183</v>
      </c>
      <c r="B80" t="s">
        <v>184</v>
      </c>
      <c r="C80" s="2" t="s">
        <v>1139</v>
      </c>
      <c r="D80" s="2" t="s">
        <v>1140</v>
      </c>
      <c r="E80" s="2" t="s">
        <v>281</v>
      </c>
      <c r="F80" s="2" t="s">
        <v>278</v>
      </c>
      <c r="G80" t="s">
        <v>18</v>
      </c>
      <c r="H80" s="2" t="s">
        <v>194</v>
      </c>
      <c r="I80" s="2" t="s">
        <v>1</v>
      </c>
      <c r="J80" t="s">
        <v>18</v>
      </c>
      <c r="K80" s="2" t="s">
        <v>194</v>
      </c>
      <c r="L80" s="2" t="s">
        <v>1</v>
      </c>
      <c r="M80" t="s">
        <v>18</v>
      </c>
      <c r="N80" s="2" t="s">
        <v>194</v>
      </c>
      <c r="O80" t="s">
        <v>1</v>
      </c>
      <c r="P80" t="s">
        <v>21</v>
      </c>
      <c r="Q80" s="2" t="s">
        <v>187</v>
      </c>
      <c r="R80" s="2" t="s">
        <v>1</v>
      </c>
      <c r="S80" t="s">
        <v>23</v>
      </c>
      <c r="T80" t="s">
        <v>194</v>
      </c>
      <c r="U80" t="s">
        <v>1</v>
      </c>
      <c r="V80" t="s">
        <v>18</v>
      </c>
      <c r="W80" t="s">
        <v>194</v>
      </c>
      <c r="X80" t="s">
        <v>1</v>
      </c>
      <c r="Y80">
        <f t="shared" si="1"/>
        <v>771</v>
      </c>
    </row>
    <row r="81" spans="1:25" ht="194.25" customHeight="1" x14ac:dyDescent="0.25">
      <c r="A81" t="s">
        <v>183</v>
      </c>
      <c r="B81" t="s">
        <v>184</v>
      </c>
      <c r="C81" s="2" t="s">
        <v>1139</v>
      </c>
      <c r="D81" s="2" t="s">
        <v>1140</v>
      </c>
      <c r="E81" s="2" t="s">
        <v>282</v>
      </c>
      <c r="F81" s="2" t="s">
        <v>278</v>
      </c>
      <c r="G81" t="s">
        <v>18</v>
      </c>
      <c r="H81" s="2" t="s">
        <v>194</v>
      </c>
      <c r="I81" s="2" t="s">
        <v>1</v>
      </c>
      <c r="J81" t="s">
        <v>18</v>
      </c>
      <c r="K81" s="2" t="s">
        <v>194</v>
      </c>
      <c r="L81" s="2" t="s">
        <v>1</v>
      </c>
      <c r="M81" t="s">
        <v>18</v>
      </c>
      <c r="N81" s="2" t="s">
        <v>194</v>
      </c>
      <c r="O81" t="s">
        <v>1</v>
      </c>
      <c r="P81" t="s">
        <v>18</v>
      </c>
      <c r="Q81" s="2" t="s">
        <v>194</v>
      </c>
      <c r="R81" s="2" t="s">
        <v>1</v>
      </c>
      <c r="S81" t="s">
        <v>18</v>
      </c>
      <c r="T81" t="s">
        <v>194</v>
      </c>
      <c r="U81" t="s">
        <v>1</v>
      </c>
      <c r="V81" t="s">
        <v>21</v>
      </c>
      <c r="W81" t="s">
        <v>187</v>
      </c>
      <c r="X81" t="s">
        <v>1</v>
      </c>
      <c r="Y81">
        <f t="shared" si="1"/>
        <v>765</v>
      </c>
    </row>
    <row r="82" spans="1:25" ht="194.25" customHeight="1" x14ac:dyDescent="0.25">
      <c r="A82" t="s">
        <v>183</v>
      </c>
      <c r="B82" t="s">
        <v>184</v>
      </c>
      <c r="C82" s="2" t="s">
        <v>1139</v>
      </c>
      <c r="D82" s="2" t="s">
        <v>1140</v>
      </c>
      <c r="E82" s="2" t="s">
        <v>283</v>
      </c>
      <c r="F82" s="2" t="s">
        <v>284</v>
      </c>
      <c r="G82" t="s">
        <v>18</v>
      </c>
      <c r="H82" s="2" t="s">
        <v>194</v>
      </c>
      <c r="I82" s="2" t="s">
        <v>1</v>
      </c>
      <c r="J82" t="s">
        <v>21</v>
      </c>
      <c r="K82" s="2" t="s">
        <v>187</v>
      </c>
      <c r="L82" s="2" t="s">
        <v>1</v>
      </c>
      <c r="M82" t="s">
        <v>21</v>
      </c>
      <c r="N82" s="2" t="s">
        <v>187</v>
      </c>
      <c r="O82" t="s">
        <v>1</v>
      </c>
      <c r="P82" t="s">
        <v>18</v>
      </c>
      <c r="Q82" s="2" t="s">
        <v>194</v>
      </c>
      <c r="R82" s="2" t="s">
        <v>1</v>
      </c>
      <c r="S82" t="s">
        <v>18</v>
      </c>
      <c r="T82" t="s">
        <v>194</v>
      </c>
      <c r="U82" t="s">
        <v>1</v>
      </c>
      <c r="V82" t="s">
        <v>18</v>
      </c>
      <c r="W82" t="s">
        <v>194</v>
      </c>
      <c r="X82" t="s">
        <v>1</v>
      </c>
      <c r="Y82">
        <f t="shared" si="1"/>
        <v>769</v>
      </c>
    </row>
    <row r="83" spans="1:25" ht="194.25" customHeight="1" x14ac:dyDescent="0.25">
      <c r="A83" t="s">
        <v>183</v>
      </c>
      <c r="B83" t="s">
        <v>184</v>
      </c>
      <c r="C83" s="2" t="s">
        <v>1139</v>
      </c>
      <c r="D83" s="2" t="s">
        <v>1140</v>
      </c>
      <c r="E83" s="2" t="s">
        <v>285</v>
      </c>
      <c r="F83" s="2" t="s">
        <v>284</v>
      </c>
      <c r="G83" t="s">
        <v>21</v>
      </c>
      <c r="H83" s="2" t="s">
        <v>187</v>
      </c>
      <c r="I83" s="2" t="s">
        <v>1</v>
      </c>
      <c r="J83" t="s">
        <v>21</v>
      </c>
      <c r="K83" s="2" t="s">
        <v>187</v>
      </c>
      <c r="L83" s="2" t="s">
        <v>1</v>
      </c>
      <c r="M83" t="s">
        <v>21</v>
      </c>
      <c r="N83" s="2" t="s">
        <v>187</v>
      </c>
      <c r="O83" t="s">
        <v>1</v>
      </c>
      <c r="P83" t="s">
        <v>21</v>
      </c>
      <c r="Q83" s="2" t="s">
        <v>187</v>
      </c>
      <c r="R83" s="2" t="s">
        <v>1</v>
      </c>
      <c r="S83" t="s">
        <v>18</v>
      </c>
      <c r="T83" t="s">
        <v>194</v>
      </c>
      <c r="U83" t="s">
        <v>1</v>
      </c>
      <c r="V83" t="s">
        <v>18</v>
      </c>
      <c r="W83" t="s">
        <v>194</v>
      </c>
      <c r="X83" t="s">
        <v>1</v>
      </c>
      <c r="Y83">
        <f t="shared" si="1"/>
        <v>769</v>
      </c>
    </row>
    <row r="84" spans="1:25" ht="194.25" customHeight="1" x14ac:dyDescent="0.25">
      <c r="A84" t="s">
        <v>183</v>
      </c>
      <c r="B84" t="s">
        <v>184</v>
      </c>
      <c r="C84" s="2" t="s">
        <v>1139</v>
      </c>
      <c r="D84" s="2" t="s">
        <v>1140</v>
      </c>
      <c r="E84" s="2" t="s">
        <v>286</v>
      </c>
      <c r="F84" s="2" t="s">
        <v>284</v>
      </c>
      <c r="G84" t="s">
        <v>21</v>
      </c>
      <c r="H84" s="2" t="s">
        <v>187</v>
      </c>
      <c r="I84" s="2" t="s">
        <v>1</v>
      </c>
      <c r="J84" t="s">
        <v>21</v>
      </c>
      <c r="K84" s="2" t="s">
        <v>187</v>
      </c>
      <c r="L84" s="2" t="s">
        <v>1</v>
      </c>
      <c r="M84" t="s">
        <v>21</v>
      </c>
      <c r="N84" s="2" t="s">
        <v>187</v>
      </c>
      <c r="O84" t="s">
        <v>1</v>
      </c>
      <c r="P84" t="s">
        <v>21</v>
      </c>
      <c r="Q84" s="2" t="s">
        <v>187</v>
      </c>
      <c r="R84" s="2" t="s">
        <v>1</v>
      </c>
      <c r="S84" t="s">
        <v>18</v>
      </c>
      <c r="T84" t="s">
        <v>194</v>
      </c>
      <c r="U84" t="s">
        <v>1</v>
      </c>
      <c r="V84" t="s">
        <v>18</v>
      </c>
      <c r="W84" t="s">
        <v>194</v>
      </c>
      <c r="X84" t="s">
        <v>1</v>
      </c>
      <c r="Y84">
        <f t="shared" si="1"/>
        <v>753</v>
      </c>
    </row>
    <row r="85" spans="1:25" ht="194.25" customHeight="1" x14ac:dyDescent="0.25">
      <c r="A85" t="s">
        <v>183</v>
      </c>
      <c r="B85" t="s">
        <v>184</v>
      </c>
      <c r="C85" s="2" t="s">
        <v>1139</v>
      </c>
      <c r="D85" s="2" t="s">
        <v>1140</v>
      </c>
      <c r="E85" s="2" t="s">
        <v>287</v>
      </c>
      <c r="F85" s="2" t="s">
        <v>284</v>
      </c>
      <c r="G85" t="s">
        <v>18</v>
      </c>
      <c r="H85" s="2" t="s">
        <v>194</v>
      </c>
      <c r="I85" s="2" t="s">
        <v>1</v>
      </c>
      <c r="J85" t="s">
        <v>21</v>
      </c>
      <c r="K85" s="2" t="s">
        <v>187</v>
      </c>
      <c r="L85" s="2" t="s">
        <v>1</v>
      </c>
      <c r="M85" t="s">
        <v>23</v>
      </c>
      <c r="N85" s="2" t="s">
        <v>194</v>
      </c>
      <c r="O85" t="s">
        <v>1</v>
      </c>
      <c r="P85" t="s">
        <v>21</v>
      </c>
      <c r="Q85" s="2" t="s">
        <v>187</v>
      </c>
      <c r="R85" s="2" t="s">
        <v>1</v>
      </c>
      <c r="S85" t="s">
        <v>18</v>
      </c>
      <c r="T85" t="s">
        <v>194</v>
      </c>
      <c r="U85" t="s">
        <v>1</v>
      </c>
      <c r="V85" t="s">
        <v>18</v>
      </c>
      <c r="W85" t="s">
        <v>194</v>
      </c>
      <c r="X85" t="s">
        <v>1</v>
      </c>
      <c r="Y85">
        <f t="shared" si="1"/>
        <v>760</v>
      </c>
    </row>
    <row r="86" spans="1:25" ht="194.25" customHeight="1" x14ac:dyDescent="0.25">
      <c r="A86" t="s">
        <v>183</v>
      </c>
      <c r="B86" t="s">
        <v>184</v>
      </c>
      <c r="C86" s="2" t="s">
        <v>1139</v>
      </c>
      <c r="D86" s="2" t="s">
        <v>1140</v>
      </c>
      <c r="E86" s="2" t="s">
        <v>288</v>
      </c>
      <c r="F86" s="2" t="s">
        <v>284</v>
      </c>
      <c r="G86" t="s">
        <v>18</v>
      </c>
      <c r="H86" s="2" t="s">
        <v>194</v>
      </c>
      <c r="I86" s="2" t="s">
        <v>1</v>
      </c>
      <c r="J86" t="s">
        <v>18</v>
      </c>
      <c r="K86" s="2" t="s">
        <v>194</v>
      </c>
      <c r="L86" s="2" t="s">
        <v>1</v>
      </c>
      <c r="M86" t="s">
        <v>21</v>
      </c>
      <c r="N86" s="2" t="s">
        <v>187</v>
      </c>
      <c r="O86" t="s">
        <v>1</v>
      </c>
      <c r="P86" t="s">
        <v>18</v>
      </c>
      <c r="Q86" s="2" t="s">
        <v>194</v>
      </c>
      <c r="R86" s="2" t="s">
        <v>1</v>
      </c>
      <c r="S86" t="s">
        <v>18</v>
      </c>
      <c r="T86" t="s">
        <v>194</v>
      </c>
      <c r="U86" t="s">
        <v>1</v>
      </c>
      <c r="V86" t="s">
        <v>18</v>
      </c>
      <c r="W86" t="s">
        <v>194</v>
      </c>
      <c r="X86" t="s">
        <v>1</v>
      </c>
      <c r="Y86">
        <f t="shared" si="1"/>
        <v>760</v>
      </c>
    </row>
    <row r="87" spans="1:25" ht="194.25" customHeight="1" x14ac:dyDescent="0.25">
      <c r="A87" t="s">
        <v>183</v>
      </c>
      <c r="B87" t="s">
        <v>184</v>
      </c>
      <c r="C87" s="2" t="s">
        <v>1139</v>
      </c>
      <c r="D87" s="2" t="s">
        <v>1140</v>
      </c>
      <c r="E87" s="2" t="s">
        <v>289</v>
      </c>
      <c r="F87" s="2" t="s">
        <v>290</v>
      </c>
      <c r="G87" t="s">
        <v>23</v>
      </c>
      <c r="H87" s="2" t="s">
        <v>194</v>
      </c>
      <c r="I87" s="2" t="s">
        <v>1</v>
      </c>
      <c r="J87" t="s">
        <v>21</v>
      </c>
      <c r="K87" s="2" t="s">
        <v>194</v>
      </c>
      <c r="L87" s="2" t="s">
        <v>1</v>
      </c>
      <c r="M87" t="s">
        <v>18</v>
      </c>
      <c r="N87" s="2" t="s">
        <v>187</v>
      </c>
      <c r="O87" t="s">
        <v>1</v>
      </c>
      <c r="P87" t="s">
        <v>18</v>
      </c>
      <c r="Q87" s="2" t="s">
        <v>187</v>
      </c>
      <c r="R87" s="2" t="s">
        <v>1</v>
      </c>
      <c r="S87" t="s">
        <v>18</v>
      </c>
      <c r="T87" t="s">
        <v>187</v>
      </c>
      <c r="U87" t="s">
        <v>1</v>
      </c>
      <c r="V87" t="s">
        <v>18</v>
      </c>
      <c r="W87" t="s">
        <v>187</v>
      </c>
      <c r="X87" t="s">
        <v>1</v>
      </c>
      <c r="Y87">
        <f t="shared" si="1"/>
        <v>758</v>
      </c>
    </row>
    <row r="88" spans="1:25" ht="194.25" customHeight="1" x14ac:dyDescent="0.25">
      <c r="A88" t="s">
        <v>183</v>
      </c>
      <c r="B88" t="s">
        <v>184</v>
      </c>
      <c r="C88" s="2" t="s">
        <v>1139</v>
      </c>
      <c r="D88" s="2" t="s">
        <v>1140</v>
      </c>
      <c r="E88" s="2" t="s">
        <v>291</v>
      </c>
      <c r="F88" s="2" t="s">
        <v>290</v>
      </c>
      <c r="G88" t="s">
        <v>18</v>
      </c>
      <c r="H88" s="2" t="s">
        <v>187</v>
      </c>
      <c r="I88" s="2" t="s">
        <v>1</v>
      </c>
      <c r="J88" t="s">
        <v>18</v>
      </c>
      <c r="K88" s="2" t="s">
        <v>187</v>
      </c>
      <c r="L88" s="2" t="s">
        <v>1</v>
      </c>
      <c r="M88" t="s">
        <v>18</v>
      </c>
      <c r="N88" s="2" t="s">
        <v>187</v>
      </c>
      <c r="O88" t="s">
        <v>1</v>
      </c>
      <c r="P88" t="s">
        <v>18</v>
      </c>
      <c r="Q88" s="2" t="s">
        <v>187</v>
      </c>
      <c r="R88" s="2" t="s">
        <v>1</v>
      </c>
      <c r="S88" t="s">
        <v>23</v>
      </c>
      <c r="T88" t="s">
        <v>194</v>
      </c>
      <c r="U88" t="s">
        <v>1</v>
      </c>
      <c r="V88" t="s">
        <v>18</v>
      </c>
      <c r="W88" t="s">
        <v>187</v>
      </c>
      <c r="X88" t="s">
        <v>1</v>
      </c>
      <c r="Y88">
        <f t="shared" si="1"/>
        <v>751</v>
      </c>
    </row>
    <row r="89" spans="1:25" ht="194.25" customHeight="1" x14ac:dyDescent="0.25">
      <c r="A89" t="s">
        <v>183</v>
      </c>
      <c r="B89" t="s">
        <v>184</v>
      </c>
      <c r="C89" s="2" t="s">
        <v>1139</v>
      </c>
      <c r="D89" s="2" t="s">
        <v>1140</v>
      </c>
      <c r="E89" s="2" t="s">
        <v>292</v>
      </c>
      <c r="F89" s="2" t="s">
        <v>290</v>
      </c>
      <c r="G89" t="s">
        <v>18</v>
      </c>
      <c r="H89" s="2" t="s">
        <v>187</v>
      </c>
      <c r="I89" s="2" t="s">
        <v>1</v>
      </c>
      <c r="J89" t="s">
        <v>18</v>
      </c>
      <c r="K89" s="2" t="s">
        <v>187</v>
      </c>
      <c r="L89" s="2" t="s">
        <v>1</v>
      </c>
      <c r="M89" t="s">
        <v>18</v>
      </c>
      <c r="N89" s="2" t="s">
        <v>187</v>
      </c>
      <c r="O89" t="s">
        <v>1</v>
      </c>
      <c r="P89" t="s">
        <v>18</v>
      </c>
      <c r="Q89" s="2" t="s">
        <v>187</v>
      </c>
      <c r="R89" s="2" t="s">
        <v>1</v>
      </c>
      <c r="S89" t="s">
        <v>18</v>
      </c>
      <c r="T89" t="s">
        <v>187</v>
      </c>
      <c r="U89" t="s">
        <v>1</v>
      </c>
      <c r="V89" t="s">
        <v>18</v>
      </c>
      <c r="W89" t="s">
        <v>187</v>
      </c>
      <c r="X89" t="s">
        <v>1</v>
      </c>
      <c r="Y89">
        <f t="shared" si="1"/>
        <v>749</v>
      </c>
    </row>
    <row r="90" spans="1:25" ht="194.25" customHeight="1" x14ac:dyDescent="0.25">
      <c r="A90" t="s">
        <v>183</v>
      </c>
      <c r="B90" t="s">
        <v>184</v>
      </c>
      <c r="C90" s="2" t="s">
        <v>1139</v>
      </c>
      <c r="D90" s="2" t="s">
        <v>1140</v>
      </c>
      <c r="E90" s="2" t="s">
        <v>293</v>
      </c>
      <c r="F90" s="2" t="s">
        <v>290</v>
      </c>
      <c r="G90" t="s">
        <v>18</v>
      </c>
      <c r="H90" s="2" t="s">
        <v>187</v>
      </c>
      <c r="I90" s="2" t="s">
        <v>1</v>
      </c>
      <c r="J90" t="s">
        <v>18</v>
      </c>
      <c r="K90" s="2" t="s">
        <v>187</v>
      </c>
      <c r="L90" s="2" t="s">
        <v>1</v>
      </c>
      <c r="M90" t="s">
        <v>18</v>
      </c>
      <c r="N90" s="2" t="s">
        <v>187</v>
      </c>
      <c r="O90" t="s">
        <v>1</v>
      </c>
      <c r="P90" t="s">
        <v>18</v>
      </c>
      <c r="Q90" s="2" t="s">
        <v>187</v>
      </c>
      <c r="R90" s="2" t="s">
        <v>1</v>
      </c>
      <c r="S90" t="s">
        <v>18</v>
      </c>
      <c r="T90" t="s">
        <v>187</v>
      </c>
      <c r="U90" t="s">
        <v>1</v>
      </c>
      <c r="V90" t="s">
        <v>18</v>
      </c>
      <c r="W90" t="s">
        <v>187</v>
      </c>
      <c r="X90" t="s">
        <v>1</v>
      </c>
      <c r="Y90">
        <f t="shared" si="1"/>
        <v>756</v>
      </c>
    </row>
    <row r="91" spans="1:25" ht="194.25" customHeight="1" x14ac:dyDescent="0.25">
      <c r="A91" t="s">
        <v>183</v>
      </c>
      <c r="B91" t="s">
        <v>184</v>
      </c>
      <c r="C91" s="2" t="s">
        <v>1139</v>
      </c>
      <c r="D91" s="2" t="s">
        <v>1140</v>
      </c>
      <c r="E91" s="2" t="s">
        <v>294</v>
      </c>
      <c r="F91" s="2" t="s">
        <v>290</v>
      </c>
      <c r="G91" t="s">
        <v>23</v>
      </c>
      <c r="H91" s="2" t="s">
        <v>194</v>
      </c>
      <c r="I91" s="2" t="s">
        <v>1</v>
      </c>
      <c r="J91" t="s">
        <v>21</v>
      </c>
      <c r="K91" s="2" t="s">
        <v>194</v>
      </c>
      <c r="L91" s="2" t="s">
        <v>1</v>
      </c>
      <c r="M91" t="s">
        <v>18</v>
      </c>
      <c r="N91" s="2" t="s">
        <v>187</v>
      </c>
      <c r="O91" t="s">
        <v>1</v>
      </c>
      <c r="P91" t="s">
        <v>21</v>
      </c>
      <c r="Q91" s="2" t="s">
        <v>194</v>
      </c>
      <c r="R91" s="2" t="s">
        <v>1</v>
      </c>
      <c r="S91" t="s">
        <v>21</v>
      </c>
      <c r="T91" t="s">
        <v>194</v>
      </c>
      <c r="U91" t="s">
        <v>1</v>
      </c>
      <c r="V91" t="s">
        <v>23</v>
      </c>
      <c r="W91" t="s">
        <v>194</v>
      </c>
      <c r="X91" t="s">
        <v>1</v>
      </c>
      <c r="Y91">
        <f t="shared" si="1"/>
        <v>762</v>
      </c>
    </row>
    <row r="92" spans="1:25" ht="194.25" customHeight="1" x14ac:dyDescent="0.25">
      <c r="A92" t="s">
        <v>183</v>
      </c>
      <c r="B92" t="s">
        <v>184</v>
      </c>
      <c r="C92" s="2" t="s">
        <v>1139</v>
      </c>
      <c r="D92" s="2" t="s">
        <v>1140</v>
      </c>
      <c r="E92" s="2" t="s">
        <v>295</v>
      </c>
      <c r="F92" s="2" t="s">
        <v>296</v>
      </c>
      <c r="G92" t="s">
        <v>23</v>
      </c>
      <c r="H92" s="2" t="s">
        <v>187</v>
      </c>
      <c r="I92" s="2" t="s">
        <v>1</v>
      </c>
      <c r="J92" t="s">
        <v>23</v>
      </c>
      <c r="K92" s="2" t="s">
        <v>187</v>
      </c>
      <c r="L92" s="2" t="s">
        <v>1</v>
      </c>
      <c r="M92" t="s">
        <v>18</v>
      </c>
      <c r="N92" s="2" t="s">
        <v>194</v>
      </c>
      <c r="O92" t="s">
        <v>1</v>
      </c>
      <c r="P92" t="s">
        <v>18</v>
      </c>
      <c r="Q92" s="2" t="s">
        <v>194</v>
      </c>
      <c r="R92" s="2" t="s">
        <v>1</v>
      </c>
      <c r="S92" t="s">
        <v>23</v>
      </c>
      <c r="T92" t="s">
        <v>187</v>
      </c>
      <c r="U92" t="s">
        <v>1</v>
      </c>
      <c r="V92" t="s">
        <v>18</v>
      </c>
      <c r="W92" t="s">
        <v>194</v>
      </c>
      <c r="X92" t="s">
        <v>1</v>
      </c>
      <c r="Y92">
        <f t="shared" si="1"/>
        <v>770</v>
      </c>
    </row>
    <row r="93" spans="1:25" ht="194.25" customHeight="1" x14ac:dyDescent="0.25">
      <c r="A93" t="s">
        <v>183</v>
      </c>
      <c r="B93" t="s">
        <v>184</v>
      </c>
      <c r="C93" s="2" t="s">
        <v>1139</v>
      </c>
      <c r="D93" s="2" t="s">
        <v>1140</v>
      </c>
      <c r="E93" s="2" t="s">
        <v>297</v>
      </c>
      <c r="F93" s="2" t="s">
        <v>296</v>
      </c>
      <c r="G93" t="s">
        <v>23</v>
      </c>
      <c r="H93" s="2" t="s">
        <v>187</v>
      </c>
      <c r="I93" s="2" t="s">
        <v>1</v>
      </c>
      <c r="J93" t="s">
        <v>23</v>
      </c>
      <c r="K93" s="2" t="s">
        <v>187</v>
      </c>
      <c r="L93" s="2" t="s">
        <v>1</v>
      </c>
      <c r="M93" t="s">
        <v>23</v>
      </c>
      <c r="N93" s="2" t="s">
        <v>187</v>
      </c>
      <c r="O93" t="s">
        <v>1</v>
      </c>
      <c r="P93" t="s">
        <v>18</v>
      </c>
      <c r="Q93" s="2" t="s">
        <v>194</v>
      </c>
      <c r="R93" s="2" t="s">
        <v>1</v>
      </c>
      <c r="S93" t="s">
        <v>18</v>
      </c>
      <c r="T93" t="s">
        <v>194</v>
      </c>
      <c r="U93" t="s">
        <v>1</v>
      </c>
      <c r="V93" t="s">
        <v>18</v>
      </c>
      <c r="W93" t="s">
        <v>194</v>
      </c>
      <c r="X93" t="s">
        <v>1</v>
      </c>
      <c r="Y93">
        <f t="shared" si="1"/>
        <v>759</v>
      </c>
    </row>
    <row r="94" spans="1:25" ht="194.25" customHeight="1" x14ac:dyDescent="0.25">
      <c r="A94" t="s">
        <v>183</v>
      </c>
      <c r="B94" t="s">
        <v>184</v>
      </c>
      <c r="C94" s="2" t="s">
        <v>1139</v>
      </c>
      <c r="D94" s="2" t="s">
        <v>1140</v>
      </c>
      <c r="E94" s="2" t="s">
        <v>298</v>
      </c>
      <c r="F94" s="2" t="s">
        <v>296</v>
      </c>
      <c r="G94" t="s">
        <v>23</v>
      </c>
      <c r="H94" s="2" t="s">
        <v>187</v>
      </c>
      <c r="I94" s="2" t="s">
        <v>1</v>
      </c>
      <c r="J94" t="s">
        <v>21</v>
      </c>
      <c r="K94" s="2" t="s">
        <v>194</v>
      </c>
      <c r="L94" s="2" t="s">
        <v>1</v>
      </c>
      <c r="M94" t="s">
        <v>23</v>
      </c>
      <c r="N94" s="2" t="s">
        <v>187</v>
      </c>
      <c r="O94" t="s">
        <v>1</v>
      </c>
      <c r="P94" t="s">
        <v>18</v>
      </c>
      <c r="Q94" s="2" t="s">
        <v>194</v>
      </c>
      <c r="R94" s="2" t="s">
        <v>1</v>
      </c>
      <c r="S94" t="s">
        <v>23</v>
      </c>
      <c r="T94" t="s">
        <v>187</v>
      </c>
      <c r="U94" t="s">
        <v>1</v>
      </c>
      <c r="V94" t="s">
        <v>18</v>
      </c>
      <c r="W94" t="s">
        <v>194</v>
      </c>
      <c r="X94" t="s">
        <v>1</v>
      </c>
      <c r="Y94">
        <f t="shared" si="1"/>
        <v>769</v>
      </c>
    </row>
    <row r="95" spans="1:25" ht="194.25" customHeight="1" x14ac:dyDescent="0.25">
      <c r="A95" t="s">
        <v>183</v>
      </c>
      <c r="B95" t="s">
        <v>184</v>
      </c>
      <c r="C95" s="2" t="s">
        <v>1139</v>
      </c>
      <c r="D95" s="2" t="s">
        <v>1140</v>
      </c>
      <c r="E95" s="2" t="s">
        <v>299</v>
      </c>
      <c r="F95" s="2" t="s">
        <v>296</v>
      </c>
      <c r="G95" t="s">
        <v>23</v>
      </c>
      <c r="H95" s="2" t="s">
        <v>187</v>
      </c>
      <c r="I95" s="2" t="s">
        <v>1</v>
      </c>
      <c r="J95" t="s">
        <v>23</v>
      </c>
      <c r="K95" s="2" t="s">
        <v>187</v>
      </c>
      <c r="L95" s="2" t="s">
        <v>1</v>
      </c>
      <c r="M95" t="s">
        <v>23</v>
      </c>
      <c r="N95" s="2" t="s">
        <v>187</v>
      </c>
      <c r="O95" t="s">
        <v>1</v>
      </c>
      <c r="P95" t="s">
        <v>21</v>
      </c>
      <c r="Q95" s="2" t="s">
        <v>194</v>
      </c>
      <c r="R95" s="2" t="s">
        <v>1</v>
      </c>
      <c r="S95" t="s">
        <v>23</v>
      </c>
      <c r="T95" t="s">
        <v>187</v>
      </c>
      <c r="U95" t="s">
        <v>1</v>
      </c>
      <c r="V95" t="s">
        <v>23</v>
      </c>
      <c r="W95" t="s">
        <v>187</v>
      </c>
      <c r="X95" t="s">
        <v>1</v>
      </c>
      <c r="Y95">
        <f t="shared" si="1"/>
        <v>768</v>
      </c>
    </row>
    <row r="96" spans="1:25" ht="194.25" customHeight="1" x14ac:dyDescent="0.25">
      <c r="A96" t="s">
        <v>183</v>
      </c>
      <c r="B96" t="s">
        <v>184</v>
      </c>
      <c r="C96" s="2" t="s">
        <v>1139</v>
      </c>
      <c r="D96" s="2" t="s">
        <v>1140</v>
      </c>
      <c r="E96" s="2" t="s">
        <v>300</v>
      </c>
      <c r="F96" s="2" t="s">
        <v>296</v>
      </c>
      <c r="G96" t="s">
        <v>23</v>
      </c>
      <c r="H96" s="2" t="s">
        <v>187</v>
      </c>
      <c r="I96" s="2" t="s">
        <v>1</v>
      </c>
      <c r="J96" t="s">
        <v>18</v>
      </c>
      <c r="K96" s="2" t="s">
        <v>194</v>
      </c>
      <c r="L96" s="2" t="s">
        <v>1</v>
      </c>
      <c r="M96" t="s">
        <v>23</v>
      </c>
      <c r="N96" s="2" t="s">
        <v>187</v>
      </c>
      <c r="O96" t="s">
        <v>1</v>
      </c>
      <c r="P96" t="s">
        <v>18</v>
      </c>
      <c r="Q96" s="2" t="s">
        <v>194</v>
      </c>
      <c r="R96" s="2" t="s">
        <v>1</v>
      </c>
      <c r="S96" t="s">
        <v>23</v>
      </c>
      <c r="T96" t="s">
        <v>187</v>
      </c>
      <c r="U96" t="s">
        <v>1</v>
      </c>
      <c r="V96" t="s">
        <v>18</v>
      </c>
      <c r="W96" t="s">
        <v>194</v>
      </c>
      <c r="X96" t="s">
        <v>1</v>
      </c>
      <c r="Y96">
        <f t="shared" si="1"/>
        <v>770</v>
      </c>
    </row>
    <row r="97" spans="1:25" ht="194.25" customHeight="1" x14ac:dyDescent="0.25">
      <c r="A97" t="s">
        <v>183</v>
      </c>
      <c r="B97" t="s">
        <v>184</v>
      </c>
      <c r="C97" s="2" t="s">
        <v>1139</v>
      </c>
      <c r="D97" s="2" t="s">
        <v>1140</v>
      </c>
      <c r="E97" s="2" t="s">
        <v>301</v>
      </c>
      <c r="F97" s="2" t="s">
        <v>302</v>
      </c>
      <c r="G97" t="s">
        <v>23</v>
      </c>
      <c r="H97" s="2" t="s">
        <v>194</v>
      </c>
      <c r="I97" s="2" t="s">
        <v>1</v>
      </c>
      <c r="J97" t="s">
        <v>21</v>
      </c>
      <c r="K97" s="2" t="s">
        <v>194</v>
      </c>
      <c r="L97" s="2" t="s">
        <v>1</v>
      </c>
      <c r="M97" t="s">
        <v>18</v>
      </c>
      <c r="N97" s="2" t="s">
        <v>187</v>
      </c>
      <c r="O97" t="s">
        <v>1</v>
      </c>
      <c r="P97" t="s">
        <v>18</v>
      </c>
      <c r="Q97" s="2" t="s">
        <v>187</v>
      </c>
      <c r="R97" s="2" t="s">
        <v>1</v>
      </c>
      <c r="S97" t="s">
        <v>18</v>
      </c>
      <c r="T97" t="s">
        <v>187</v>
      </c>
      <c r="U97" t="s">
        <v>1</v>
      </c>
      <c r="V97" t="s">
        <v>18</v>
      </c>
      <c r="W97" t="s">
        <v>187</v>
      </c>
      <c r="X97" t="s">
        <v>1</v>
      </c>
      <c r="Y97">
        <f t="shared" si="1"/>
        <v>769</v>
      </c>
    </row>
    <row r="98" spans="1:25" ht="194.25" customHeight="1" x14ac:dyDescent="0.25">
      <c r="A98" t="s">
        <v>183</v>
      </c>
      <c r="B98" t="s">
        <v>184</v>
      </c>
      <c r="C98" s="2" t="s">
        <v>1139</v>
      </c>
      <c r="D98" s="2" t="s">
        <v>1140</v>
      </c>
      <c r="E98" s="2" t="s">
        <v>303</v>
      </c>
      <c r="F98" s="2" t="s">
        <v>302</v>
      </c>
      <c r="G98" t="s">
        <v>23</v>
      </c>
      <c r="H98" s="2" t="s">
        <v>194</v>
      </c>
      <c r="I98" s="2" t="s">
        <v>1</v>
      </c>
      <c r="J98" t="s">
        <v>21</v>
      </c>
      <c r="K98" s="2" t="s">
        <v>194</v>
      </c>
      <c r="L98" s="2" t="s">
        <v>1</v>
      </c>
      <c r="M98" t="s">
        <v>18</v>
      </c>
      <c r="N98" s="2" t="s">
        <v>187</v>
      </c>
      <c r="O98" t="s">
        <v>1</v>
      </c>
      <c r="P98" t="s">
        <v>21</v>
      </c>
      <c r="Q98" s="2" t="s">
        <v>194</v>
      </c>
      <c r="R98" s="2" t="s">
        <v>1</v>
      </c>
      <c r="S98" t="s">
        <v>21</v>
      </c>
      <c r="T98" t="s">
        <v>194</v>
      </c>
      <c r="U98" t="s">
        <v>1</v>
      </c>
      <c r="V98" t="s">
        <v>18</v>
      </c>
      <c r="W98" t="s">
        <v>187</v>
      </c>
      <c r="X98" t="s">
        <v>1</v>
      </c>
      <c r="Y98">
        <f t="shared" si="1"/>
        <v>758</v>
      </c>
    </row>
    <row r="99" spans="1:25" ht="194.25" customHeight="1" x14ac:dyDescent="0.25">
      <c r="A99" t="s">
        <v>183</v>
      </c>
      <c r="B99" t="s">
        <v>184</v>
      </c>
      <c r="C99" s="2" t="s">
        <v>1139</v>
      </c>
      <c r="D99" s="2" t="s">
        <v>1140</v>
      </c>
      <c r="E99" s="2" t="s">
        <v>304</v>
      </c>
      <c r="F99" s="2" t="s">
        <v>302</v>
      </c>
      <c r="G99" t="s">
        <v>23</v>
      </c>
      <c r="H99" s="2" t="s">
        <v>194</v>
      </c>
      <c r="I99" s="2" t="s">
        <v>1</v>
      </c>
      <c r="J99" t="s">
        <v>21</v>
      </c>
      <c r="K99" s="2" t="s">
        <v>194</v>
      </c>
      <c r="L99" s="2" t="s">
        <v>1</v>
      </c>
      <c r="M99" t="s">
        <v>18</v>
      </c>
      <c r="N99" s="2" t="s">
        <v>187</v>
      </c>
      <c r="O99" t="s">
        <v>1</v>
      </c>
      <c r="P99" t="s">
        <v>21</v>
      </c>
      <c r="Q99" s="2" t="s">
        <v>194</v>
      </c>
      <c r="R99" s="2" t="s">
        <v>1</v>
      </c>
      <c r="S99" t="s">
        <v>23</v>
      </c>
      <c r="T99" t="s">
        <v>194</v>
      </c>
      <c r="U99" t="s">
        <v>1</v>
      </c>
      <c r="V99" t="s">
        <v>18</v>
      </c>
      <c r="W99" t="s">
        <v>187</v>
      </c>
      <c r="X99" t="s">
        <v>1</v>
      </c>
      <c r="Y99">
        <f t="shared" si="1"/>
        <v>759</v>
      </c>
    </row>
    <row r="100" spans="1:25" ht="194.25" customHeight="1" x14ac:dyDescent="0.25">
      <c r="A100" t="s">
        <v>183</v>
      </c>
      <c r="B100" t="s">
        <v>184</v>
      </c>
      <c r="C100" s="2" t="s">
        <v>1139</v>
      </c>
      <c r="D100" s="2" t="s">
        <v>1140</v>
      </c>
      <c r="E100" s="2" t="s">
        <v>305</v>
      </c>
      <c r="F100" s="2" t="s">
        <v>302</v>
      </c>
      <c r="G100" t="s">
        <v>21</v>
      </c>
      <c r="H100" s="2" t="s">
        <v>194</v>
      </c>
      <c r="I100" s="2" t="s">
        <v>1</v>
      </c>
      <c r="J100" t="s">
        <v>1079</v>
      </c>
      <c r="K100" s="2" t="s">
        <v>194</v>
      </c>
      <c r="L100" s="2" t="s">
        <v>1</v>
      </c>
      <c r="M100" t="s">
        <v>18</v>
      </c>
      <c r="N100" s="2" t="s">
        <v>187</v>
      </c>
      <c r="O100" t="s">
        <v>1</v>
      </c>
      <c r="P100" t="s">
        <v>21</v>
      </c>
      <c r="Q100" s="2" t="s">
        <v>194</v>
      </c>
      <c r="R100" s="2" t="s">
        <v>1</v>
      </c>
      <c r="S100" t="s">
        <v>18</v>
      </c>
      <c r="T100" t="s">
        <v>187</v>
      </c>
      <c r="U100" t="s">
        <v>1</v>
      </c>
      <c r="V100" t="s">
        <v>18</v>
      </c>
      <c r="W100" t="s">
        <v>187</v>
      </c>
      <c r="X100" t="s">
        <v>1</v>
      </c>
      <c r="Y100">
        <f t="shared" si="1"/>
        <v>752</v>
      </c>
    </row>
    <row r="101" spans="1:25" ht="194.25" customHeight="1" x14ac:dyDescent="0.25">
      <c r="A101" t="s">
        <v>183</v>
      </c>
      <c r="B101" t="s">
        <v>184</v>
      </c>
      <c r="C101" s="2" t="s">
        <v>1139</v>
      </c>
      <c r="D101" s="2" t="s">
        <v>1140</v>
      </c>
      <c r="E101" s="2" t="s">
        <v>306</v>
      </c>
      <c r="F101" s="2" t="s">
        <v>302</v>
      </c>
      <c r="G101" t="s">
        <v>23</v>
      </c>
      <c r="H101" s="2" t="s">
        <v>194</v>
      </c>
      <c r="I101" s="2" t="s">
        <v>1</v>
      </c>
      <c r="J101" t="s">
        <v>21</v>
      </c>
      <c r="K101" s="2" t="s">
        <v>194</v>
      </c>
      <c r="L101" s="2" t="s">
        <v>1</v>
      </c>
      <c r="M101" t="s">
        <v>18</v>
      </c>
      <c r="N101" s="2" t="s">
        <v>187</v>
      </c>
      <c r="O101" t="s">
        <v>1</v>
      </c>
      <c r="P101" t="s">
        <v>21</v>
      </c>
      <c r="Q101" s="2" t="s">
        <v>194</v>
      </c>
      <c r="R101" s="2" t="s">
        <v>1</v>
      </c>
      <c r="S101" t="s">
        <v>21</v>
      </c>
      <c r="T101" t="s">
        <v>194</v>
      </c>
      <c r="U101" t="s">
        <v>1</v>
      </c>
      <c r="V101" t="s">
        <v>18</v>
      </c>
      <c r="W101" t="s">
        <v>187</v>
      </c>
      <c r="X101" t="s">
        <v>1</v>
      </c>
      <c r="Y101">
        <f t="shared" si="1"/>
        <v>768</v>
      </c>
    </row>
    <row r="102" spans="1:25" ht="194.25" customHeight="1" x14ac:dyDescent="0.25">
      <c r="A102" t="s">
        <v>183</v>
      </c>
      <c r="B102" t="s">
        <v>184</v>
      </c>
      <c r="C102" s="2" t="s">
        <v>1139</v>
      </c>
      <c r="D102" s="2" t="s">
        <v>1140</v>
      </c>
      <c r="E102" s="2" t="s">
        <v>307</v>
      </c>
      <c r="F102" s="2" t="s">
        <v>203</v>
      </c>
      <c r="G102" t="s">
        <v>23</v>
      </c>
      <c r="H102" s="2" t="s">
        <v>194</v>
      </c>
      <c r="I102" s="2" t="s">
        <v>1</v>
      </c>
      <c r="J102" t="s">
        <v>18</v>
      </c>
      <c r="K102" s="2" t="s">
        <v>187</v>
      </c>
      <c r="L102" s="2" t="s">
        <v>1</v>
      </c>
      <c r="M102" t="s">
        <v>18</v>
      </c>
      <c r="N102" s="2" t="s">
        <v>187</v>
      </c>
      <c r="O102" t="s">
        <v>1</v>
      </c>
      <c r="P102" t="s">
        <v>18</v>
      </c>
      <c r="Q102" s="2" t="s">
        <v>187</v>
      </c>
      <c r="R102" s="2" t="s">
        <v>1</v>
      </c>
      <c r="S102" t="s">
        <v>18</v>
      </c>
      <c r="T102" t="s">
        <v>187</v>
      </c>
      <c r="U102" t="s">
        <v>1</v>
      </c>
      <c r="V102" t="s">
        <v>18</v>
      </c>
      <c r="W102" t="s">
        <v>187</v>
      </c>
      <c r="X102" t="s">
        <v>1</v>
      </c>
      <c r="Y102">
        <f t="shared" si="1"/>
        <v>764</v>
      </c>
    </row>
    <row r="103" spans="1:25" ht="194.25" customHeight="1" x14ac:dyDescent="0.25">
      <c r="A103" t="s">
        <v>183</v>
      </c>
      <c r="B103" t="s">
        <v>184</v>
      </c>
      <c r="C103" s="2" t="s">
        <v>1139</v>
      </c>
      <c r="D103" s="2" t="s">
        <v>1140</v>
      </c>
      <c r="E103" s="2" t="s">
        <v>308</v>
      </c>
      <c r="F103" s="2" t="s">
        <v>203</v>
      </c>
      <c r="G103" t="s">
        <v>23</v>
      </c>
      <c r="H103" s="2" t="s">
        <v>194</v>
      </c>
      <c r="I103" s="2" t="s">
        <v>1</v>
      </c>
      <c r="J103" t="s">
        <v>18</v>
      </c>
      <c r="K103" s="2" t="s">
        <v>187</v>
      </c>
      <c r="L103" s="2" t="s">
        <v>1</v>
      </c>
      <c r="M103" t="s">
        <v>18</v>
      </c>
      <c r="N103" s="2" t="s">
        <v>187</v>
      </c>
      <c r="O103" t="s">
        <v>1</v>
      </c>
      <c r="P103" t="s">
        <v>18</v>
      </c>
      <c r="Q103" s="2" t="s">
        <v>187</v>
      </c>
      <c r="R103" s="2" t="s">
        <v>1</v>
      </c>
      <c r="S103" t="s">
        <v>18</v>
      </c>
      <c r="T103" t="s">
        <v>187</v>
      </c>
      <c r="U103" t="s">
        <v>1</v>
      </c>
      <c r="V103" t="s">
        <v>18</v>
      </c>
      <c r="W103" t="s">
        <v>187</v>
      </c>
      <c r="X103" t="s">
        <v>1</v>
      </c>
      <c r="Y103">
        <f t="shared" si="1"/>
        <v>751</v>
      </c>
    </row>
    <row r="104" spans="1:25" ht="194.25" customHeight="1" x14ac:dyDescent="0.25">
      <c r="A104" t="s">
        <v>183</v>
      </c>
      <c r="B104" t="s">
        <v>184</v>
      </c>
      <c r="C104" s="2" t="s">
        <v>1139</v>
      </c>
      <c r="D104" s="2" t="s">
        <v>1140</v>
      </c>
      <c r="E104" s="2" t="s">
        <v>309</v>
      </c>
      <c r="F104" s="2" t="s">
        <v>203</v>
      </c>
      <c r="G104" t="s">
        <v>23</v>
      </c>
      <c r="H104" s="2" t="s">
        <v>194</v>
      </c>
      <c r="I104" s="2" t="s">
        <v>1</v>
      </c>
      <c r="J104" t="s">
        <v>23</v>
      </c>
      <c r="K104" s="2" t="s">
        <v>194</v>
      </c>
      <c r="L104" s="2" t="s">
        <v>1</v>
      </c>
      <c r="M104" t="s">
        <v>18</v>
      </c>
      <c r="N104" s="2" t="s">
        <v>187</v>
      </c>
      <c r="O104" t="s">
        <v>1</v>
      </c>
      <c r="P104" t="s">
        <v>18</v>
      </c>
      <c r="Q104" s="2" t="s">
        <v>187</v>
      </c>
      <c r="R104" s="2" t="s">
        <v>1</v>
      </c>
      <c r="S104" t="s">
        <v>18</v>
      </c>
      <c r="T104" t="s">
        <v>187</v>
      </c>
      <c r="U104" t="s">
        <v>1</v>
      </c>
      <c r="V104" t="s">
        <v>18</v>
      </c>
      <c r="W104" t="s">
        <v>187</v>
      </c>
      <c r="X104" t="s">
        <v>1</v>
      </c>
      <c r="Y104">
        <f t="shared" si="1"/>
        <v>754</v>
      </c>
    </row>
    <row r="105" spans="1:25" ht="194.25" customHeight="1" x14ac:dyDescent="0.25">
      <c r="A105" t="s">
        <v>183</v>
      </c>
      <c r="B105" t="s">
        <v>184</v>
      </c>
      <c r="C105" s="2" t="s">
        <v>1139</v>
      </c>
      <c r="D105" s="2" t="s">
        <v>1140</v>
      </c>
      <c r="E105" s="2" t="s">
        <v>310</v>
      </c>
      <c r="F105" s="2" t="s">
        <v>203</v>
      </c>
      <c r="G105" t="s">
        <v>21</v>
      </c>
      <c r="H105" s="2" t="s">
        <v>194</v>
      </c>
      <c r="I105" s="2" t="s">
        <v>1</v>
      </c>
      <c r="J105" t="s">
        <v>21</v>
      </c>
      <c r="K105" s="2" t="s">
        <v>194</v>
      </c>
      <c r="L105" s="2" t="s">
        <v>1</v>
      </c>
      <c r="M105" t="s">
        <v>18</v>
      </c>
      <c r="N105" s="2" t="s">
        <v>187</v>
      </c>
      <c r="O105" t="s">
        <v>1</v>
      </c>
      <c r="P105" t="s">
        <v>21</v>
      </c>
      <c r="Q105" s="2" t="s">
        <v>194</v>
      </c>
      <c r="R105" s="2" t="s">
        <v>1</v>
      </c>
      <c r="S105" t="s">
        <v>23</v>
      </c>
      <c r="T105" t="s">
        <v>194</v>
      </c>
      <c r="U105" t="s">
        <v>1</v>
      </c>
      <c r="V105" t="s">
        <v>18</v>
      </c>
      <c r="W105" t="s">
        <v>187</v>
      </c>
      <c r="X105" t="s">
        <v>1</v>
      </c>
      <c r="Y105">
        <f t="shared" si="1"/>
        <v>756</v>
      </c>
    </row>
    <row r="106" spans="1:25" ht="194.25" customHeight="1" x14ac:dyDescent="0.25">
      <c r="A106" t="s">
        <v>183</v>
      </c>
      <c r="B106" t="s">
        <v>184</v>
      </c>
      <c r="C106" s="2" t="s">
        <v>1139</v>
      </c>
      <c r="D106" s="2" t="s">
        <v>1140</v>
      </c>
      <c r="E106" s="2" t="s">
        <v>311</v>
      </c>
      <c r="F106" s="2" t="s">
        <v>203</v>
      </c>
      <c r="G106" t="s">
        <v>23</v>
      </c>
      <c r="H106" s="2" t="s">
        <v>194</v>
      </c>
      <c r="I106" s="2" t="s">
        <v>1</v>
      </c>
      <c r="J106" t="s">
        <v>1039</v>
      </c>
      <c r="K106" s="2" t="s">
        <v>3</v>
      </c>
      <c r="L106" s="2" t="s">
        <v>1</v>
      </c>
      <c r="M106" t="s">
        <v>18</v>
      </c>
      <c r="N106" s="2" t="s">
        <v>187</v>
      </c>
      <c r="O106" t="s">
        <v>1</v>
      </c>
      <c r="P106" t="s">
        <v>18</v>
      </c>
      <c r="Q106" s="2" t="s">
        <v>187</v>
      </c>
      <c r="R106" s="2" t="s">
        <v>1</v>
      </c>
      <c r="S106" t="s">
        <v>23</v>
      </c>
      <c r="T106" t="s">
        <v>194</v>
      </c>
      <c r="U106" t="s">
        <v>1</v>
      </c>
      <c r="V106" t="s">
        <v>18</v>
      </c>
      <c r="W106" t="s">
        <v>187</v>
      </c>
      <c r="X106" t="s">
        <v>1</v>
      </c>
      <c r="Y106">
        <f t="shared" si="1"/>
        <v>753</v>
      </c>
    </row>
    <row r="107" spans="1:25" ht="194.25" customHeight="1" x14ac:dyDescent="0.25">
      <c r="A107" t="s">
        <v>183</v>
      </c>
      <c r="B107" t="s">
        <v>184</v>
      </c>
      <c r="C107" s="2" t="s">
        <v>1139</v>
      </c>
      <c r="D107" s="2" t="s">
        <v>1140</v>
      </c>
      <c r="E107" s="2" t="s">
        <v>312</v>
      </c>
      <c r="F107" s="2" t="s">
        <v>313</v>
      </c>
      <c r="G107" t="s">
        <v>18</v>
      </c>
      <c r="H107" s="2" t="s">
        <v>187</v>
      </c>
      <c r="I107" s="2" t="s">
        <v>1</v>
      </c>
      <c r="J107" t="s">
        <v>21</v>
      </c>
      <c r="K107" s="2" t="s">
        <v>194</v>
      </c>
      <c r="L107" s="2" t="s">
        <v>1</v>
      </c>
      <c r="M107" t="s">
        <v>18</v>
      </c>
      <c r="N107" s="2" t="s">
        <v>187</v>
      </c>
      <c r="O107" t="s">
        <v>1</v>
      </c>
      <c r="P107" t="s">
        <v>21</v>
      </c>
      <c r="Q107" s="2" t="s">
        <v>194</v>
      </c>
      <c r="R107" s="2" t="s">
        <v>1</v>
      </c>
      <c r="S107" t="s">
        <v>18</v>
      </c>
      <c r="T107" t="s">
        <v>187</v>
      </c>
      <c r="U107" t="s">
        <v>1</v>
      </c>
      <c r="V107" t="s">
        <v>18</v>
      </c>
      <c r="W107" t="s">
        <v>187</v>
      </c>
      <c r="X107" t="s">
        <v>1</v>
      </c>
      <c r="Y107">
        <f t="shared" si="1"/>
        <v>770</v>
      </c>
    </row>
    <row r="108" spans="1:25" ht="194.25" customHeight="1" x14ac:dyDescent="0.25">
      <c r="A108" t="s">
        <v>183</v>
      </c>
      <c r="B108" t="s">
        <v>184</v>
      </c>
      <c r="C108" s="2" t="s">
        <v>1139</v>
      </c>
      <c r="D108" s="2" t="s">
        <v>1140</v>
      </c>
      <c r="E108" s="2" t="s">
        <v>314</v>
      </c>
      <c r="F108" s="2" t="s">
        <v>313</v>
      </c>
      <c r="G108" t="s">
        <v>21</v>
      </c>
      <c r="H108" s="2" t="s">
        <v>194</v>
      </c>
      <c r="I108" s="2" t="s">
        <v>1</v>
      </c>
      <c r="J108" t="s">
        <v>1164</v>
      </c>
      <c r="K108" s="2" t="s">
        <v>194</v>
      </c>
      <c r="L108" s="2" t="s">
        <v>2</v>
      </c>
      <c r="M108" t="s">
        <v>18</v>
      </c>
      <c r="N108" s="2" t="s">
        <v>187</v>
      </c>
      <c r="O108" t="s">
        <v>1</v>
      </c>
      <c r="P108" t="s">
        <v>18</v>
      </c>
      <c r="Q108" s="2" t="s">
        <v>187</v>
      </c>
      <c r="R108" s="2" t="s">
        <v>1</v>
      </c>
      <c r="S108" t="s">
        <v>18</v>
      </c>
      <c r="T108" t="s">
        <v>187</v>
      </c>
      <c r="U108" t="s">
        <v>1</v>
      </c>
      <c r="V108" t="s">
        <v>18</v>
      </c>
      <c r="W108" t="s">
        <v>187</v>
      </c>
      <c r="X108" t="s">
        <v>1</v>
      </c>
      <c r="Y108">
        <f t="shared" si="1"/>
        <v>763</v>
      </c>
    </row>
    <row r="109" spans="1:25" ht="194.25" customHeight="1" x14ac:dyDescent="0.25">
      <c r="A109" t="s">
        <v>183</v>
      </c>
      <c r="B109" t="s">
        <v>184</v>
      </c>
      <c r="C109" s="2" t="s">
        <v>1139</v>
      </c>
      <c r="D109" s="2" t="s">
        <v>1140</v>
      </c>
      <c r="E109" s="2" t="s">
        <v>315</v>
      </c>
      <c r="F109" s="2" t="s">
        <v>313</v>
      </c>
      <c r="G109" t="s">
        <v>23</v>
      </c>
      <c r="H109" s="2" t="s">
        <v>194</v>
      </c>
      <c r="I109" s="2" t="s">
        <v>1</v>
      </c>
      <c r="J109" t="s">
        <v>18</v>
      </c>
      <c r="K109" s="2" t="s">
        <v>187</v>
      </c>
      <c r="L109" s="2" t="s">
        <v>1</v>
      </c>
      <c r="M109" t="s">
        <v>18</v>
      </c>
      <c r="N109" s="2" t="s">
        <v>187</v>
      </c>
      <c r="O109" t="s">
        <v>1</v>
      </c>
      <c r="P109" t="s">
        <v>18</v>
      </c>
      <c r="Q109" s="2" t="s">
        <v>187</v>
      </c>
      <c r="R109" s="2" t="s">
        <v>1</v>
      </c>
      <c r="S109" t="s">
        <v>23</v>
      </c>
      <c r="T109" t="s">
        <v>194</v>
      </c>
      <c r="U109" t="s">
        <v>1</v>
      </c>
      <c r="V109" t="s">
        <v>18</v>
      </c>
      <c r="W109" t="s">
        <v>187</v>
      </c>
      <c r="X109" t="s">
        <v>1</v>
      </c>
      <c r="Y109">
        <f t="shared" si="1"/>
        <v>755</v>
      </c>
    </row>
    <row r="110" spans="1:25" ht="194.25" customHeight="1" x14ac:dyDescent="0.25">
      <c r="A110" t="s">
        <v>183</v>
      </c>
      <c r="B110" t="s">
        <v>184</v>
      </c>
      <c r="C110" s="2" t="s">
        <v>1139</v>
      </c>
      <c r="D110" s="2" t="s">
        <v>1140</v>
      </c>
      <c r="E110" s="2" t="s">
        <v>316</v>
      </c>
      <c r="F110" s="2" t="s">
        <v>313</v>
      </c>
      <c r="G110" t="s">
        <v>23</v>
      </c>
      <c r="H110" s="2" t="s">
        <v>194</v>
      </c>
      <c r="I110" s="2" t="s">
        <v>1</v>
      </c>
      <c r="J110" t="s">
        <v>1165</v>
      </c>
      <c r="K110" s="2" t="s">
        <v>194</v>
      </c>
      <c r="L110" s="2" t="s">
        <v>2</v>
      </c>
      <c r="M110" t="s">
        <v>18</v>
      </c>
      <c r="N110" s="2" t="s">
        <v>187</v>
      </c>
      <c r="O110" t="s">
        <v>1</v>
      </c>
      <c r="P110" t="s">
        <v>18</v>
      </c>
      <c r="Q110" s="2" t="s">
        <v>187</v>
      </c>
      <c r="R110" s="2" t="s">
        <v>1</v>
      </c>
      <c r="S110" t="s">
        <v>23</v>
      </c>
      <c r="T110" t="s">
        <v>194</v>
      </c>
      <c r="U110" t="s">
        <v>1</v>
      </c>
      <c r="V110" t="s">
        <v>18</v>
      </c>
      <c r="W110" t="s">
        <v>187</v>
      </c>
      <c r="X110" t="s">
        <v>1</v>
      </c>
      <c r="Y110">
        <f t="shared" si="1"/>
        <v>765</v>
      </c>
    </row>
    <row r="111" spans="1:25" ht="194.25" customHeight="1" x14ac:dyDescent="0.25">
      <c r="A111" t="s">
        <v>183</v>
      </c>
      <c r="B111" t="s">
        <v>184</v>
      </c>
      <c r="C111" s="2" t="s">
        <v>1139</v>
      </c>
      <c r="D111" s="2" t="s">
        <v>1140</v>
      </c>
      <c r="E111" s="2" t="s">
        <v>317</v>
      </c>
      <c r="F111" s="2" t="s">
        <v>313</v>
      </c>
      <c r="G111" t="s">
        <v>23</v>
      </c>
      <c r="H111" s="2" t="s">
        <v>194</v>
      </c>
      <c r="I111" s="2" t="s">
        <v>1</v>
      </c>
      <c r="J111" t="s">
        <v>23</v>
      </c>
      <c r="K111" s="2" t="s">
        <v>194</v>
      </c>
      <c r="L111" s="2" t="s">
        <v>1</v>
      </c>
      <c r="M111" t="s">
        <v>18</v>
      </c>
      <c r="N111" s="2" t="s">
        <v>187</v>
      </c>
      <c r="O111" t="s">
        <v>1</v>
      </c>
      <c r="P111" t="s">
        <v>21</v>
      </c>
      <c r="Q111" s="2" t="s">
        <v>194</v>
      </c>
      <c r="R111" s="2" t="s">
        <v>1</v>
      </c>
      <c r="S111" t="s">
        <v>18</v>
      </c>
      <c r="T111" t="s">
        <v>187</v>
      </c>
      <c r="U111" t="s">
        <v>1</v>
      </c>
      <c r="V111" t="s">
        <v>18</v>
      </c>
      <c r="W111" t="s">
        <v>187</v>
      </c>
      <c r="X111" t="s">
        <v>1</v>
      </c>
      <c r="Y111">
        <f t="shared" si="1"/>
        <v>775</v>
      </c>
    </row>
    <row r="112" spans="1:25" ht="194.25" customHeight="1" x14ac:dyDescent="0.25">
      <c r="A112" t="s">
        <v>183</v>
      </c>
      <c r="B112" t="s">
        <v>184</v>
      </c>
      <c r="C112" s="2" t="s">
        <v>1139</v>
      </c>
      <c r="D112" s="2" t="s">
        <v>1140</v>
      </c>
      <c r="E112" s="2" t="s">
        <v>318</v>
      </c>
      <c r="F112" s="2" t="s">
        <v>319</v>
      </c>
      <c r="G112" t="s">
        <v>21</v>
      </c>
      <c r="H112" s="2" t="s">
        <v>187</v>
      </c>
      <c r="I112" s="2" t="s">
        <v>1</v>
      </c>
      <c r="J112" t="s">
        <v>21</v>
      </c>
      <c r="K112" s="2" t="s">
        <v>187</v>
      </c>
      <c r="L112" s="2" t="s">
        <v>1</v>
      </c>
      <c r="M112" t="s">
        <v>21</v>
      </c>
      <c r="N112" s="2" t="s">
        <v>187</v>
      </c>
      <c r="O112" t="s">
        <v>1</v>
      </c>
      <c r="P112" t="s">
        <v>21</v>
      </c>
      <c r="Q112" s="2" t="s">
        <v>187</v>
      </c>
      <c r="R112" s="2" t="s">
        <v>1</v>
      </c>
      <c r="S112" t="s">
        <v>21</v>
      </c>
      <c r="T112" t="s">
        <v>187</v>
      </c>
      <c r="U112" t="s">
        <v>1</v>
      </c>
      <c r="V112" t="s">
        <v>18</v>
      </c>
      <c r="W112" t="s">
        <v>194</v>
      </c>
      <c r="X112" t="s">
        <v>1</v>
      </c>
      <c r="Y112">
        <f t="shared" si="1"/>
        <v>759</v>
      </c>
    </row>
    <row r="113" spans="1:25" ht="194.25" customHeight="1" x14ac:dyDescent="0.25">
      <c r="A113" t="s">
        <v>183</v>
      </c>
      <c r="B113" t="s">
        <v>184</v>
      </c>
      <c r="C113" s="2" t="s">
        <v>1139</v>
      </c>
      <c r="D113" s="2" t="s">
        <v>1140</v>
      </c>
      <c r="E113" s="2" t="s">
        <v>320</v>
      </c>
      <c r="F113" s="2" t="s">
        <v>319</v>
      </c>
      <c r="G113" t="s">
        <v>21</v>
      </c>
      <c r="H113" s="2" t="s">
        <v>187</v>
      </c>
      <c r="I113" s="2" t="s">
        <v>1</v>
      </c>
      <c r="J113" t="s">
        <v>21</v>
      </c>
      <c r="K113" s="2" t="s">
        <v>187</v>
      </c>
      <c r="L113" s="2" t="s">
        <v>1</v>
      </c>
      <c r="M113" t="s">
        <v>21</v>
      </c>
      <c r="N113" s="2" t="s">
        <v>187</v>
      </c>
      <c r="O113" t="s">
        <v>1</v>
      </c>
      <c r="P113" t="s">
        <v>21</v>
      </c>
      <c r="Q113" s="2" t="s">
        <v>187</v>
      </c>
      <c r="R113" s="2" t="s">
        <v>1</v>
      </c>
      <c r="S113" t="s">
        <v>21</v>
      </c>
      <c r="T113" t="s">
        <v>187</v>
      </c>
      <c r="U113" t="s">
        <v>1</v>
      </c>
      <c r="V113" t="s">
        <v>18</v>
      </c>
      <c r="W113" t="s">
        <v>194</v>
      </c>
      <c r="X113" t="s">
        <v>1</v>
      </c>
      <c r="Y113">
        <f t="shared" si="1"/>
        <v>755</v>
      </c>
    </row>
    <row r="114" spans="1:25" ht="194.25" customHeight="1" x14ac:dyDescent="0.25">
      <c r="A114" t="s">
        <v>183</v>
      </c>
      <c r="B114" t="s">
        <v>184</v>
      </c>
      <c r="C114" s="2" t="s">
        <v>1139</v>
      </c>
      <c r="D114" s="2" t="s">
        <v>1140</v>
      </c>
      <c r="E114" s="2" t="s">
        <v>321</v>
      </c>
      <c r="F114" s="2" t="s">
        <v>319</v>
      </c>
      <c r="G114" t="s">
        <v>21</v>
      </c>
      <c r="H114" s="2" t="s">
        <v>187</v>
      </c>
      <c r="I114" s="2" t="s">
        <v>1</v>
      </c>
      <c r="J114" t="s">
        <v>21</v>
      </c>
      <c r="K114" s="2" t="s">
        <v>187</v>
      </c>
      <c r="L114" s="2" t="s">
        <v>1</v>
      </c>
      <c r="M114" t="s">
        <v>21</v>
      </c>
      <c r="N114" s="2" t="s">
        <v>187</v>
      </c>
      <c r="O114" t="s">
        <v>1</v>
      </c>
      <c r="P114" t="s">
        <v>21</v>
      </c>
      <c r="Q114" s="2" t="s">
        <v>187</v>
      </c>
      <c r="R114" s="2" t="s">
        <v>1</v>
      </c>
      <c r="S114" t="s">
        <v>21</v>
      </c>
      <c r="T114" t="s">
        <v>187</v>
      </c>
      <c r="U114" t="s">
        <v>1</v>
      </c>
      <c r="V114" t="s">
        <v>18</v>
      </c>
      <c r="W114" t="s">
        <v>194</v>
      </c>
      <c r="X114" t="s">
        <v>1</v>
      </c>
      <c r="Y114">
        <f t="shared" si="1"/>
        <v>771</v>
      </c>
    </row>
    <row r="115" spans="1:25" ht="194.25" customHeight="1" x14ac:dyDescent="0.25">
      <c r="A115" t="s">
        <v>183</v>
      </c>
      <c r="B115" t="s">
        <v>184</v>
      </c>
      <c r="C115" s="2" t="s">
        <v>1139</v>
      </c>
      <c r="D115" s="2" t="s">
        <v>1140</v>
      </c>
      <c r="E115" s="2" t="s">
        <v>322</v>
      </c>
      <c r="F115" s="2" t="s">
        <v>319</v>
      </c>
      <c r="G115" t="s">
        <v>18</v>
      </c>
      <c r="H115" s="2" t="s">
        <v>194</v>
      </c>
      <c r="I115" s="2" t="s">
        <v>1</v>
      </c>
      <c r="J115" t="s">
        <v>21</v>
      </c>
      <c r="K115" s="2" t="s">
        <v>187</v>
      </c>
      <c r="L115" s="2" t="s">
        <v>1</v>
      </c>
      <c r="M115" t="s">
        <v>21</v>
      </c>
      <c r="N115" s="2" t="s">
        <v>187</v>
      </c>
      <c r="O115" t="s">
        <v>1</v>
      </c>
      <c r="P115" t="s">
        <v>21</v>
      </c>
      <c r="Q115" s="2" t="s">
        <v>187</v>
      </c>
      <c r="R115" s="2" t="s">
        <v>1</v>
      </c>
      <c r="S115" t="s">
        <v>21</v>
      </c>
      <c r="T115" t="s">
        <v>187</v>
      </c>
      <c r="U115" t="s">
        <v>1</v>
      </c>
      <c r="V115" t="s">
        <v>18</v>
      </c>
      <c r="W115" t="s">
        <v>194</v>
      </c>
      <c r="X115" t="s">
        <v>1</v>
      </c>
      <c r="Y115">
        <f t="shared" si="1"/>
        <v>759</v>
      </c>
    </row>
    <row r="116" spans="1:25" ht="194.25" customHeight="1" x14ac:dyDescent="0.25">
      <c r="A116" t="s">
        <v>183</v>
      </c>
      <c r="B116" t="s">
        <v>184</v>
      </c>
      <c r="C116" s="2" t="s">
        <v>1139</v>
      </c>
      <c r="D116" s="2" t="s">
        <v>1140</v>
      </c>
      <c r="E116" s="2" t="s">
        <v>323</v>
      </c>
      <c r="F116" s="2" t="s">
        <v>319</v>
      </c>
      <c r="G116" t="s">
        <v>21</v>
      </c>
      <c r="H116" s="2" t="s">
        <v>187</v>
      </c>
      <c r="I116" s="2" t="s">
        <v>1</v>
      </c>
      <c r="J116" t="s">
        <v>21</v>
      </c>
      <c r="K116" s="2" t="s">
        <v>187</v>
      </c>
      <c r="L116" s="2" t="s">
        <v>1</v>
      </c>
      <c r="M116" t="s">
        <v>21</v>
      </c>
      <c r="N116" s="2" t="s">
        <v>187</v>
      </c>
      <c r="O116" t="s">
        <v>1</v>
      </c>
      <c r="P116" t="s">
        <v>21</v>
      </c>
      <c r="Q116" s="2" t="s">
        <v>187</v>
      </c>
      <c r="R116" s="2" t="s">
        <v>1</v>
      </c>
      <c r="S116" t="s">
        <v>21</v>
      </c>
      <c r="T116" t="s">
        <v>187</v>
      </c>
      <c r="U116" t="s">
        <v>1</v>
      </c>
      <c r="V116" t="s">
        <v>21</v>
      </c>
      <c r="W116" t="s">
        <v>187</v>
      </c>
      <c r="X116" t="s">
        <v>1</v>
      </c>
      <c r="Y116">
        <f t="shared" si="1"/>
        <v>766</v>
      </c>
    </row>
    <row r="117" spans="1:25" ht="194.25" customHeight="1" x14ac:dyDescent="0.25">
      <c r="A117" t="s">
        <v>183</v>
      </c>
      <c r="B117" t="s">
        <v>184</v>
      </c>
      <c r="C117" s="2" t="s">
        <v>1139</v>
      </c>
      <c r="D117" s="2" t="s">
        <v>1140</v>
      </c>
      <c r="E117" s="2" t="s">
        <v>324</v>
      </c>
      <c r="F117" s="2" t="s">
        <v>325</v>
      </c>
      <c r="G117" t="s">
        <v>18</v>
      </c>
      <c r="H117" s="2" t="s">
        <v>187</v>
      </c>
      <c r="I117" s="2" t="s">
        <v>1</v>
      </c>
      <c r="J117" t="s">
        <v>21</v>
      </c>
      <c r="K117" s="2" t="s">
        <v>194</v>
      </c>
      <c r="L117" s="2" t="s">
        <v>1</v>
      </c>
      <c r="M117" t="s">
        <v>18</v>
      </c>
      <c r="N117" s="2" t="s">
        <v>187</v>
      </c>
      <c r="O117" t="s">
        <v>1</v>
      </c>
      <c r="P117" t="s">
        <v>21</v>
      </c>
      <c r="Q117" s="2" t="s">
        <v>194</v>
      </c>
      <c r="R117" s="2" t="s">
        <v>1</v>
      </c>
      <c r="S117" t="s">
        <v>23</v>
      </c>
      <c r="T117" t="s">
        <v>194</v>
      </c>
      <c r="U117" t="s">
        <v>1</v>
      </c>
      <c r="V117" t="s">
        <v>18</v>
      </c>
      <c r="W117" t="s">
        <v>187</v>
      </c>
      <c r="X117" t="s">
        <v>1</v>
      </c>
      <c r="Y117">
        <f t="shared" si="1"/>
        <v>738</v>
      </c>
    </row>
    <row r="118" spans="1:25" ht="194.25" customHeight="1" x14ac:dyDescent="0.25">
      <c r="A118" t="s">
        <v>183</v>
      </c>
      <c r="B118" t="s">
        <v>184</v>
      </c>
      <c r="C118" s="2" t="s">
        <v>1139</v>
      </c>
      <c r="D118" s="2" t="s">
        <v>1140</v>
      </c>
      <c r="E118" s="2" t="s">
        <v>326</v>
      </c>
      <c r="F118" s="2" t="s">
        <v>325</v>
      </c>
      <c r="G118" t="s">
        <v>18</v>
      </c>
      <c r="H118" s="2" t="s">
        <v>187</v>
      </c>
      <c r="I118" s="2" t="s">
        <v>1</v>
      </c>
      <c r="J118" t="s">
        <v>21</v>
      </c>
      <c r="K118" s="2" t="s">
        <v>194</v>
      </c>
      <c r="L118" s="2" t="s">
        <v>1</v>
      </c>
      <c r="M118" t="s">
        <v>18</v>
      </c>
      <c r="N118" s="2" t="s">
        <v>187</v>
      </c>
      <c r="O118" t="s">
        <v>1</v>
      </c>
      <c r="P118" t="s">
        <v>21</v>
      </c>
      <c r="Q118" s="2" t="s">
        <v>194</v>
      </c>
      <c r="R118" s="2" t="s">
        <v>1</v>
      </c>
      <c r="S118" t="s">
        <v>18</v>
      </c>
      <c r="T118" t="s">
        <v>187</v>
      </c>
      <c r="U118" t="s">
        <v>1</v>
      </c>
      <c r="V118" t="s">
        <v>18</v>
      </c>
      <c r="W118" t="s">
        <v>187</v>
      </c>
      <c r="X118" t="s">
        <v>1</v>
      </c>
      <c r="Y118">
        <f t="shared" si="1"/>
        <v>764</v>
      </c>
    </row>
    <row r="119" spans="1:25" ht="194.25" customHeight="1" x14ac:dyDescent="0.25">
      <c r="A119" t="s">
        <v>183</v>
      </c>
      <c r="B119" t="s">
        <v>184</v>
      </c>
      <c r="C119" s="2" t="s">
        <v>1139</v>
      </c>
      <c r="D119" s="2" t="s">
        <v>1140</v>
      </c>
      <c r="E119" s="2" t="s">
        <v>327</v>
      </c>
      <c r="F119" s="2" t="s">
        <v>325</v>
      </c>
      <c r="G119" t="s">
        <v>21</v>
      </c>
      <c r="H119" s="2" t="s">
        <v>194</v>
      </c>
      <c r="I119" s="2" t="s">
        <v>1</v>
      </c>
      <c r="J119" t="s">
        <v>18</v>
      </c>
      <c r="K119" s="2" t="s">
        <v>187</v>
      </c>
      <c r="L119" s="2" t="s">
        <v>1</v>
      </c>
      <c r="M119" t="s">
        <v>18</v>
      </c>
      <c r="N119" s="2" t="s">
        <v>187</v>
      </c>
      <c r="O119" t="s">
        <v>1</v>
      </c>
      <c r="P119" t="s">
        <v>18</v>
      </c>
      <c r="Q119" s="2" t="s">
        <v>187</v>
      </c>
      <c r="R119" s="2" t="s">
        <v>1</v>
      </c>
      <c r="S119" t="s">
        <v>21</v>
      </c>
      <c r="T119" t="s">
        <v>194</v>
      </c>
      <c r="U119" t="s">
        <v>1</v>
      </c>
      <c r="V119" t="s">
        <v>18</v>
      </c>
      <c r="W119" t="s">
        <v>187</v>
      </c>
      <c r="X119" t="s">
        <v>1</v>
      </c>
      <c r="Y119">
        <f t="shared" si="1"/>
        <v>748</v>
      </c>
    </row>
    <row r="120" spans="1:25" ht="194.25" customHeight="1" x14ac:dyDescent="0.25">
      <c r="A120" t="s">
        <v>183</v>
      </c>
      <c r="B120" t="s">
        <v>184</v>
      </c>
      <c r="C120" s="2" t="s">
        <v>1139</v>
      </c>
      <c r="D120" s="2" t="s">
        <v>1140</v>
      </c>
      <c r="E120" s="2" t="s">
        <v>328</v>
      </c>
      <c r="F120" s="2" t="s">
        <v>325</v>
      </c>
      <c r="G120" t="s">
        <v>18</v>
      </c>
      <c r="H120" s="2" t="s">
        <v>187</v>
      </c>
      <c r="I120" s="2" t="s">
        <v>1</v>
      </c>
      <c r="J120" t="s">
        <v>21</v>
      </c>
      <c r="K120" s="2" t="s">
        <v>194</v>
      </c>
      <c r="L120" s="2" t="s">
        <v>1</v>
      </c>
      <c r="M120" t="s">
        <v>18</v>
      </c>
      <c r="N120" s="2" t="s">
        <v>187</v>
      </c>
      <c r="O120" t="s">
        <v>1</v>
      </c>
      <c r="P120" t="s">
        <v>18</v>
      </c>
      <c r="Q120" s="2" t="s">
        <v>187</v>
      </c>
      <c r="R120" s="2" t="s">
        <v>1</v>
      </c>
      <c r="S120" t="s">
        <v>23</v>
      </c>
      <c r="T120" t="s">
        <v>194</v>
      </c>
      <c r="U120" t="s">
        <v>1</v>
      </c>
      <c r="V120" t="s">
        <v>18</v>
      </c>
      <c r="W120" t="s">
        <v>187</v>
      </c>
      <c r="X120" t="s">
        <v>1</v>
      </c>
      <c r="Y120">
        <f t="shared" si="1"/>
        <v>746</v>
      </c>
    </row>
    <row r="121" spans="1:25" ht="194.25" customHeight="1" x14ac:dyDescent="0.25">
      <c r="A121" t="s">
        <v>183</v>
      </c>
      <c r="B121" t="s">
        <v>184</v>
      </c>
      <c r="C121" s="2" t="s">
        <v>1139</v>
      </c>
      <c r="D121" s="2" t="s">
        <v>1140</v>
      </c>
      <c r="E121" s="2" t="s">
        <v>329</v>
      </c>
      <c r="F121" s="2" t="s">
        <v>325</v>
      </c>
      <c r="G121" t="s">
        <v>21</v>
      </c>
      <c r="H121" s="2" t="s">
        <v>194</v>
      </c>
      <c r="I121" s="2" t="s">
        <v>1</v>
      </c>
      <c r="J121" t="s">
        <v>21</v>
      </c>
      <c r="K121" s="2" t="s">
        <v>194</v>
      </c>
      <c r="L121" s="2" t="s">
        <v>1</v>
      </c>
      <c r="M121" t="s">
        <v>18</v>
      </c>
      <c r="N121" s="2" t="s">
        <v>187</v>
      </c>
      <c r="O121" t="s">
        <v>1</v>
      </c>
      <c r="P121" t="s">
        <v>18</v>
      </c>
      <c r="Q121" s="2" t="s">
        <v>187</v>
      </c>
      <c r="R121" s="2" t="s">
        <v>1</v>
      </c>
      <c r="S121" t="s">
        <v>21</v>
      </c>
      <c r="T121" t="s">
        <v>194</v>
      </c>
      <c r="U121" t="s">
        <v>1</v>
      </c>
      <c r="V121" t="s">
        <v>18</v>
      </c>
      <c r="W121" t="s">
        <v>187</v>
      </c>
      <c r="X121" t="s">
        <v>1</v>
      </c>
      <c r="Y121">
        <f t="shared" si="1"/>
        <v>769</v>
      </c>
    </row>
    <row r="122" spans="1:25" ht="194.25" customHeight="1" x14ac:dyDescent="0.25">
      <c r="A122" t="s">
        <v>183</v>
      </c>
      <c r="B122" t="s">
        <v>184</v>
      </c>
      <c r="C122" s="2" t="s">
        <v>1139</v>
      </c>
      <c r="D122" s="2" t="s">
        <v>1140</v>
      </c>
      <c r="E122" s="2" t="s">
        <v>330</v>
      </c>
      <c r="F122" s="2" t="s">
        <v>331</v>
      </c>
      <c r="G122" t="s">
        <v>18</v>
      </c>
      <c r="H122" s="2" t="s">
        <v>187</v>
      </c>
      <c r="I122" s="2" t="s">
        <v>1</v>
      </c>
      <c r="J122" t="s">
        <v>18</v>
      </c>
      <c r="K122" s="2" t="s">
        <v>187</v>
      </c>
      <c r="L122" s="2" t="s">
        <v>1</v>
      </c>
      <c r="M122" t="s">
        <v>18</v>
      </c>
      <c r="N122" s="2" t="s">
        <v>187</v>
      </c>
      <c r="O122" t="s">
        <v>1</v>
      </c>
      <c r="P122" t="s">
        <v>18</v>
      </c>
      <c r="Q122" s="2" t="s">
        <v>187</v>
      </c>
      <c r="R122" s="2" t="s">
        <v>1</v>
      </c>
      <c r="S122" t="s">
        <v>18</v>
      </c>
      <c r="T122" t="s">
        <v>187</v>
      </c>
      <c r="U122" t="s">
        <v>1</v>
      </c>
      <c r="V122" t="s">
        <v>18</v>
      </c>
      <c r="W122" t="s">
        <v>187</v>
      </c>
      <c r="X122" t="s">
        <v>1</v>
      </c>
      <c r="Y122">
        <f t="shared" si="1"/>
        <v>765</v>
      </c>
    </row>
    <row r="123" spans="1:25" ht="194.25" customHeight="1" x14ac:dyDescent="0.25">
      <c r="A123" t="s">
        <v>183</v>
      </c>
      <c r="B123" t="s">
        <v>184</v>
      </c>
      <c r="C123" s="2" t="s">
        <v>1139</v>
      </c>
      <c r="D123" s="2" t="s">
        <v>1140</v>
      </c>
      <c r="E123" s="2" t="s">
        <v>332</v>
      </c>
      <c r="F123" s="2" t="s">
        <v>331</v>
      </c>
      <c r="G123" t="s">
        <v>18</v>
      </c>
      <c r="H123" s="2" t="s">
        <v>187</v>
      </c>
      <c r="I123" s="2" t="s">
        <v>1</v>
      </c>
      <c r="J123" t="s">
        <v>18</v>
      </c>
      <c r="K123" s="2" t="s">
        <v>187</v>
      </c>
      <c r="L123" s="2" t="s">
        <v>1</v>
      </c>
      <c r="M123" t="s">
        <v>18</v>
      </c>
      <c r="N123" s="2" t="s">
        <v>187</v>
      </c>
      <c r="O123" t="s">
        <v>1</v>
      </c>
      <c r="P123" t="s">
        <v>18</v>
      </c>
      <c r="Q123" s="2" t="s">
        <v>187</v>
      </c>
      <c r="R123" s="2" t="s">
        <v>1</v>
      </c>
      <c r="S123" t="s">
        <v>18</v>
      </c>
      <c r="T123" t="s">
        <v>187</v>
      </c>
      <c r="U123" t="s">
        <v>1</v>
      </c>
      <c r="V123" t="s">
        <v>18</v>
      </c>
      <c r="W123" t="s">
        <v>187</v>
      </c>
      <c r="X123" t="s">
        <v>1</v>
      </c>
      <c r="Y123">
        <f t="shared" si="1"/>
        <v>772</v>
      </c>
    </row>
    <row r="124" spans="1:25" ht="194.25" customHeight="1" x14ac:dyDescent="0.25">
      <c r="A124" t="s">
        <v>183</v>
      </c>
      <c r="B124" t="s">
        <v>184</v>
      </c>
      <c r="C124" s="2" t="s">
        <v>1139</v>
      </c>
      <c r="D124" s="2" t="s">
        <v>1140</v>
      </c>
      <c r="E124" s="2" t="s">
        <v>333</v>
      </c>
      <c r="F124" s="2" t="s">
        <v>331</v>
      </c>
      <c r="G124" t="s">
        <v>23</v>
      </c>
      <c r="H124" s="2" t="s">
        <v>194</v>
      </c>
      <c r="I124" s="2" t="s">
        <v>1</v>
      </c>
      <c r="J124" t="s">
        <v>21</v>
      </c>
      <c r="K124" s="2" t="s">
        <v>194</v>
      </c>
      <c r="L124" s="2" t="s">
        <v>1</v>
      </c>
      <c r="M124" t="s">
        <v>18</v>
      </c>
      <c r="N124" s="2" t="s">
        <v>187</v>
      </c>
      <c r="O124" t="s">
        <v>1</v>
      </c>
      <c r="P124" t="s">
        <v>21</v>
      </c>
      <c r="Q124" s="2" t="s">
        <v>194</v>
      </c>
      <c r="R124" s="2" t="s">
        <v>1</v>
      </c>
      <c r="S124" t="s">
        <v>18</v>
      </c>
      <c r="T124" t="s">
        <v>187</v>
      </c>
      <c r="U124" t="s">
        <v>1</v>
      </c>
      <c r="V124" t="s">
        <v>18</v>
      </c>
      <c r="W124" t="s">
        <v>187</v>
      </c>
      <c r="X124" t="s">
        <v>1</v>
      </c>
      <c r="Y124">
        <f t="shared" si="1"/>
        <v>769</v>
      </c>
    </row>
    <row r="125" spans="1:25" ht="194.25" customHeight="1" x14ac:dyDescent="0.25">
      <c r="A125" t="s">
        <v>183</v>
      </c>
      <c r="B125" t="s">
        <v>184</v>
      </c>
      <c r="C125" s="2" t="s">
        <v>1139</v>
      </c>
      <c r="D125" s="2" t="s">
        <v>1140</v>
      </c>
      <c r="E125" s="2" t="s">
        <v>334</v>
      </c>
      <c r="F125" s="2" t="s">
        <v>331</v>
      </c>
      <c r="G125" t="s">
        <v>18</v>
      </c>
      <c r="H125" s="2" t="s">
        <v>187</v>
      </c>
      <c r="I125" s="2" t="s">
        <v>1</v>
      </c>
      <c r="J125" t="s">
        <v>18</v>
      </c>
      <c r="K125" s="2" t="s">
        <v>187</v>
      </c>
      <c r="L125" s="2" t="s">
        <v>1</v>
      </c>
      <c r="M125" t="s">
        <v>18</v>
      </c>
      <c r="N125" s="2" t="s">
        <v>187</v>
      </c>
      <c r="O125" t="s">
        <v>1</v>
      </c>
      <c r="P125" t="s">
        <v>18</v>
      </c>
      <c r="Q125" s="2" t="s">
        <v>187</v>
      </c>
      <c r="R125" s="2" t="s">
        <v>1</v>
      </c>
      <c r="S125" t="s">
        <v>18</v>
      </c>
      <c r="T125" t="s">
        <v>187</v>
      </c>
      <c r="U125" t="s">
        <v>1</v>
      </c>
      <c r="V125" t="s">
        <v>18</v>
      </c>
      <c r="W125" t="s">
        <v>187</v>
      </c>
      <c r="X125" t="s">
        <v>1</v>
      </c>
      <c r="Y125">
        <f t="shared" si="1"/>
        <v>763</v>
      </c>
    </row>
    <row r="126" spans="1:25" ht="194.25" customHeight="1" x14ac:dyDescent="0.25">
      <c r="A126" t="s">
        <v>183</v>
      </c>
      <c r="B126" t="s">
        <v>184</v>
      </c>
      <c r="C126" s="2" t="s">
        <v>1139</v>
      </c>
      <c r="D126" s="2" t="s">
        <v>1140</v>
      </c>
      <c r="E126" s="2" t="s">
        <v>335</v>
      </c>
      <c r="F126" s="2" t="s">
        <v>331</v>
      </c>
      <c r="G126" t="s">
        <v>18</v>
      </c>
      <c r="H126" s="2" t="s">
        <v>187</v>
      </c>
      <c r="I126" s="2" t="s">
        <v>1</v>
      </c>
      <c r="J126" t="s">
        <v>18</v>
      </c>
      <c r="K126" s="2" t="s">
        <v>187</v>
      </c>
      <c r="L126" s="2" t="s">
        <v>1</v>
      </c>
      <c r="M126" t="s">
        <v>18</v>
      </c>
      <c r="N126" s="2" t="s">
        <v>187</v>
      </c>
      <c r="O126" t="s">
        <v>1</v>
      </c>
      <c r="P126" t="s">
        <v>18</v>
      </c>
      <c r="Q126" s="2" t="s">
        <v>187</v>
      </c>
      <c r="R126" s="2" t="s">
        <v>1</v>
      </c>
      <c r="S126" t="s">
        <v>18</v>
      </c>
      <c r="T126" t="s">
        <v>187</v>
      </c>
      <c r="U126" t="s">
        <v>1</v>
      </c>
      <c r="V126" t="s">
        <v>18</v>
      </c>
      <c r="W126" t="s">
        <v>187</v>
      </c>
      <c r="X126" t="s">
        <v>1</v>
      </c>
      <c r="Y126">
        <f t="shared" si="1"/>
        <v>762</v>
      </c>
    </row>
    <row r="127" spans="1:25" ht="194.25" customHeight="1" x14ac:dyDescent="0.25">
      <c r="A127" t="s">
        <v>183</v>
      </c>
      <c r="B127" t="s">
        <v>184</v>
      </c>
      <c r="C127" s="2" t="s">
        <v>1139</v>
      </c>
      <c r="D127" s="2" t="s">
        <v>1140</v>
      </c>
      <c r="E127" s="2" t="s">
        <v>336</v>
      </c>
      <c r="F127" s="2" t="s">
        <v>337</v>
      </c>
      <c r="G127" t="s">
        <v>18</v>
      </c>
      <c r="H127" s="2" t="s">
        <v>187</v>
      </c>
      <c r="I127" s="2" t="s">
        <v>1</v>
      </c>
      <c r="J127" t="s">
        <v>18</v>
      </c>
      <c r="K127" s="2" t="s">
        <v>187</v>
      </c>
      <c r="L127" s="2" t="s">
        <v>1</v>
      </c>
      <c r="M127" t="s">
        <v>18</v>
      </c>
      <c r="N127" s="2" t="s">
        <v>187</v>
      </c>
      <c r="O127" t="s">
        <v>1</v>
      </c>
      <c r="P127" t="s">
        <v>18</v>
      </c>
      <c r="Q127" s="2" t="s">
        <v>187</v>
      </c>
      <c r="R127" s="2" t="s">
        <v>1</v>
      </c>
      <c r="S127" t="s">
        <v>18</v>
      </c>
      <c r="T127" t="s">
        <v>187</v>
      </c>
      <c r="U127" t="s">
        <v>1</v>
      </c>
      <c r="V127" t="s">
        <v>18</v>
      </c>
      <c r="W127" t="s">
        <v>187</v>
      </c>
      <c r="X127" t="s">
        <v>1</v>
      </c>
      <c r="Y127">
        <f t="shared" si="1"/>
        <v>765</v>
      </c>
    </row>
    <row r="128" spans="1:25" ht="194.25" customHeight="1" x14ac:dyDescent="0.25">
      <c r="A128" t="s">
        <v>183</v>
      </c>
      <c r="B128" t="s">
        <v>184</v>
      </c>
      <c r="C128" s="2" t="s">
        <v>1139</v>
      </c>
      <c r="D128" s="2" t="s">
        <v>1140</v>
      </c>
      <c r="E128" s="2" t="s">
        <v>338</v>
      </c>
      <c r="F128" s="2" t="s">
        <v>337</v>
      </c>
      <c r="G128" t="s">
        <v>18</v>
      </c>
      <c r="H128" s="2" t="s">
        <v>187</v>
      </c>
      <c r="I128" s="2" t="s">
        <v>1</v>
      </c>
      <c r="J128" t="s">
        <v>1082</v>
      </c>
      <c r="K128" s="2" t="s">
        <v>194</v>
      </c>
      <c r="L128" s="2" t="s">
        <v>1</v>
      </c>
      <c r="M128" t="s">
        <v>18</v>
      </c>
      <c r="N128" s="2" t="s">
        <v>187</v>
      </c>
      <c r="O128" t="s">
        <v>1</v>
      </c>
      <c r="P128" t="s">
        <v>18</v>
      </c>
      <c r="Q128" s="2" t="s">
        <v>187</v>
      </c>
      <c r="R128" s="2" t="s">
        <v>1</v>
      </c>
      <c r="S128" t="s">
        <v>18</v>
      </c>
      <c r="T128" t="s">
        <v>187</v>
      </c>
      <c r="U128" t="s">
        <v>1</v>
      </c>
      <c r="V128" t="s">
        <v>18</v>
      </c>
      <c r="W128" t="s">
        <v>187</v>
      </c>
      <c r="X128" t="s">
        <v>1</v>
      </c>
      <c r="Y128">
        <f t="shared" si="1"/>
        <v>762</v>
      </c>
    </row>
    <row r="129" spans="1:25" ht="194.25" customHeight="1" x14ac:dyDescent="0.25">
      <c r="A129" t="s">
        <v>183</v>
      </c>
      <c r="B129" t="s">
        <v>184</v>
      </c>
      <c r="C129" s="2" t="s">
        <v>1139</v>
      </c>
      <c r="D129" s="2" t="s">
        <v>1140</v>
      </c>
      <c r="E129" s="2" t="s">
        <v>339</v>
      </c>
      <c r="F129" s="2" t="s">
        <v>337</v>
      </c>
      <c r="G129" t="s">
        <v>18</v>
      </c>
      <c r="H129" s="2" t="s">
        <v>187</v>
      </c>
      <c r="I129" s="2" t="s">
        <v>1</v>
      </c>
      <c r="J129" t="s">
        <v>18</v>
      </c>
      <c r="K129" s="2" t="s">
        <v>187</v>
      </c>
      <c r="L129" s="2" t="s">
        <v>1</v>
      </c>
      <c r="M129" t="s">
        <v>18</v>
      </c>
      <c r="N129" s="2" t="s">
        <v>187</v>
      </c>
      <c r="O129" t="s">
        <v>1</v>
      </c>
      <c r="P129" t="s">
        <v>18</v>
      </c>
      <c r="Q129" s="2" t="s">
        <v>187</v>
      </c>
      <c r="R129" s="2" t="s">
        <v>1</v>
      </c>
      <c r="S129" t="s">
        <v>18</v>
      </c>
      <c r="T129" t="s">
        <v>187</v>
      </c>
      <c r="U129" t="s">
        <v>1</v>
      </c>
      <c r="V129" t="s">
        <v>18</v>
      </c>
      <c r="W129" t="s">
        <v>187</v>
      </c>
      <c r="X129" t="s">
        <v>1</v>
      </c>
      <c r="Y129">
        <f t="shared" si="1"/>
        <v>752</v>
      </c>
    </row>
    <row r="130" spans="1:25" ht="194.25" customHeight="1" x14ac:dyDescent="0.25">
      <c r="A130" t="s">
        <v>183</v>
      </c>
      <c r="B130" t="s">
        <v>184</v>
      </c>
      <c r="C130" s="2" t="s">
        <v>1139</v>
      </c>
      <c r="D130" s="2" t="s">
        <v>1140</v>
      </c>
      <c r="E130" s="2" t="s">
        <v>340</v>
      </c>
      <c r="F130" s="2" t="s">
        <v>337</v>
      </c>
      <c r="G130" t="s">
        <v>18</v>
      </c>
      <c r="H130" s="2" t="s">
        <v>187</v>
      </c>
      <c r="I130" s="2" t="s">
        <v>1</v>
      </c>
      <c r="J130" t="s">
        <v>1082</v>
      </c>
      <c r="K130" s="2" t="s">
        <v>194</v>
      </c>
      <c r="L130" s="2" t="s">
        <v>1</v>
      </c>
      <c r="M130" t="s">
        <v>18</v>
      </c>
      <c r="N130" s="2" t="s">
        <v>187</v>
      </c>
      <c r="O130" t="s">
        <v>1</v>
      </c>
      <c r="P130" t="s">
        <v>21</v>
      </c>
      <c r="Q130" s="2" t="s">
        <v>194</v>
      </c>
      <c r="R130" s="2" t="s">
        <v>1</v>
      </c>
      <c r="S130" t="s">
        <v>18</v>
      </c>
      <c r="T130" t="s">
        <v>187</v>
      </c>
      <c r="U130" t="s">
        <v>1</v>
      </c>
      <c r="V130" t="s">
        <v>18</v>
      </c>
      <c r="W130" t="s">
        <v>187</v>
      </c>
      <c r="X130" t="s">
        <v>1</v>
      </c>
      <c r="Y130">
        <f t="shared" si="1"/>
        <v>763</v>
      </c>
    </row>
    <row r="131" spans="1:25" ht="194.25" customHeight="1" x14ac:dyDescent="0.25">
      <c r="A131" t="s">
        <v>183</v>
      </c>
      <c r="B131" t="s">
        <v>184</v>
      </c>
      <c r="C131" s="2" t="s">
        <v>1139</v>
      </c>
      <c r="D131" s="2" t="s">
        <v>1140</v>
      </c>
      <c r="E131" s="2" t="s">
        <v>341</v>
      </c>
      <c r="F131" s="2" t="s">
        <v>337</v>
      </c>
      <c r="G131" t="s">
        <v>18</v>
      </c>
      <c r="H131" s="2" t="s">
        <v>187</v>
      </c>
      <c r="I131" s="2" t="s">
        <v>1</v>
      </c>
      <c r="J131" t="s">
        <v>21</v>
      </c>
      <c r="K131" s="2" t="s">
        <v>194</v>
      </c>
      <c r="L131" s="2" t="s">
        <v>1</v>
      </c>
      <c r="M131" t="s">
        <v>18</v>
      </c>
      <c r="N131" s="2" t="s">
        <v>187</v>
      </c>
      <c r="O131" t="s">
        <v>1</v>
      </c>
      <c r="P131" t="s">
        <v>21</v>
      </c>
      <c r="Q131" s="2" t="s">
        <v>194</v>
      </c>
      <c r="R131" s="2" t="s">
        <v>1</v>
      </c>
      <c r="S131" t="s">
        <v>18</v>
      </c>
      <c r="T131" t="s">
        <v>187</v>
      </c>
      <c r="U131" t="s">
        <v>1</v>
      </c>
      <c r="V131" t="s">
        <v>18</v>
      </c>
      <c r="W131" t="s">
        <v>187</v>
      </c>
      <c r="X131" t="s">
        <v>1</v>
      </c>
      <c r="Y131">
        <f t="shared" ref="Y131:Y146" si="2">LEN(D131)+LEN(E131)</f>
        <v>777</v>
      </c>
    </row>
    <row r="132" spans="1:25" ht="194.25" customHeight="1" x14ac:dyDescent="0.25">
      <c r="A132" t="s">
        <v>183</v>
      </c>
      <c r="B132" t="s">
        <v>184</v>
      </c>
      <c r="C132" s="2" t="s">
        <v>1139</v>
      </c>
      <c r="D132" s="2" t="s">
        <v>1140</v>
      </c>
      <c r="E132" s="2" t="s">
        <v>342</v>
      </c>
      <c r="F132" s="2" t="s">
        <v>343</v>
      </c>
      <c r="G132" t="s">
        <v>18</v>
      </c>
      <c r="H132" s="2" t="s">
        <v>187</v>
      </c>
      <c r="I132" s="2" t="s">
        <v>1</v>
      </c>
      <c r="J132" t="s">
        <v>18</v>
      </c>
      <c r="K132" s="2" t="s">
        <v>187</v>
      </c>
      <c r="L132" s="2" t="s">
        <v>1</v>
      </c>
      <c r="M132" t="s">
        <v>18</v>
      </c>
      <c r="N132" s="2" t="s">
        <v>187</v>
      </c>
      <c r="O132" t="s">
        <v>1</v>
      </c>
      <c r="P132" t="s">
        <v>18</v>
      </c>
      <c r="Q132" s="2" t="s">
        <v>187</v>
      </c>
      <c r="R132" s="2" t="s">
        <v>1</v>
      </c>
      <c r="S132" t="s">
        <v>18</v>
      </c>
      <c r="T132" t="s">
        <v>187</v>
      </c>
      <c r="U132" t="s">
        <v>1</v>
      </c>
      <c r="V132" t="s">
        <v>18</v>
      </c>
      <c r="W132" t="s">
        <v>187</v>
      </c>
      <c r="X132" t="s">
        <v>1</v>
      </c>
      <c r="Y132">
        <f t="shared" si="2"/>
        <v>762</v>
      </c>
    </row>
    <row r="133" spans="1:25" ht="194.25" customHeight="1" x14ac:dyDescent="0.25">
      <c r="A133" t="s">
        <v>183</v>
      </c>
      <c r="B133" t="s">
        <v>184</v>
      </c>
      <c r="C133" s="2" t="s">
        <v>1139</v>
      </c>
      <c r="D133" s="2" t="s">
        <v>1140</v>
      </c>
      <c r="E133" s="2" t="s">
        <v>344</v>
      </c>
      <c r="F133" s="2" t="s">
        <v>343</v>
      </c>
      <c r="G133" t="s">
        <v>18</v>
      </c>
      <c r="H133" s="2" t="s">
        <v>187</v>
      </c>
      <c r="I133" s="2" t="s">
        <v>1</v>
      </c>
      <c r="J133" t="s">
        <v>1166</v>
      </c>
      <c r="K133" s="2" t="s">
        <v>187</v>
      </c>
      <c r="L133" s="2" t="s">
        <v>2</v>
      </c>
      <c r="M133" t="s">
        <v>18</v>
      </c>
      <c r="N133" s="2" t="s">
        <v>187</v>
      </c>
      <c r="O133" t="s">
        <v>1</v>
      </c>
      <c r="P133" t="s">
        <v>18</v>
      </c>
      <c r="Q133" s="2" t="s">
        <v>187</v>
      </c>
      <c r="R133" s="2" t="s">
        <v>1</v>
      </c>
      <c r="S133" t="s">
        <v>18</v>
      </c>
      <c r="T133" t="s">
        <v>187</v>
      </c>
      <c r="U133" t="s">
        <v>1</v>
      </c>
      <c r="V133" t="s">
        <v>18</v>
      </c>
      <c r="W133" t="s">
        <v>187</v>
      </c>
      <c r="X133" t="s">
        <v>1</v>
      </c>
      <c r="Y133">
        <f t="shared" si="2"/>
        <v>763</v>
      </c>
    </row>
    <row r="134" spans="1:25" ht="194.25" customHeight="1" x14ac:dyDescent="0.25">
      <c r="A134" t="s">
        <v>183</v>
      </c>
      <c r="B134" t="s">
        <v>184</v>
      </c>
      <c r="C134" s="2" t="s">
        <v>1139</v>
      </c>
      <c r="D134" s="2" t="s">
        <v>1140</v>
      </c>
      <c r="E134" s="2" t="s">
        <v>345</v>
      </c>
      <c r="F134" s="2" t="s">
        <v>343</v>
      </c>
      <c r="G134" t="s">
        <v>18</v>
      </c>
      <c r="H134" s="2" t="s">
        <v>187</v>
      </c>
      <c r="I134" s="2" t="s">
        <v>1</v>
      </c>
      <c r="J134" t="s">
        <v>18</v>
      </c>
      <c r="K134" s="2" t="s">
        <v>187</v>
      </c>
      <c r="L134" s="2" t="s">
        <v>1</v>
      </c>
      <c r="M134" t="s">
        <v>18</v>
      </c>
      <c r="N134" s="2" t="s">
        <v>187</v>
      </c>
      <c r="O134" t="s">
        <v>1</v>
      </c>
      <c r="P134" t="s">
        <v>18</v>
      </c>
      <c r="Q134" s="2" t="s">
        <v>187</v>
      </c>
      <c r="R134" s="2" t="s">
        <v>1</v>
      </c>
      <c r="S134" t="s">
        <v>18</v>
      </c>
      <c r="T134" t="s">
        <v>187</v>
      </c>
      <c r="U134" t="s">
        <v>1</v>
      </c>
      <c r="V134" t="s">
        <v>18</v>
      </c>
      <c r="W134" t="s">
        <v>187</v>
      </c>
      <c r="X134" t="s">
        <v>1</v>
      </c>
      <c r="Y134">
        <f t="shared" si="2"/>
        <v>754</v>
      </c>
    </row>
    <row r="135" spans="1:25" ht="194.25" customHeight="1" x14ac:dyDescent="0.25">
      <c r="A135" t="s">
        <v>183</v>
      </c>
      <c r="B135" t="s">
        <v>184</v>
      </c>
      <c r="C135" s="2" t="s">
        <v>1139</v>
      </c>
      <c r="D135" s="2" t="s">
        <v>1140</v>
      </c>
      <c r="E135" s="2" t="s">
        <v>346</v>
      </c>
      <c r="F135" s="2" t="s">
        <v>343</v>
      </c>
      <c r="G135" t="s">
        <v>18</v>
      </c>
      <c r="H135" s="2" t="s">
        <v>187</v>
      </c>
      <c r="I135" s="2" t="s">
        <v>1</v>
      </c>
      <c r="J135" t="s">
        <v>21</v>
      </c>
      <c r="K135" s="2" t="s">
        <v>194</v>
      </c>
      <c r="L135" s="2" t="s">
        <v>1</v>
      </c>
      <c r="M135" t="s">
        <v>18</v>
      </c>
      <c r="N135" s="2" t="s">
        <v>187</v>
      </c>
      <c r="O135" t="s">
        <v>1</v>
      </c>
      <c r="P135" t="s">
        <v>18</v>
      </c>
      <c r="Q135" s="2" t="s">
        <v>187</v>
      </c>
      <c r="R135" s="2" t="s">
        <v>1</v>
      </c>
      <c r="S135" t="s">
        <v>18</v>
      </c>
      <c r="T135" t="s">
        <v>187</v>
      </c>
      <c r="U135" t="s">
        <v>1</v>
      </c>
      <c r="V135" t="s">
        <v>18</v>
      </c>
      <c r="W135" t="s">
        <v>187</v>
      </c>
      <c r="X135" t="s">
        <v>1</v>
      </c>
      <c r="Y135">
        <f t="shared" si="2"/>
        <v>757</v>
      </c>
    </row>
    <row r="136" spans="1:25" ht="194.25" customHeight="1" x14ac:dyDescent="0.25">
      <c r="A136" t="s">
        <v>183</v>
      </c>
      <c r="B136" t="s">
        <v>184</v>
      </c>
      <c r="C136" s="2" t="s">
        <v>1139</v>
      </c>
      <c r="D136" s="2" t="s">
        <v>1140</v>
      </c>
      <c r="E136" s="2" t="s">
        <v>347</v>
      </c>
      <c r="F136" s="2" t="s">
        <v>343</v>
      </c>
      <c r="G136" t="s">
        <v>18</v>
      </c>
      <c r="H136" s="2" t="s">
        <v>187</v>
      </c>
      <c r="I136" s="2" t="s">
        <v>1</v>
      </c>
      <c r="J136" t="s">
        <v>18</v>
      </c>
      <c r="K136" s="2" t="s">
        <v>187</v>
      </c>
      <c r="L136" s="2" t="s">
        <v>1</v>
      </c>
      <c r="M136" t="s">
        <v>21</v>
      </c>
      <c r="N136" s="2" t="s">
        <v>194</v>
      </c>
      <c r="O136" t="s">
        <v>1</v>
      </c>
      <c r="P136" t="s">
        <v>18</v>
      </c>
      <c r="Q136" s="2" t="s">
        <v>187</v>
      </c>
      <c r="R136" s="2" t="s">
        <v>1</v>
      </c>
      <c r="S136" t="s">
        <v>18</v>
      </c>
      <c r="T136" t="s">
        <v>187</v>
      </c>
      <c r="U136" t="s">
        <v>1</v>
      </c>
      <c r="V136" t="s">
        <v>18</v>
      </c>
      <c r="W136" t="s">
        <v>187</v>
      </c>
      <c r="X136" t="s">
        <v>1</v>
      </c>
      <c r="Y136">
        <f t="shared" si="2"/>
        <v>771</v>
      </c>
    </row>
    <row r="137" spans="1:25" ht="194.25" customHeight="1" x14ac:dyDescent="0.25">
      <c r="A137" t="s">
        <v>183</v>
      </c>
      <c r="B137" t="s">
        <v>184</v>
      </c>
      <c r="C137" s="2" t="s">
        <v>1139</v>
      </c>
      <c r="D137" s="2" t="s">
        <v>1140</v>
      </c>
      <c r="E137" s="2" t="s">
        <v>348</v>
      </c>
      <c r="F137" s="2" t="s">
        <v>249</v>
      </c>
      <c r="G137" t="s">
        <v>21</v>
      </c>
      <c r="H137" s="2" t="s">
        <v>187</v>
      </c>
      <c r="I137" s="2" t="s">
        <v>1</v>
      </c>
      <c r="J137" t="s">
        <v>21</v>
      </c>
      <c r="K137" s="2" t="s">
        <v>187</v>
      </c>
      <c r="L137" s="2" t="s">
        <v>1</v>
      </c>
      <c r="M137" t="s">
        <v>21</v>
      </c>
      <c r="N137" s="2" t="s">
        <v>187</v>
      </c>
      <c r="O137" t="s">
        <v>1</v>
      </c>
      <c r="P137" t="s">
        <v>18</v>
      </c>
      <c r="Q137" s="2" t="s">
        <v>194</v>
      </c>
      <c r="R137" s="2" t="s">
        <v>1</v>
      </c>
      <c r="S137" t="s">
        <v>21</v>
      </c>
      <c r="T137" t="s">
        <v>187</v>
      </c>
      <c r="U137" t="s">
        <v>1</v>
      </c>
      <c r="V137" t="s">
        <v>18</v>
      </c>
      <c r="W137" t="s">
        <v>194</v>
      </c>
      <c r="X137" t="s">
        <v>1</v>
      </c>
      <c r="Y137">
        <f t="shared" si="2"/>
        <v>785</v>
      </c>
    </row>
    <row r="138" spans="1:25" ht="194.25" customHeight="1" x14ac:dyDescent="0.25">
      <c r="A138" t="s">
        <v>183</v>
      </c>
      <c r="B138" t="s">
        <v>184</v>
      </c>
      <c r="C138" s="2" t="s">
        <v>1139</v>
      </c>
      <c r="D138" s="2" t="s">
        <v>1140</v>
      </c>
      <c r="E138" s="2" t="s">
        <v>349</v>
      </c>
      <c r="F138" s="2" t="s">
        <v>296</v>
      </c>
      <c r="G138" t="s">
        <v>23</v>
      </c>
      <c r="H138" s="2" t="s">
        <v>187</v>
      </c>
      <c r="I138" s="2" t="s">
        <v>1</v>
      </c>
      <c r="J138" t="s">
        <v>23</v>
      </c>
      <c r="K138" s="2" t="s">
        <v>187</v>
      </c>
      <c r="L138" s="2" t="s">
        <v>1</v>
      </c>
      <c r="M138" t="s">
        <v>23</v>
      </c>
      <c r="N138" s="2" t="s">
        <v>187</v>
      </c>
      <c r="O138" t="s">
        <v>1</v>
      </c>
      <c r="P138" t="s">
        <v>21</v>
      </c>
      <c r="Q138" s="2" t="s">
        <v>194</v>
      </c>
      <c r="R138" s="2" t="s">
        <v>1</v>
      </c>
      <c r="S138" t="s">
        <v>23</v>
      </c>
      <c r="T138" t="s">
        <v>187</v>
      </c>
      <c r="U138" t="s">
        <v>1</v>
      </c>
      <c r="V138" t="s">
        <v>18</v>
      </c>
      <c r="W138" t="s">
        <v>194</v>
      </c>
      <c r="X138" t="s">
        <v>1</v>
      </c>
      <c r="Y138">
        <f t="shared" si="2"/>
        <v>804</v>
      </c>
    </row>
    <row r="139" spans="1:25" ht="194.25" customHeight="1" x14ac:dyDescent="0.25">
      <c r="A139" t="s">
        <v>183</v>
      </c>
      <c r="B139" t="s">
        <v>184</v>
      </c>
      <c r="C139" s="2" t="s">
        <v>1139</v>
      </c>
      <c r="D139" s="2" t="s">
        <v>1140</v>
      </c>
      <c r="E139" s="2" t="s">
        <v>350</v>
      </c>
      <c r="F139" s="2" t="s">
        <v>313</v>
      </c>
      <c r="G139" t="s">
        <v>18</v>
      </c>
      <c r="H139" s="2" t="s">
        <v>187</v>
      </c>
      <c r="I139" s="2" t="s">
        <v>1</v>
      </c>
      <c r="J139" t="s">
        <v>1167</v>
      </c>
      <c r="K139" s="2" t="s">
        <v>187</v>
      </c>
      <c r="L139" s="2" t="s">
        <v>2</v>
      </c>
      <c r="M139" t="s">
        <v>18</v>
      </c>
      <c r="N139" s="2" t="s">
        <v>187</v>
      </c>
      <c r="O139" t="s">
        <v>1</v>
      </c>
      <c r="P139" t="s">
        <v>21</v>
      </c>
      <c r="Q139" s="2" t="s">
        <v>194</v>
      </c>
      <c r="R139" s="2" t="s">
        <v>1</v>
      </c>
      <c r="S139" t="s">
        <v>21</v>
      </c>
      <c r="T139" t="s">
        <v>194</v>
      </c>
      <c r="U139" t="s">
        <v>1</v>
      </c>
      <c r="V139" t="s">
        <v>18</v>
      </c>
      <c r="W139" t="s">
        <v>187</v>
      </c>
      <c r="X139" t="s">
        <v>1</v>
      </c>
      <c r="Y139">
        <f t="shared" si="2"/>
        <v>807</v>
      </c>
    </row>
    <row r="140" spans="1:25" ht="194.25" customHeight="1" x14ac:dyDescent="0.25">
      <c r="A140" t="s">
        <v>183</v>
      </c>
      <c r="B140" t="s">
        <v>184</v>
      </c>
      <c r="C140" s="2" t="s">
        <v>1139</v>
      </c>
      <c r="D140" s="2" t="s">
        <v>1140</v>
      </c>
      <c r="E140" s="2" t="s">
        <v>351</v>
      </c>
      <c r="F140" s="2" t="s">
        <v>331</v>
      </c>
      <c r="G140" t="s">
        <v>18</v>
      </c>
      <c r="H140" s="2" t="s">
        <v>187</v>
      </c>
      <c r="I140" s="2" t="s">
        <v>1</v>
      </c>
      <c r="J140" t="s">
        <v>23</v>
      </c>
      <c r="K140" s="2" t="s">
        <v>194</v>
      </c>
      <c r="L140" s="2" t="s">
        <v>1</v>
      </c>
      <c r="M140" t="s">
        <v>18</v>
      </c>
      <c r="N140" s="2" t="s">
        <v>187</v>
      </c>
      <c r="O140" t="s">
        <v>1</v>
      </c>
      <c r="P140" t="s">
        <v>18</v>
      </c>
      <c r="Q140" s="2" t="s">
        <v>187</v>
      </c>
      <c r="R140" s="2" t="s">
        <v>1</v>
      </c>
      <c r="S140" t="s">
        <v>18</v>
      </c>
      <c r="T140" t="s">
        <v>187</v>
      </c>
      <c r="U140" t="s">
        <v>1</v>
      </c>
      <c r="V140" t="s">
        <v>18</v>
      </c>
      <c r="W140" t="s">
        <v>187</v>
      </c>
      <c r="X140" t="s">
        <v>1</v>
      </c>
      <c r="Y140">
        <f t="shared" si="2"/>
        <v>795</v>
      </c>
    </row>
    <row r="141" spans="1:25" ht="194.25" customHeight="1" x14ac:dyDescent="0.25">
      <c r="A141" t="s">
        <v>183</v>
      </c>
      <c r="B141" t="s">
        <v>184</v>
      </c>
      <c r="C141" s="2" t="s">
        <v>1139</v>
      </c>
      <c r="D141" s="2" t="s">
        <v>1140</v>
      </c>
      <c r="E141" s="2" t="s">
        <v>352</v>
      </c>
      <c r="F141" s="2" t="s">
        <v>203</v>
      </c>
      <c r="G141" t="s">
        <v>23</v>
      </c>
      <c r="H141" s="2" t="s">
        <v>194</v>
      </c>
      <c r="I141" s="2" t="s">
        <v>1</v>
      </c>
      <c r="J141" t="s">
        <v>23</v>
      </c>
      <c r="K141" s="2" t="s">
        <v>194</v>
      </c>
      <c r="L141" s="2" t="s">
        <v>1</v>
      </c>
      <c r="M141" t="s">
        <v>23</v>
      </c>
      <c r="N141" s="2" t="s">
        <v>194</v>
      </c>
      <c r="O141" t="s">
        <v>1</v>
      </c>
      <c r="P141" t="s">
        <v>21</v>
      </c>
      <c r="Q141" s="2" t="s">
        <v>194</v>
      </c>
      <c r="R141" s="2" t="s">
        <v>1</v>
      </c>
      <c r="S141" t="s">
        <v>23</v>
      </c>
      <c r="T141" t="s">
        <v>194</v>
      </c>
      <c r="U141" t="s">
        <v>1</v>
      </c>
      <c r="V141" t="s">
        <v>18</v>
      </c>
      <c r="W141" t="s">
        <v>187</v>
      </c>
      <c r="X141" t="s">
        <v>1</v>
      </c>
      <c r="Y141">
        <f t="shared" si="2"/>
        <v>786</v>
      </c>
    </row>
    <row r="142" spans="1:25" ht="194.25" customHeight="1" x14ac:dyDescent="0.25">
      <c r="A142" t="s">
        <v>183</v>
      </c>
      <c r="B142" t="s">
        <v>184</v>
      </c>
      <c r="C142" s="2" t="s">
        <v>1139</v>
      </c>
      <c r="D142" s="2" t="s">
        <v>1140</v>
      </c>
      <c r="E142" s="2" t="s">
        <v>353</v>
      </c>
      <c r="F142" s="2" t="s">
        <v>243</v>
      </c>
      <c r="G142" t="s">
        <v>23</v>
      </c>
      <c r="H142" s="2" t="s">
        <v>187</v>
      </c>
      <c r="I142" s="2" t="s">
        <v>1</v>
      </c>
      <c r="J142" t="s">
        <v>18</v>
      </c>
      <c r="K142" s="2" t="s">
        <v>194</v>
      </c>
      <c r="L142" s="2" t="s">
        <v>1</v>
      </c>
      <c r="M142" t="s">
        <v>23</v>
      </c>
      <c r="N142" s="2" t="s">
        <v>187</v>
      </c>
      <c r="O142" t="s">
        <v>1</v>
      </c>
      <c r="P142" t="s">
        <v>18</v>
      </c>
      <c r="Q142" s="2" t="s">
        <v>194</v>
      </c>
      <c r="R142" s="2" t="s">
        <v>1</v>
      </c>
      <c r="S142" t="s">
        <v>21</v>
      </c>
      <c r="T142" t="s">
        <v>194</v>
      </c>
      <c r="U142" t="s">
        <v>1</v>
      </c>
      <c r="V142" t="s">
        <v>18</v>
      </c>
      <c r="W142" t="s">
        <v>194</v>
      </c>
      <c r="X142" t="s">
        <v>1</v>
      </c>
      <c r="Y142">
        <f t="shared" si="2"/>
        <v>762</v>
      </c>
    </row>
    <row r="143" spans="1:25" ht="194.25" customHeight="1" x14ac:dyDescent="0.25">
      <c r="A143" t="s">
        <v>183</v>
      </c>
      <c r="B143" t="s">
        <v>184</v>
      </c>
      <c r="C143" s="2" t="s">
        <v>1139</v>
      </c>
      <c r="D143" s="2" t="s">
        <v>1140</v>
      </c>
      <c r="E143" s="2" t="s">
        <v>354</v>
      </c>
      <c r="F143" s="2" t="s">
        <v>231</v>
      </c>
      <c r="G143" t="s">
        <v>18</v>
      </c>
      <c r="H143" s="2" t="s">
        <v>194</v>
      </c>
      <c r="I143" s="2" t="s">
        <v>1</v>
      </c>
      <c r="J143" t="s">
        <v>18</v>
      </c>
      <c r="K143" s="2" t="s">
        <v>194</v>
      </c>
      <c r="L143" s="2" t="s">
        <v>1</v>
      </c>
      <c r="M143" t="s">
        <v>18</v>
      </c>
      <c r="N143" s="2" t="s">
        <v>194</v>
      </c>
      <c r="O143" t="s">
        <v>1</v>
      </c>
      <c r="P143" t="s">
        <v>18</v>
      </c>
      <c r="Q143" s="2" t="s">
        <v>194</v>
      </c>
      <c r="R143" s="2" t="s">
        <v>1</v>
      </c>
      <c r="S143" t="s">
        <v>18</v>
      </c>
      <c r="T143" t="s">
        <v>194</v>
      </c>
      <c r="U143" t="s">
        <v>1</v>
      </c>
      <c r="V143" t="s">
        <v>18</v>
      </c>
      <c r="W143" t="s">
        <v>194</v>
      </c>
      <c r="X143" t="s">
        <v>1</v>
      </c>
      <c r="Y143">
        <f t="shared" si="2"/>
        <v>792</v>
      </c>
    </row>
    <row r="144" spans="1:25" ht="194.25" customHeight="1" x14ac:dyDescent="0.25">
      <c r="A144" t="s">
        <v>183</v>
      </c>
      <c r="B144" t="s">
        <v>184</v>
      </c>
      <c r="C144" s="2" t="s">
        <v>1139</v>
      </c>
      <c r="D144" s="2" t="s">
        <v>1140</v>
      </c>
      <c r="E144" s="2" t="s">
        <v>355</v>
      </c>
      <c r="F144" s="2" t="s">
        <v>213</v>
      </c>
      <c r="G144" t="s">
        <v>18</v>
      </c>
      <c r="H144" s="2" t="s">
        <v>194</v>
      </c>
      <c r="I144" s="2" t="s">
        <v>1</v>
      </c>
      <c r="J144" t="s">
        <v>21</v>
      </c>
      <c r="K144" s="2" t="s">
        <v>187</v>
      </c>
      <c r="L144" s="2" t="s">
        <v>1</v>
      </c>
      <c r="M144" t="s">
        <v>21</v>
      </c>
      <c r="N144" s="2" t="s">
        <v>187</v>
      </c>
      <c r="O144" t="s">
        <v>1</v>
      </c>
      <c r="P144" t="s">
        <v>21</v>
      </c>
      <c r="Q144" s="2" t="s">
        <v>187</v>
      </c>
      <c r="R144" s="2" t="s">
        <v>1</v>
      </c>
      <c r="S144" t="s">
        <v>23</v>
      </c>
      <c r="T144" t="s">
        <v>194</v>
      </c>
      <c r="U144" t="s">
        <v>1</v>
      </c>
      <c r="V144" t="s">
        <v>18</v>
      </c>
      <c r="W144" t="s">
        <v>194</v>
      </c>
      <c r="X144" t="s">
        <v>1</v>
      </c>
      <c r="Y144">
        <f t="shared" si="2"/>
        <v>782</v>
      </c>
    </row>
    <row r="145" spans="1:25" ht="194.25" customHeight="1" x14ac:dyDescent="0.25">
      <c r="A145" t="s">
        <v>183</v>
      </c>
      <c r="B145" t="s">
        <v>184</v>
      </c>
      <c r="C145" s="2" t="s">
        <v>1139</v>
      </c>
      <c r="D145" s="2" t="s">
        <v>1140</v>
      </c>
      <c r="E145" s="2" t="s">
        <v>356</v>
      </c>
      <c r="F145" s="2" t="s">
        <v>337</v>
      </c>
      <c r="G145" t="s">
        <v>18</v>
      </c>
      <c r="H145" s="2" t="s">
        <v>187</v>
      </c>
      <c r="I145" s="2" t="s">
        <v>1</v>
      </c>
      <c r="J145" t="s">
        <v>21</v>
      </c>
      <c r="K145" s="2" t="s">
        <v>194</v>
      </c>
      <c r="L145" s="2" t="s">
        <v>1</v>
      </c>
      <c r="M145" t="s">
        <v>18</v>
      </c>
      <c r="N145" s="2" t="s">
        <v>187</v>
      </c>
      <c r="O145" t="s">
        <v>1</v>
      </c>
      <c r="P145" t="s">
        <v>18</v>
      </c>
      <c r="Q145" s="2" t="s">
        <v>187</v>
      </c>
      <c r="R145" s="2" t="s">
        <v>1</v>
      </c>
      <c r="S145" t="s">
        <v>18</v>
      </c>
      <c r="T145" t="s">
        <v>187</v>
      </c>
      <c r="U145" t="s">
        <v>1</v>
      </c>
      <c r="V145" t="s">
        <v>18</v>
      </c>
      <c r="W145" t="s">
        <v>187</v>
      </c>
      <c r="X145" t="s">
        <v>1</v>
      </c>
      <c r="Y145">
        <f t="shared" si="2"/>
        <v>789</v>
      </c>
    </row>
    <row r="146" spans="1:25" ht="194.25" customHeight="1" x14ac:dyDescent="0.25">
      <c r="A146" t="s">
        <v>183</v>
      </c>
      <c r="B146" t="s">
        <v>184</v>
      </c>
      <c r="C146" s="2" t="s">
        <v>1139</v>
      </c>
      <c r="D146" s="2" t="s">
        <v>1140</v>
      </c>
      <c r="E146" s="2" t="s">
        <v>357</v>
      </c>
      <c r="F146" s="2" t="s">
        <v>203</v>
      </c>
      <c r="G146" t="s">
        <v>18</v>
      </c>
      <c r="H146" s="2" t="s">
        <v>187</v>
      </c>
      <c r="I146" s="2" t="s">
        <v>1</v>
      </c>
      <c r="J146" t="s">
        <v>21</v>
      </c>
      <c r="K146" s="2" t="s">
        <v>194</v>
      </c>
      <c r="L146" s="2" t="s">
        <v>1</v>
      </c>
      <c r="M146" t="s">
        <v>18</v>
      </c>
      <c r="N146" s="2" t="s">
        <v>187</v>
      </c>
      <c r="O146" t="s">
        <v>1</v>
      </c>
      <c r="P146" t="s">
        <v>21</v>
      </c>
      <c r="Q146" s="2" t="s">
        <v>194</v>
      </c>
      <c r="R146" s="2" t="s">
        <v>1</v>
      </c>
      <c r="S146" t="s">
        <v>23</v>
      </c>
      <c r="T146" t="s">
        <v>194</v>
      </c>
      <c r="U146" t="s">
        <v>1</v>
      </c>
      <c r="V146" t="s">
        <v>18</v>
      </c>
      <c r="W146" t="s">
        <v>187</v>
      </c>
      <c r="X146" t="s">
        <v>1</v>
      </c>
      <c r="Y146">
        <f t="shared" si="2"/>
        <v>787</v>
      </c>
    </row>
  </sheetData>
  <autoFilter ref="A1:Y146" xr:uid="{6DDB8420-DDE6-4F6B-85A9-0219A6EECB0D}"/>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4F430-2981-4241-BE50-338BF1265939}">
  <dimension ref="A1:Y147"/>
  <sheetViews>
    <sheetView zoomScale="85" zoomScaleNormal="85" workbookViewId="0">
      <selection activeCell="D2" sqref="D2"/>
    </sheetView>
  </sheetViews>
  <sheetFormatPr defaultRowHeight="15" x14ac:dyDescent="0.25"/>
  <cols>
    <col min="1" max="1" width="10.7109375" bestFit="1" customWidth="1"/>
    <col min="2" max="2" width="11.5703125" bestFit="1" customWidth="1"/>
    <col min="3" max="3" width="51.28515625" customWidth="1"/>
    <col min="4" max="4" width="50.42578125" customWidth="1"/>
    <col min="5" max="5" width="49.140625" customWidth="1"/>
    <col min="6" max="6" width="22.5703125" bestFit="1" customWidth="1"/>
    <col min="7" max="7" width="33.5703125" customWidth="1"/>
    <col min="8" max="8" width="26.85546875" bestFit="1" customWidth="1"/>
    <col min="9" max="9" width="21.42578125" bestFit="1" customWidth="1"/>
    <col min="10" max="10" width="25.140625" style="2" customWidth="1"/>
    <col min="11" max="11" width="22.5703125" customWidth="1"/>
    <col min="12" max="12" width="13.7109375" customWidth="1"/>
    <col min="13" max="13" width="21.28515625" customWidth="1"/>
    <col min="14" max="14" width="20.140625" customWidth="1"/>
    <col min="15" max="15" width="15.42578125" customWidth="1"/>
    <col min="16" max="16" width="27.28515625" style="2" customWidth="1"/>
    <col min="17" max="17" width="19.85546875" customWidth="1"/>
    <col min="18" max="18" width="26.7109375" customWidth="1"/>
    <col min="19" max="19" width="19.5703125" customWidth="1"/>
    <col min="20" max="20" width="21.5703125" customWidth="1"/>
    <col min="21" max="21" width="20.7109375" customWidth="1"/>
    <col min="22" max="22" width="18.85546875" customWidth="1"/>
    <col min="23" max="23" width="22" customWidth="1"/>
    <col min="24" max="24" width="19" customWidth="1"/>
    <col min="25" max="25" width="20.42578125" customWidth="1"/>
  </cols>
  <sheetData>
    <row r="1" spans="1:25" ht="30" x14ac:dyDescent="0.25">
      <c r="A1" s="5" t="s">
        <v>4</v>
      </c>
      <c r="B1" s="5" t="s">
        <v>0</v>
      </c>
      <c r="C1" s="5" t="s">
        <v>7</v>
      </c>
      <c r="D1" s="6" t="s">
        <v>8</v>
      </c>
      <c r="E1" s="6" t="s">
        <v>9</v>
      </c>
      <c r="F1" s="22" t="s">
        <v>10</v>
      </c>
      <c r="G1" s="4" t="s">
        <v>379</v>
      </c>
      <c r="H1" s="4" t="s">
        <v>380</v>
      </c>
      <c r="I1" s="4" t="s">
        <v>1031</v>
      </c>
      <c r="J1" s="4" t="s">
        <v>12</v>
      </c>
      <c r="K1" s="4" t="s">
        <v>13</v>
      </c>
      <c r="L1" s="4" t="s">
        <v>14</v>
      </c>
      <c r="M1" s="4" t="s">
        <v>1069</v>
      </c>
      <c r="N1" s="4" t="s">
        <v>1070</v>
      </c>
      <c r="O1" s="4" t="s">
        <v>1071</v>
      </c>
      <c r="P1" s="12" t="s">
        <v>1035</v>
      </c>
      <c r="Q1" s="12" t="s">
        <v>1066</v>
      </c>
      <c r="R1" s="12" t="s">
        <v>1074</v>
      </c>
      <c r="S1" s="12" t="s">
        <v>1052</v>
      </c>
      <c r="T1" s="4" t="s">
        <v>1053</v>
      </c>
      <c r="U1" s="4" t="s">
        <v>1054</v>
      </c>
      <c r="V1" s="12" t="s">
        <v>1048</v>
      </c>
      <c r="W1" s="12" t="s">
        <v>1050</v>
      </c>
      <c r="X1" s="12" t="s">
        <v>1073</v>
      </c>
      <c r="Y1" s="17" t="s">
        <v>368</v>
      </c>
    </row>
    <row r="2" spans="1:25" ht="147.75" customHeight="1" x14ac:dyDescent="0.25">
      <c r="A2" t="s">
        <v>183</v>
      </c>
      <c r="B2" t="s">
        <v>184</v>
      </c>
      <c r="C2" s="2" t="s">
        <v>1138</v>
      </c>
      <c r="D2" s="2" t="s">
        <v>1137</v>
      </c>
      <c r="E2" s="2" t="s">
        <v>185</v>
      </c>
      <c r="F2" s="2" t="s">
        <v>186</v>
      </c>
      <c r="G2" t="s">
        <v>23</v>
      </c>
      <c r="H2" s="2" t="s">
        <v>187</v>
      </c>
      <c r="I2" s="2" t="s">
        <v>1</v>
      </c>
      <c r="J2" s="2" t="s">
        <v>1141</v>
      </c>
      <c r="K2" s="2" t="s">
        <v>194</v>
      </c>
      <c r="L2" s="2" t="s">
        <v>2</v>
      </c>
      <c r="M2" t="s">
        <v>23</v>
      </c>
      <c r="N2" t="s">
        <v>187</v>
      </c>
      <c r="O2" s="2" t="s">
        <v>1</v>
      </c>
      <c r="P2" t="s">
        <v>21</v>
      </c>
      <c r="Q2" s="2" t="s">
        <v>194</v>
      </c>
      <c r="R2" s="2" t="s">
        <v>1</v>
      </c>
      <c r="S2" t="s">
        <v>23</v>
      </c>
      <c r="T2" t="s">
        <v>187</v>
      </c>
      <c r="U2" t="s">
        <v>1</v>
      </c>
      <c r="V2" t="s">
        <v>23</v>
      </c>
      <c r="W2" t="s">
        <v>187</v>
      </c>
      <c r="X2" t="s">
        <v>1</v>
      </c>
      <c r="Y2">
        <f>LEN(D2)+LEN(E2)</f>
        <v>782</v>
      </c>
    </row>
    <row r="3" spans="1:25" ht="147.75" customHeight="1" x14ac:dyDescent="0.25">
      <c r="A3" t="s">
        <v>183</v>
      </c>
      <c r="B3" t="s">
        <v>184</v>
      </c>
      <c r="C3" s="2" t="s">
        <v>1138</v>
      </c>
      <c r="D3" s="2" t="s">
        <v>1137</v>
      </c>
      <c r="E3" s="2" t="s">
        <v>188</v>
      </c>
      <c r="F3" s="2" t="s">
        <v>186</v>
      </c>
      <c r="G3" t="s">
        <v>23</v>
      </c>
      <c r="H3" s="2" t="s">
        <v>187</v>
      </c>
      <c r="I3" s="2" t="s">
        <v>1</v>
      </c>
      <c r="J3" t="s">
        <v>18</v>
      </c>
      <c r="K3" s="2" t="s">
        <v>194</v>
      </c>
      <c r="L3" s="2" t="s">
        <v>1</v>
      </c>
      <c r="M3" t="s">
        <v>23</v>
      </c>
      <c r="N3" t="s">
        <v>187</v>
      </c>
      <c r="O3" s="2" t="s">
        <v>1</v>
      </c>
      <c r="P3" t="s">
        <v>18</v>
      </c>
      <c r="Q3" s="2" t="s">
        <v>194</v>
      </c>
      <c r="R3" s="2" t="s">
        <v>1</v>
      </c>
      <c r="S3" t="s">
        <v>18</v>
      </c>
      <c r="T3" t="s">
        <v>194</v>
      </c>
      <c r="U3" t="s">
        <v>1</v>
      </c>
      <c r="V3" t="s">
        <v>23</v>
      </c>
      <c r="W3" t="s">
        <v>187</v>
      </c>
      <c r="X3" t="s">
        <v>1</v>
      </c>
      <c r="Y3">
        <f t="shared" ref="Y3:Y66" si="0">LEN(D3)+LEN(E3)</f>
        <v>781</v>
      </c>
    </row>
    <row r="4" spans="1:25" ht="147.75" customHeight="1" x14ac:dyDescent="0.25">
      <c r="A4" t="s">
        <v>183</v>
      </c>
      <c r="B4" t="s">
        <v>184</v>
      </c>
      <c r="C4" s="2" t="s">
        <v>1138</v>
      </c>
      <c r="D4" s="2" t="s">
        <v>1137</v>
      </c>
      <c r="E4" s="2" t="s">
        <v>189</v>
      </c>
      <c r="F4" s="2" t="s">
        <v>186</v>
      </c>
      <c r="G4" t="s">
        <v>23</v>
      </c>
      <c r="H4" s="2" t="s">
        <v>187</v>
      </c>
      <c r="I4" s="2" t="s">
        <v>1</v>
      </c>
      <c r="J4" t="s">
        <v>23</v>
      </c>
      <c r="K4" s="2" t="s">
        <v>187</v>
      </c>
      <c r="L4" s="2" t="s">
        <v>1</v>
      </c>
      <c r="M4" t="s">
        <v>23</v>
      </c>
      <c r="N4" t="s">
        <v>187</v>
      </c>
      <c r="O4" s="2" t="s">
        <v>1</v>
      </c>
      <c r="P4" t="s">
        <v>23</v>
      </c>
      <c r="Q4" s="2" t="s">
        <v>187</v>
      </c>
      <c r="R4" s="2" t="s">
        <v>1</v>
      </c>
      <c r="S4" t="s">
        <v>23</v>
      </c>
      <c r="T4" t="s">
        <v>187</v>
      </c>
      <c r="U4" t="s">
        <v>1</v>
      </c>
      <c r="V4" t="s">
        <v>23</v>
      </c>
      <c r="W4" t="s">
        <v>187</v>
      </c>
      <c r="X4" t="s">
        <v>1</v>
      </c>
      <c r="Y4">
        <f t="shared" si="0"/>
        <v>775</v>
      </c>
    </row>
    <row r="5" spans="1:25" ht="147.75" customHeight="1" x14ac:dyDescent="0.25">
      <c r="A5" t="s">
        <v>183</v>
      </c>
      <c r="B5" t="s">
        <v>184</v>
      </c>
      <c r="C5" s="2" t="s">
        <v>1138</v>
      </c>
      <c r="D5" s="2" t="s">
        <v>1137</v>
      </c>
      <c r="E5" s="2" t="s">
        <v>190</v>
      </c>
      <c r="F5" s="2" t="s">
        <v>186</v>
      </c>
      <c r="G5" t="s">
        <v>23</v>
      </c>
      <c r="H5" s="2" t="s">
        <v>187</v>
      </c>
      <c r="I5" s="2" t="s">
        <v>1</v>
      </c>
      <c r="J5" t="s">
        <v>23</v>
      </c>
      <c r="K5" s="2" t="s">
        <v>187</v>
      </c>
      <c r="L5" s="2" t="s">
        <v>1</v>
      </c>
      <c r="M5" t="s">
        <v>23</v>
      </c>
      <c r="N5" t="s">
        <v>187</v>
      </c>
      <c r="O5" s="2" t="s">
        <v>1</v>
      </c>
      <c r="P5" t="s">
        <v>18</v>
      </c>
      <c r="Q5" s="2" t="s">
        <v>194</v>
      </c>
      <c r="R5" s="2" t="s">
        <v>1</v>
      </c>
      <c r="S5" t="s">
        <v>18</v>
      </c>
      <c r="T5" t="s">
        <v>194</v>
      </c>
      <c r="U5" t="s">
        <v>1</v>
      </c>
      <c r="V5" t="s">
        <v>23</v>
      </c>
      <c r="W5" t="s">
        <v>187</v>
      </c>
      <c r="X5" t="s">
        <v>1</v>
      </c>
      <c r="Y5">
        <f t="shared" si="0"/>
        <v>761</v>
      </c>
    </row>
    <row r="6" spans="1:25" ht="147.75" customHeight="1" x14ac:dyDescent="0.25">
      <c r="A6" t="s">
        <v>183</v>
      </c>
      <c r="B6" t="s">
        <v>184</v>
      </c>
      <c r="C6" s="2" t="s">
        <v>1138</v>
      </c>
      <c r="D6" s="2" t="s">
        <v>1137</v>
      </c>
      <c r="E6" s="2" t="s">
        <v>191</v>
      </c>
      <c r="F6" s="2" t="s">
        <v>186</v>
      </c>
      <c r="G6" t="s">
        <v>23</v>
      </c>
      <c r="H6" s="2" t="s">
        <v>187</v>
      </c>
      <c r="I6" s="2" t="s">
        <v>1</v>
      </c>
      <c r="J6" t="s">
        <v>23</v>
      </c>
      <c r="K6" s="2" t="s">
        <v>187</v>
      </c>
      <c r="L6" s="2" t="s">
        <v>1</v>
      </c>
      <c r="M6" t="s">
        <v>23</v>
      </c>
      <c r="N6" t="s">
        <v>187</v>
      </c>
      <c r="O6" s="2" t="s">
        <v>1</v>
      </c>
      <c r="P6" t="s">
        <v>23</v>
      </c>
      <c r="Q6" s="2" t="s">
        <v>187</v>
      </c>
      <c r="R6" s="2" t="s">
        <v>1</v>
      </c>
      <c r="S6" t="s">
        <v>23</v>
      </c>
      <c r="T6" t="s">
        <v>187</v>
      </c>
      <c r="U6" t="s">
        <v>1</v>
      </c>
      <c r="V6" t="s">
        <v>23</v>
      </c>
      <c r="W6" t="s">
        <v>187</v>
      </c>
      <c r="X6" t="s">
        <v>1</v>
      </c>
      <c r="Y6">
        <f t="shared" si="0"/>
        <v>780</v>
      </c>
    </row>
    <row r="7" spans="1:25" ht="147.75" customHeight="1" x14ac:dyDescent="0.25">
      <c r="A7" t="s">
        <v>183</v>
      </c>
      <c r="B7" t="s">
        <v>184</v>
      </c>
      <c r="C7" s="2" t="s">
        <v>1138</v>
      </c>
      <c r="D7" s="2" t="s">
        <v>1137</v>
      </c>
      <c r="E7" s="2" t="s">
        <v>192</v>
      </c>
      <c r="F7" s="2" t="s">
        <v>193</v>
      </c>
      <c r="G7" t="s">
        <v>23</v>
      </c>
      <c r="H7" s="2" t="s">
        <v>187</v>
      </c>
      <c r="I7" s="2" t="s">
        <v>1</v>
      </c>
      <c r="J7" s="2" t="s">
        <v>1142</v>
      </c>
      <c r="K7" s="2" t="s">
        <v>187</v>
      </c>
      <c r="L7" s="2" t="s">
        <v>2</v>
      </c>
      <c r="M7" t="s">
        <v>23</v>
      </c>
      <c r="N7" t="s">
        <v>187</v>
      </c>
      <c r="O7" s="2" t="s">
        <v>1</v>
      </c>
      <c r="P7" t="s">
        <v>21</v>
      </c>
      <c r="Q7" s="2" t="s">
        <v>194</v>
      </c>
      <c r="R7" s="2" t="s">
        <v>1</v>
      </c>
      <c r="S7" t="s">
        <v>21</v>
      </c>
      <c r="T7" t="s">
        <v>194</v>
      </c>
      <c r="U7" t="s">
        <v>1</v>
      </c>
      <c r="V7" t="s">
        <v>23</v>
      </c>
      <c r="W7" t="s">
        <v>187</v>
      </c>
      <c r="X7" t="s">
        <v>1</v>
      </c>
      <c r="Y7">
        <f t="shared" si="0"/>
        <v>775</v>
      </c>
    </row>
    <row r="8" spans="1:25" ht="147.75" customHeight="1" x14ac:dyDescent="0.25">
      <c r="A8" t="s">
        <v>183</v>
      </c>
      <c r="B8" t="s">
        <v>184</v>
      </c>
      <c r="C8" s="2" t="s">
        <v>1138</v>
      </c>
      <c r="D8" s="2" t="s">
        <v>1137</v>
      </c>
      <c r="E8" s="2" t="s">
        <v>195</v>
      </c>
      <c r="F8" s="2" t="s">
        <v>193</v>
      </c>
      <c r="G8" t="s">
        <v>23</v>
      </c>
      <c r="H8" s="2" t="s">
        <v>187</v>
      </c>
      <c r="I8" s="2" t="s">
        <v>1</v>
      </c>
      <c r="J8" t="s">
        <v>21</v>
      </c>
      <c r="K8" s="2" t="s">
        <v>194</v>
      </c>
      <c r="L8" s="2" t="s">
        <v>1</v>
      </c>
      <c r="M8" t="s">
        <v>21</v>
      </c>
      <c r="N8" t="s">
        <v>194</v>
      </c>
      <c r="O8" s="2" t="s">
        <v>1</v>
      </c>
      <c r="P8" t="s">
        <v>21</v>
      </c>
      <c r="Q8" s="2" t="s">
        <v>194</v>
      </c>
      <c r="R8" s="2" t="s">
        <v>1</v>
      </c>
      <c r="S8" t="s">
        <v>18</v>
      </c>
      <c r="T8" t="s">
        <v>194</v>
      </c>
      <c r="U8" t="s">
        <v>1</v>
      </c>
      <c r="V8" t="s">
        <v>18</v>
      </c>
      <c r="W8" t="s">
        <v>194</v>
      </c>
      <c r="X8" t="s">
        <v>1</v>
      </c>
      <c r="Y8">
        <f t="shared" si="0"/>
        <v>768</v>
      </c>
    </row>
    <row r="9" spans="1:25" ht="147.75" customHeight="1" x14ac:dyDescent="0.25">
      <c r="A9" t="s">
        <v>183</v>
      </c>
      <c r="B9" t="s">
        <v>184</v>
      </c>
      <c r="C9" s="2" t="s">
        <v>1138</v>
      </c>
      <c r="D9" s="2" t="s">
        <v>1137</v>
      </c>
      <c r="E9" s="2" t="s">
        <v>196</v>
      </c>
      <c r="F9" s="2" t="s">
        <v>193</v>
      </c>
      <c r="G9" t="s">
        <v>21</v>
      </c>
      <c r="H9" s="2" t="s">
        <v>187</v>
      </c>
      <c r="I9" s="2" t="s">
        <v>1</v>
      </c>
      <c r="J9" t="s">
        <v>1079</v>
      </c>
      <c r="K9" s="2" t="s">
        <v>194</v>
      </c>
      <c r="L9" s="2" t="s">
        <v>1</v>
      </c>
      <c r="M9" t="s">
        <v>21</v>
      </c>
      <c r="N9" t="s">
        <v>194</v>
      </c>
      <c r="O9" s="2" t="s">
        <v>1</v>
      </c>
      <c r="P9" t="s">
        <v>21</v>
      </c>
      <c r="Q9" s="2" t="s">
        <v>194</v>
      </c>
      <c r="R9" s="2" t="s">
        <v>1</v>
      </c>
      <c r="S9" t="s">
        <v>21</v>
      </c>
      <c r="T9" t="s">
        <v>194</v>
      </c>
      <c r="U9" t="s">
        <v>1</v>
      </c>
      <c r="V9" t="s">
        <v>18</v>
      </c>
      <c r="W9" t="s">
        <v>194</v>
      </c>
      <c r="X9" t="s">
        <v>1</v>
      </c>
      <c r="Y9">
        <f t="shared" si="0"/>
        <v>767</v>
      </c>
    </row>
    <row r="10" spans="1:25" ht="147.75" customHeight="1" x14ac:dyDescent="0.25">
      <c r="A10" t="s">
        <v>183</v>
      </c>
      <c r="B10" t="s">
        <v>184</v>
      </c>
      <c r="C10" s="2" t="s">
        <v>1138</v>
      </c>
      <c r="D10" s="2" t="s">
        <v>1137</v>
      </c>
      <c r="E10" s="2" t="s">
        <v>197</v>
      </c>
      <c r="F10" s="2" t="s">
        <v>193</v>
      </c>
      <c r="G10" t="s">
        <v>18</v>
      </c>
      <c r="H10" s="2" t="s">
        <v>194</v>
      </c>
      <c r="I10" s="2" t="s">
        <v>1</v>
      </c>
      <c r="J10" t="s">
        <v>21</v>
      </c>
      <c r="K10" s="2" t="s">
        <v>194</v>
      </c>
      <c r="L10" s="2" t="s">
        <v>1</v>
      </c>
      <c r="M10" t="s">
        <v>21</v>
      </c>
      <c r="N10" t="s">
        <v>194</v>
      </c>
      <c r="O10" s="2" t="s">
        <v>1</v>
      </c>
      <c r="P10" t="s">
        <v>18</v>
      </c>
      <c r="Q10" s="2" t="s">
        <v>194</v>
      </c>
      <c r="R10" s="2" t="s">
        <v>1</v>
      </c>
      <c r="S10" t="s">
        <v>23</v>
      </c>
      <c r="T10" t="s">
        <v>187</v>
      </c>
      <c r="U10" t="s">
        <v>1</v>
      </c>
      <c r="V10" t="s">
        <v>18</v>
      </c>
      <c r="W10" t="s">
        <v>194</v>
      </c>
      <c r="X10" t="s">
        <v>1</v>
      </c>
      <c r="Y10">
        <f t="shared" si="0"/>
        <v>777</v>
      </c>
    </row>
    <row r="11" spans="1:25" ht="147.75" customHeight="1" x14ac:dyDescent="0.25">
      <c r="A11" t="s">
        <v>183</v>
      </c>
      <c r="B11" t="s">
        <v>184</v>
      </c>
      <c r="C11" s="2" t="s">
        <v>1138</v>
      </c>
      <c r="D11" s="2" t="s">
        <v>1137</v>
      </c>
      <c r="E11" s="2" t="s">
        <v>198</v>
      </c>
      <c r="F11" s="2" t="s">
        <v>193</v>
      </c>
      <c r="G11" t="s">
        <v>21</v>
      </c>
      <c r="H11" s="2" t="s">
        <v>194</v>
      </c>
      <c r="I11" s="2" t="s">
        <v>1</v>
      </c>
      <c r="J11" t="s">
        <v>21</v>
      </c>
      <c r="K11" s="2" t="s">
        <v>194</v>
      </c>
      <c r="L11" s="2" t="s">
        <v>1</v>
      </c>
      <c r="M11" t="s">
        <v>21</v>
      </c>
      <c r="N11" t="s">
        <v>194</v>
      </c>
      <c r="O11" s="2" t="s">
        <v>1</v>
      </c>
      <c r="P11" t="s">
        <v>21</v>
      </c>
      <c r="Q11" s="2" t="s">
        <v>194</v>
      </c>
      <c r="R11" s="2" t="s">
        <v>1</v>
      </c>
      <c r="S11" t="s">
        <v>18</v>
      </c>
      <c r="T11" t="s">
        <v>194</v>
      </c>
      <c r="U11" t="s">
        <v>1</v>
      </c>
      <c r="V11" t="s">
        <v>18</v>
      </c>
      <c r="W11" t="s">
        <v>194</v>
      </c>
      <c r="X11" t="s">
        <v>1</v>
      </c>
      <c r="Y11">
        <f t="shared" si="0"/>
        <v>777</v>
      </c>
    </row>
    <row r="12" spans="1:25" ht="147.75" customHeight="1" x14ac:dyDescent="0.25">
      <c r="A12" t="s">
        <v>183</v>
      </c>
      <c r="B12" t="s">
        <v>184</v>
      </c>
      <c r="C12" s="2" t="s">
        <v>1138</v>
      </c>
      <c r="D12" s="2" t="s">
        <v>1137</v>
      </c>
      <c r="E12" s="2" t="s">
        <v>199</v>
      </c>
      <c r="F12" s="2" t="s">
        <v>200</v>
      </c>
      <c r="G12" t="s">
        <v>23</v>
      </c>
      <c r="H12" s="2" t="s">
        <v>187</v>
      </c>
      <c r="I12" s="2" t="s">
        <v>1</v>
      </c>
      <c r="J12" t="s">
        <v>23</v>
      </c>
      <c r="K12" s="2" t="s">
        <v>187</v>
      </c>
      <c r="L12" s="2" t="s">
        <v>1</v>
      </c>
      <c r="M12" t="s">
        <v>23</v>
      </c>
      <c r="N12" t="s">
        <v>187</v>
      </c>
      <c r="O12" s="2" t="s">
        <v>1</v>
      </c>
      <c r="P12" t="s">
        <v>23</v>
      </c>
      <c r="Q12" s="2" t="s">
        <v>187</v>
      </c>
      <c r="R12" s="2" t="s">
        <v>1</v>
      </c>
      <c r="S12" t="s">
        <v>23</v>
      </c>
      <c r="T12" t="s">
        <v>187</v>
      </c>
      <c r="U12" t="s">
        <v>1</v>
      </c>
      <c r="V12" t="s">
        <v>23</v>
      </c>
      <c r="W12" t="s">
        <v>187</v>
      </c>
      <c r="X12" t="s">
        <v>1</v>
      </c>
      <c r="Y12">
        <f t="shared" si="0"/>
        <v>773</v>
      </c>
    </row>
    <row r="13" spans="1:25" ht="147.75" customHeight="1" x14ac:dyDescent="0.25">
      <c r="A13" t="s">
        <v>183</v>
      </c>
      <c r="B13" t="s">
        <v>184</v>
      </c>
      <c r="C13" s="2" t="s">
        <v>1138</v>
      </c>
      <c r="D13" s="2" t="s">
        <v>1137</v>
      </c>
      <c r="E13" s="2" t="s">
        <v>201</v>
      </c>
      <c r="F13" s="2" t="s">
        <v>200</v>
      </c>
      <c r="G13" t="s">
        <v>23</v>
      </c>
      <c r="H13" s="2" t="s">
        <v>187</v>
      </c>
      <c r="I13" s="2" t="s">
        <v>1</v>
      </c>
      <c r="J13" t="s">
        <v>23</v>
      </c>
      <c r="K13" s="2" t="s">
        <v>187</v>
      </c>
      <c r="L13" s="2" t="s">
        <v>1</v>
      </c>
      <c r="M13" t="s">
        <v>23</v>
      </c>
      <c r="N13" t="s">
        <v>187</v>
      </c>
      <c r="O13" s="2" t="s">
        <v>1</v>
      </c>
      <c r="P13" t="s">
        <v>21</v>
      </c>
      <c r="Q13" s="2" t="s">
        <v>194</v>
      </c>
      <c r="R13" s="2" t="s">
        <v>1</v>
      </c>
      <c r="S13" t="s">
        <v>23</v>
      </c>
      <c r="T13" t="s">
        <v>187</v>
      </c>
      <c r="U13" t="s">
        <v>1</v>
      </c>
      <c r="V13" t="s">
        <v>23</v>
      </c>
      <c r="W13" t="s">
        <v>187</v>
      </c>
      <c r="X13" t="s">
        <v>1</v>
      </c>
      <c r="Y13">
        <f t="shared" si="0"/>
        <v>773</v>
      </c>
    </row>
    <row r="14" spans="1:25" ht="147.75" customHeight="1" x14ac:dyDescent="0.25">
      <c r="A14" t="s">
        <v>183</v>
      </c>
      <c r="B14" t="s">
        <v>184</v>
      </c>
      <c r="C14" s="2" t="s">
        <v>1138</v>
      </c>
      <c r="D14" s="2" t="s">
        <v>1137</v>
      </c>
      <c r="E14" s="2" t="s">
        <v>202</v>
      </c>
      <c r="F14" s="2" t="s">
        <v>200</v>
      </c>
      <c r="G14" t="s">
        <v>23</v>
      </c>
      <c r="H14" s="2" t="s">
        <v>187</v>
      </c>
      <c r="I14" s="2" t="s">
        <v>1</v>
      </c>
      <c r="J14" t="s">
        <v>21</v>
      </c>
      <c r="K14" s="2" t="s">
        <v>194</v>
      </c>
      <c r="L14" s="2" t="s">
        <v>1</v>
      </c>
      <c r="M14" t="s">
        <v>18</v>
      </c>
      <c r="N14" t="s">
        <v>187</v>
      </c>
      <c r="O14" s="2" t="s">
        <v>1</v>
      </c>
      <c r="P14" t="s">
        <v>23</v>
      </c>
      <c r="Q14" s="2" t="s">
        <v>187</v>
      </c>
      <c r="R14" s="2" t="s">
        <v>1</v>
      </c>
      <c r="S14" t="s">
        <v>23</v>
      </c>
      <c r="T14" t="s">
        <v>187</v>
      </c>
      <c r="U14" t="s">
        <v>1</v>
      </c>
      <c r="V14" t="s">
        <v>23</v>
      </c>
      <c r="W14" t="s">
        <v>187</v>
      </c>
      <c r="X14" t="s">
        <v>1</v>
      </c>
      <c r="Y14">
        <f t="shared" si="0"/>
        <v>778</v>
      </c>
    </row>
    <row r="15" spans="1:25" ht="147.75" customHeight="1" x14ac:dyDescent="0.25">
      <c r="A15" t="s">
        <v>183</v>
      </c>
      <c r="B15" t="s">
        <v>184</v>
      </c>
      <c r="C15" s="2" t="s">
        <v>1138</v>
      </c>
      <c r="D15" s="2" t="s">
        <v>1137</v>
      </c>
      <c r="E15" s="2" t="s">
        <v>204</v>
      </c>
      <c r="F15" s="2" t="s">
        <v>200</v>
      </c>
      <c r="G15" t="s">
        <v>23</v>
      </c>
      <c r="H15" s="2" t="s">
        <v>187</v>
      </c>
      <c r="I15" s="2" t="s">
        <v>1</v>
      </c>
      <c r="J15" t="s">
        <v>21</v>
      </c>
      <c r="K15" s="2" t="s">
        <v>194</v>
      </c>
      <c r="L15" s="2" t="s">
        <v>1</v>
      </c>
      <c r="M15" t="s">
        <v>23</v>
      </c>
      <c r="N15" t="s">
        <v>187</v>
      </c>
      <c r="O15" s="2" t="s">
        <v>1</v>
      </c>
      <c r="P15" t="s">
        <v>23</v>
      </c>
      <c r="Q15" s="2" t="s">
        <v>187</v>
      </c>
      <c r="R15" s="2" t="s">
        <v>1</v>
      </c>
      <c r="S15" t="s">
        <v>23</v>
      </c>
      <c r="T15" t="s">
        <v>187</v>
      </c>
      <c r="U15" t="s">
        <v>1</v>
      </c>
      <c r="V15" t="s">
        <v>23</v>
      </c>
      <c r="W15" t="s">
        <v>187</v>
      </c>
      <c r="X15" t="s">
        <v>1</v>
      </c>
      <c r="Y15">
        <f t="shared" si="0"/>
        <v>773</v>
      </c>
    </row>
    <row r="16" spans="1:25" ht="147.75" customHeight="1" x14ac:dyDescent="0.25">
      <c r="A16" t="s">
        <v>183</v>
      </c>
      <c r="B16" t="s">
        <v>184</v>
      </c>
      <c r="C16" s="2" t="s">
        <v>1138</v>
      </c>
      <c r="D16" s="2" t="s">
        <v>1137</v>
      </c>
      <c r="E16" s="2" t="s">
        <v>205</v>
      </c>
      <c r="F16" s="2" t="s">
        <v>200</v>
      </c>
      <c r="G16" t="s">
        <v>23</v>
      </c>
      <c r="H16" s="2" t="s">
        <v>187</v>
      </c>
      <c r="I16" s="2" t="s">
        <v>1</v>
      </c>
      <c r="J16" t="s">
        <v>18</v>
      </c>
      <c r="K16" s="2" t="s">
        <v>194</v>
      </c>
      <c r="L16" s="2" t="s">
        <v>1</v>
      </c>
      <c r="M16" t="s">
        <v>18</v>
      </c>
      <c r="N16" t="s">
        <v>194</v>
      </c>
      <c r="O16" s="2" t="s">
        <v>1</v>
      </c>
      <c r="P16" t="s">
        <v>18</v>
      </c>
      <c r="Q16" s="2" t="s">
        <v>194</v>
      </c>
      <c r="R16" s="2" t="s">
        <v>1</v>
      </c>
      <c r="S16" t="s">
        <v>18</v>
      </c>
      <c r="T16" t="s">
        <v>194</v>
      </c>
      <c r="U16" t="s">
        <v>1</v>
      </c>
      <c r="V16" t="s">
        <v>18</v>
      </c>
      <c r="W16" t="s">
        <v>194</v>
      </c>
      <c r="X16" t="s">
        <v>1</v>
      </c>
      <c r="Y16">
        <f t="shared" si="0"/>
        <v>767</v>
      </c>
    </row>
    <row r="17" spans="1:25" ht="147.75" customHeight="1" x14ac:dyDescent="0.25">
      <c r="A17" t="s">
        <v>183</v>
      </c>
      <c r="B17" t="s">
        <v>184</v>
      </c>
      <c r="C17" s="2" t="s">
        <v>1138</v>
      </c>
      <c r="D17" s="2" t="s">
        <v>1137</v>
      </c>
      <c r="E17" s="2" t="s">
        <v>206</v>
      </c>
      <c r="F17" s="2" t="s">
        <v>207</v>
      </c>
      <c r="G17" t="s">
        <v>23</v>
      </c>
      <c r="H17" s="2" t="s">
        <v>187</v>
      </c>
      <c r="I17" s="2" t="s">
        <v>1</v>
      </c>
      <c r="J17" t="s">
        <v>21</v>
      </c>
      <c r="K17" s="2" t="s">
        <v>194</v>
      </c>
      <c r="L17" s="2" t="s">
        <v>1</v>
      </c>
      <c r="M17" t="s">
        <v>23</v>
      </c>
      <c r="N17" t="s">
        <v>187</v>
      </c>
      <c r="O17" s="2" t="s">
        <v>1</v>
      </c>
      <c r="P17" t="s">
        <v>21</v>
      </c>
      <c r="Q17" s="2" t="s">
        <v>194</v>
      </c>
      <c r="R17" s="2" t="s">
        <v>1</v>
      </c>
      <c r="S17" t="s">
        <v>23</v>
      </c>
      <c r="T17" t="s">
        <v>187</v>
      </c>
      <c r="U17" t="s">
        <v>1</v>
      </c>
      <c r="V17" t="s">
        <v>23</v>
      </c>
      <c r="W17" t="s">
        <v>187</v>
      </c>
      <c r="X17" t="s">
        <v>1</v>
      </c>
      <c r="Y17">
        <f t="shared" si="0"/>
        <v>775</v>
      </c>
    </row>
    <row r="18" spans="1:25" ht="147.75" customHeight="1" x14ac:dyDescent="0.25">
      <c r="A18" t="s">
        <v>183</v>
      </c>
      <c r="B18" t="s">
        <v>184</v>
      </c>
      <c r="C18" s="2" t="s">
        <v>1138</v>
      </c>
      <c r="D18" s="2" t="s">
        <v>1137</v>
      </c>
      <c r="E18" s="2" t="s">
        <v>208</v>
      </c>
      <c r="F18" s="2" t="s">
        <v>207</v>
      </c>
      <c r="G18" t="s">
        <v>23</v>
      </c>
      <c r="H18" s="2" t="s">
        <v>187</v>
      </c>
      <c r="I18" s="2" t="s">
        <v>1</v>
      </c>
      <c r="J18" t="s">
        <v>21</v>
      </c>
      <c r="K18" s="2" t="s">
        <v>194</v>
      </c>
      <c r="L18" s="2" t="s">
        <v>1</v>
      </c>
      <c r="M18" t="s">
        <v>23</v>
      </c>
      <c r="N18" t="s">
        <v>187</v>
      </c>
      <c r="O18" s="2" t="s">
        <v>1</v>
      </c>
      <c r="P18" t="s">
        <v>18</v>
      </c>
      <c r="Q18" s="2" t="s">
        <v>194</v>
      </c>
      <c r="R18" s="2" t="s">
        <v>1</v>
      </c>
      <c r="S18" t="s">
        <v>23</v>
      </c>
      <c r="T18" t="s">
        <v>187</v>
      </c>
      <c r="U18" t="s">
        <v>1</v>
      </c>
      <c r="V18" t="s">
        <v>18</v>
      </c>
      <c r="W18" t="s">
        <v>194</v>
      </c>
      <c r="X18" t="s">
        <v>1</v>
      </c>
      <c r="Y18">
        <f t="shared" si="0"/>
        <v>777</v>
      </c>
    </row>
    <row r="19" spans="1:25" ht="147.75" customHeight="1" x14ac:dyDescent="0.25">
      <c r="A19" t="s">
        <v>183</v>
      </c>
      <c r="B19" t="s">
        <v>184</v>
      </c>
      <c r="C19" s="2" t="s">
        <v>1138</v>
      </c>
      <c r="D19" s="2" t="s">
        <v>1137</v>
      </c>
      <c r="E19" s="2" t="s">
        <v>209</v>
      </c>
      <c r="F19" s="2" t="s">
        <v>207</v>
      </c>
      <c r="G19" t="s">
        <v>18</v>
      </c>
      <c r="H19" s="2" t="s">
        <v>187</v>
      </c>
      <c r="I19" s="2" t="s">
        <v>1</v>
      </c>
      <c r="J19" t="s">
        <v>21</v>
      </c>
      <c r="K19" s="2" t="s">
        <v>194</v>
      </c>
      <c r="L19" s="2" t="s">
        <v>1</v>
      </c>
      <c r="M19" t="s">
        <v>23</v>
      </c>
      <c r="N19" t="s">
        <v>187</v>
      </c>
      <c r="O19" s="2" t="s">
        <v>1</v>
      </c>
      <c r="P19" t="s">
        <v>21</v>
      </c>
      <c r="Q19" s="2" t="s">
        <v>194</v>
      </c>
      <c r="R19" s="2" t="s">
        <v>1</v>
      </c>
      <c r="S19" t="s">
        <v>18</v>
      </c>
      <c r="T19" t="s">
        <v>194</v>
      </c>
      <c r="U19" t="s">
        <v>1</v>
      </c>
      <c r="V19" t="s">
        <v>18</v>
      </c>
      <c r="W19" t="s">
        <v>194</v>
      </c>
      <c r="X19" t="s">
        <v>1</v>
      </c>
      <c r="Y19">
        <f t="shared" si="0"/>
        <v>777</v>
      </c>
    </row>
    <row r="20" spans="1:25" ht="147.75" customHeight="1" x14ac:dyDescent="0.25">
      <c r="A20" t="s">
        <v>183</v>
      </c>
      <c r="B20" t="s">
        <v>184</v>
      </c>
      <c r="C20" s="2" t="s">
        <v>1138</v>
      </c>
      <c r="D20" s="2" t="s">
        <v>1137</v>
      </c>
      <c r="E20" s="2" t="s">
        <v>210</v>
      </c>
      <c r="F20" s="2" t="s">
        <v>207</v>
      </c>
      <c r="G20" t="s">
        <v>23</v>
      </c>
      <c r="H20" s="2" t="s">
        <v>187</v>
      </c>
      <c r="I20" s="2" t="s">
        <v>1</v>
      </c>
      <c r="J20" t="s">
        <v>23</v>
      </c>
      <c r="K20" s="2" t="s">
        <v>187</v>
      </c>
      <c r="L20" s="2" t="s">
        <v>1</v>
      </c>
      <c r="M20" t="s">
        <v>18</v>
      </c>
      <c r="N20" t="s">
        <v>194</v>
      </c>
      <c r="O20" s="2" t="s">
        <v>1</v>
      </c>
      <c r="P20" t="s">
        <v>21</v>
      </c>
      <c r="Q20" s="2" t="s">
        <v>194</v>
      </c>
      <c r="R20" s="2" t="s">
        <v>1</v>
      </c>
      <c r="S20" t="s">
        <v>21</v>
      </c>
      <c r="T20" t="s">
        <v>194</v>
      </c>
      <c r="U20" t="s">
        <v>1</v>
      </c>
      <c r="V20" t="s">
        <v>23</v>
      </c>
      <c r="W20" t="s">
        <v>187</v>
      </c>
      <c r="X20" t="s">
        <v>1</v>
      </c>
      <c r="Y20">
        <f t="shared" si="0"/>
        <v>768</v>
      </c>
    </row>
    <row r="21" spans="1:25" ht="147.75" customHeight="1" x14ac:dyDescent="0.25">
      <c r="A21" t="s">
        <v>183</v>
      </c>
      <c r="B21" t="s">
        <v>184</v>
      </c>
      <c r="C21" s="2" t="s">
        <v>1138</v>
      </c>
      <c r="D21" s="2" t="s">
        <v>1137</v>
      </c>
      <c r="E21" s="2" t="s">
        <v>211</v>
      </c>
      <c r="F21" s="2" t="s">
        <v>207</v>
      </c>
      <c r="G21" t="s">
        <v>18</v>
      </c>
      <c r="H21" s="2" t="s">
        <v>194</v>
      </c>
      <c r="I21" s="2" t="s">
        <v>1</v>
      </c>
      <c r="J21" t="s">
        <v>23</v>
      </c>
      <c r="K21" s="2" t="s">
        <v>187</v>
      </c>
      <c r="L21" s="2" t="s">
        <v>1</v>
      </c>
      <c r="M21" t="s">
        <v>23</v>
      </c>
      <c r="N21" t="s">
        <v>187</v>
      </c>
      <c r="O21" s="2" t="s">
        <v>1</v>
      </c>
      <c r="P21" t="s">
        <v>18</v>
      </c>
      <c r="Q21" s="2" t="s">
        <v>194</v>
      </c>
      <c r="R21" s="2" t="s">
        <v>1</v>
      </c>
      <c r="S21" t="s">
        <v>23</v>
      </c>
      <c r="T21" t="s">
        <v>187</v>
      </c>
      <c r="U21" t="s">
        <v>1</v>
      </c>
      <c r="V21" t="s">
        <v>23</v>
      </c>
      <c r="W21" t="s">
        <v>187</v>
      </c>
      <c r="X21" t="s">
        <v>1</v>
      </c>
      <c r="Y21">
        <f t="shared" si="0"/>
        <v>784</v>
      </c>
    </row>
    <row r="22" spans="1:25" ht="147.75" customHeight="1" x14ac:dyDescent="0.25">
      <c r="A22" t="s">
        <v>183</v>
      </c>
      <c r="B22" t="s">
        <v>184</v>
      </c>
      <c r="C22" s="2" t="s">
        <v>1138</v>
      </c>
      <c r="D22" s="2" t="s">
        <v>1137</v>
      </c>
      <c r="E22" s="2" t="s">
        <v>212</v>
      </c>
      <c r="F22" s="2" t="s">
        <v>213</v>
      </c>
      <c r="G22" t="s">
        <v>21</v>
      </c>
      <c r="H22" s="2" t="s">
        <v>187</v>
      </c>
      <c r="I22" s="2" t="s">
        <v>1</v>
      </c>
      <c r="J22" t="s">
        <v>21</v>
      </c>
      <c r="K22" s="2" t="s">
        <v>187</v>
      </c>
      <c r="L22" s="2" t="s">
        <v>1</v>
      </c>
      <c r="M22" t="s">
        <v>21</v>
      </c>
      <c r="N22" t="s">
        <v>187</v>
      </c>
      <c r="O22" s="2" t="s">
        <v>1</v>
      </c>
      <c r="P22" t="s">
        <v>21</v>
      </c>
      <c r="Q22" s="2" t="s">
        <v>187</v>
      </c>
      <c r="R22" s="2" t="s">
        <v>1</v>
      </c>
      <c r="S22" t="s">
        <v>21</v>
      </c>
      <c r="T22" t="s">
        <v>187</v>
      </c>
      <c r="U22" t="s">
        <v>1</v>
      </c>
      <c r="V22" t="s">
        <v>18</v>
      </c>
      <c r="W22" t="s">
        <v>194</v>
      </c>
      <c r="X22" t="s">
        <v>1</v>
      </c>
      <c r="Y22">
        <f t="shared" si="0"/>
        <v>782</v>
      </c>
    </row>
    <row r="23" spans="1:25" ht="147.75" customHeight="1" x14ac:dyDescent="0.25">
      <c r="A23" t="s">
        <v>183</v>
      </c>
      <c r="B23" t="s">
        <v>184</v>
      </c>
      <c r="C23" s="2" t="s">
        <v>1138</v>
      </c>
      <c r="D23" s="2" t="s">
        <v>1137</v>
      </c>
      <c r="E23" s="2" t="s">
        <v>214</v>
      </c>
      <c r="F23" s="2" t="s">
        <v>213</v>
      </c>
      <c r="G23" t="s">
        <v>21</v>
      </c>
      <c r="H23" s="2" t="s">
        <v>187</v>
      </c>
      <c r="I23" s="2" t="s">
        <v>1</v>
      </c>
      <c r="J23" t="s">
        <v>21</v>
      </c>
      <c r="K23" s="2" t="s">
        <v>187</v>
      </c>
      <c r="L23" s="2" t="s">
        <v>1</v>
      </c>
      <c r="M23" t="s">
        <v>21</v>
      </c>
      <c r="N23" t="s">
        <v>187</v>
      </c>
      <c r="O23" s="2" t="s">
        <v>1</v>
      </c>
      <c r="P23" t="s">
        <v>21</v>
      </c>
      <c r="Q23" s="2" t="s">
        <v>187</v>
      </c>
      <c r="R23" s="2" t="s">
        <v>1</v>
      </c>
      <c r="S23" t="s">
        <v>21</v>
      </c>
      <c r="T23" t="s">
        <v>187</v>
      </c>
      <c r="U23" t="s">
        <v>1</v>
      </c>
      <c r="V23" t="s">
        <v>18</v>
      </c>
      <c r="W23" t="s">
        <v>194</v>
      </c>
      <c r="X23" t="s">
        <v>1</v>
      </c>
      <c r="Y23">
        <f t="shared" si="0"/>
        <v>763</v>
      </c>
    </row>
    <row r="24" spans="1:25" ht="147.75" customHeight="1" x14ac:dyDescent="0.25">
      <c r="A24" t="s">
        <v>183</v>
      </c>
      <c r="B24" t="s">
        <v>184</v>
      </c>
      <c r="C24" s="2" t="s">
        <v>1138</v>
      </c>
      <c r="D24" s="2" t="s">
        <v>1137</v>
      </c>
      <c r="E24" s="2" t="s">
        <v>215</v>
      </c>
      <c r="F24" s="2" t="s">
        <v>213</v>
      </c>
      <c r="G24" t="s">
        <v>21</v>
      </c>
      <c r="H24" s="2" t="s">
        <v>187</v>
      </c>
      <c r="I24" s="2" t="s">
        <v>1</v>
      </c>
      <c r="J24" t="s">
        <v>21</v>
      </c>
      <c r="K24" s="2" t="s">
        <v>187</v>
      </c>
      <c r="L24" s="2" t="s">
        <v>1</v>
      </c>
      <c r="M24" t="s">
        <v>21</v>
      </c>
      <c r="N24" t="s">
        <v>187</v>
      </c>
      <c r="O24" s="2" t="s">
        <v>1</v>
      </c>
      <c r="P24" t="s">
        <v>21</v>
      </c>
      <c r="Q24" s="2" t="s">
        <v>187</v>
      </c>
      <c r="R24" s="2" t="s">
        <v>1</v>
      </c>
      <c r="S24" t="s">
        <v>21</v>
      </c>
      <c r="T24" t="s">
        <v>187</v>
      </c>
      <c r="U24" t="s">
        <v>1</v>
      </c>
      <c r="V24" t="s">
        <v>21</v>
      </c>
      <c r="W24" t="s">
        <v>187</v>
      </c>
      <c r="X24" t="s">
        <v>1</v>
      </c>
      <c r="Y24">
        <f t="shared" si="0"/>
        <v>760</v>
      </c>
    </row>
    <row r="25" spans="1:25" ht="147.75" customHeight="1" x14ac:dyDescent="0.25">
      <c r="A25" t="s">
        <v>183</v>
      </c>
      <c r="B25" t="s">
        <v>184</v>
      </c>
      <c r="C25" s="2" t="s">
        <v>1138</v>
      </c>
      <c r="D25" s="2" t="s">
        <v>1137</v>
      </c>
      <c r="E25" s="2" t="s">
        <v>216</v>
      </c>
      <c r="F25" s="2" t="s">
        <v>213</v>
      </c>
      <c r="G25" t="s">
        <v>21</v>
      </c>
      <c r="H25" s="2" t="s">
        <v>187</v>
      </c>
      <c r="I25" s="2" t="s">
        <v>1</v>
      </c>
      <c r="J25" t="s">
        <v>18</v>
      </c>
      <c r="K25" s="2" t="s">
        <v>194</v>
      </c>
      <c r="L25" s="2" t="s">
        <v>1</v>
      </c>
      <c r="M25" t="s">
        <v>21</v>
      </c>
      <c r="N25" t="s">
        <v>187</v>
      </c>
      <c r="O25" s="2" t="s">
        <v>1</v>
      </c>
      <c r="P25" t="s">
        <v>21</v>
      </c>
      <c r="Q25" s="2" t="s">
        <v>187</v>
      </c>
      <c r="R25" s="2" t="s">
        <v>1</v>
      </c>
      <c r="S25" t="s">
        <v>21</v>
      </c>
      <c r="T25" t="s">
        <v>187</v>
      </c>
      <c r="U25" t="s">
        <v>1</v>
      </c>
      <c r="V25" t="s">
        <v>18</v>
      </c>
      <c r="W25" t="s">
        <v>194</v>
      </c>
      <c r="X25" t="s">
        <v>1</v>
      </c>
      <c r="Y25">
        <f t="shared" si="0"/>
        <v>765</v>
      </c>
    </row>
    <row r="26" spans="1:25" ht="147.75" customHeight="1" x14ac:dyDescent="0.25">
      <c r="A26" t="s">
        <v>183</v>
      </c>
      <c r="B26" t="s">
        <v>184</v>
      </c>
      <c r="C26" s="2" t="s">
        <v>1138</v>
      </c>
      <c r="D26" s="2" t="s">
        <v>1137</v>
      </c>
      <c r="E26" s="2" t="s">
        <v>217</v>
      </c>
      <c r="F26" s="2" t="s">
        <v>213</v>
      </c>
      <c r="G26" t="s">
        <v>18</v>
      </c>
      <c r="H26" s="2" t="s">
        <v>194</v>
      </c>
      <c r="I26" s="2" t="s">
        <v>1</v>
      </c>
      <c r="J26" t="s">
        <v>23</v>
      </c>
      <c r="K26" s="2" t="s">
        <v>194</v>
      </c>
      <c r="L26" s="2" t="s">
        <v>1</v>
      </c>
      <c r="M26" t="s">
        <v>21</v>
      </c>
      <c r="N26" t="s">
        <v>187</v>
      </c>
      <c r="O26" s="2" t="s">
        <v>1</v>
      </c>
      <c r="P26" t="s">
        <v>21</v>
      </c>
      <c r="Q26" s="2" t="s">
        <v>187</v>
      </c>
      <c r="R26" s="2" t="s">
        <v>1</v>
      </c>
      <c r="S26" t="s">
        <v>21</v>
      </c>
      <c r="T26" t="s">
        <v>187</v>
      </c>
      <c r="U26" t="s">
        <v>1</v>
      </c>
      <c r="V26" t="s">
        <v>18</v>
      </c>
      <c r="W26" t="s">
        <v>194</v>
      </c>
      <c r="X26" t="s">
        <v>1</v>
      </c>
      <c r="Y26">
        <f t="shared" si="0"/>
        <v>758</v>
      </c>
    </row>
    <row r="27" spans="1:25" ht="147.75" customHeight="1" x14ac:dyDescent="0.25">
      <c r="A27" t="s">
        <v>183</v>
      </c>
      <c r="B27" t="s">
        <v>184</v>
      </c>
      <c r="C27" s="2" t="s">
        <v>1138</v>
      </c>
      <c r="D27" s="2" t="s">
        <v>1137</v>
      </c>
      <c r="E27" s="2" t="s">
        <v>218</v>
      </c>
      <c r="F27" s="2" t="s">
        <v>219</v>
      </c>
      <c r="G27" t="s">
        <v>23</v>
      </c>
      <c r="H27" s="2" t="s">
        <v>194</v>
      </c>
      <c r="I27" s="2" t="s">
        <v>1</v>
      </c>
      <c r="J27" t="s">
        <v>21</v>
      </c>
      <c r="K27" s="2" t="s">
        <v>194</v>
      </c>
      <c r="L27" s="2" t="s">
        <v>1</v>
      </c>
      <c r="M27" t="s">
        <v>18</v>
      </c>
      <c r="N27" t="s">
        <v>187</v>
      </c>
      <c r="O27" s="2" t="s">
        <v>1</v>
      </c>
      <c r="P27" t="s">
        <v>23</v>
      </c>
      <c r="Q27" s="2" t="s">
        <v>194</v>
      </c>
      <c r="R27" s="2" t="s">
        <v>1</v>
      </c>
      <c r="S27" t="s">
        <v>23</v>
      </c>
      <c r="T27" t="s">
        <v>194</v>
      </c>
      <c r="U27" t="s">
        <v>1</v>
      </c>
      <c r="V27" t="s">
        <v>23</v>
      </c>
      <c r="W27" t="s">
        <v>194</v>
      </c>
      <c r="X27" t="s">
        <v>1</v>
      </c>
      <c r="Y27">
        <f t="shared" si="0"/>
        <v>758</v>
      </c>
    </row>
    <row r="28" spans="1:25" ht="147.75" customHeight="1" x14ac:dyDescent="0.25">
      <c r="A28" t="s">
        <v>183</v>
      </c>
      <c r="B28" t="s">
        <v>184</v>
      </c>
      <c r="C28" s="2" t="s">
        <v>1138</v>
      </c>
      <c r="D28" s="2" t="s">
        <v>1137</v>
      </c>
      <c r="E28" s="2" t="s">
        <v>220</v>
      </c>
      <c r="F28" s="2" t="s">
        <v>219</v>
      </c>
      <c r="G28" t="s">
        <v>18</v>
      </c>
      <c r="H28" s="2" t="s">
        <v>187</v>
      </c>
      <c r="I28" s="2" t="s">
        <v>1</v>
      </c>
      <c r="J28" t="s">
        <v>21</v>
      </c>
      <c r="K28" s="2" t="s">
        <v>194</v>
      </c>
      <c r="L28" s="2" t="s">
        <v>1</v>
      </c>
      <c r="M28" t="s">
        <v>18</v>
      </c>
      <c r="N28" t="s">
        <v>187</v>
      </c>
      <c r="O28" s="2" t="s">
        <v>1</v>
      </c>
      <c r="P28" t="s">
        <v>18</v>
      </c>
      <c r="Q28" s="2" t="s">
        <v>187</v>
      </c>
      <c r="R28" s="2" t="s">
        <v>1</v>
      </c>
      <c r="S28" t="s">
        <v>23</v>
      </c>
      <c r="T28" t="s">
        <v>194</v>
      </c>
      <c r="U28" t="s">
        <v>1</v>
      </c>
      <c r="V28" t="s">
        <v>18</v>
      </c>
      <c r="W28" t="s">
        <v>187</v>
      </c>
      <c r="X28" t="s">
        <v>1</v>
      </c>
      <c r="Y28">
        <f t="shared" si="0"/>
        <v>758</v>
      </c>
    </row>
    <row r="29" spans="1:25" ht="147.75" customHeight="1" x14ac:dyDescent="0.25">
      <c r="A29" t="s">
        <v>183</v>
      </c>
      <c r="B29" t="s">
        <v>184</v>
      </c>
      <c r="C29" s="2" t="s">
        <v>1138</v>
      </c>
      <c r="D29" s="2" t="s">
        <v>1137</v>
      </c>
      <c r="E29" s="2" t="s">
        <v>221</v>
      </c>
      <c r="F29" s="2" t="s">
        <v>219</v>
      </c>
      <c r="G29" t="s">
        <v>21</v>
      </c>
      <c r="H29" s="2" t="s">
        <v>194</v>
      </c>
      <c r="I29" s="2" t="s">
        <v>1</v>
      </c>
      <c r="J29" s="2" t="s">
        <v>1143</v>
      </c>
      <c r="K29" s="2" t="s">
        <v>187</v>
      </c>
      <c r="L29" s="2" t="s">
        <v>2</v>
      </c>
      <c r="M29" t="s">
        <v>18</v>
      </c>
      <c r="N29" t="s">
        <v>187</v>
      </c>
      <c r="O29" s="2" t="s">
        <v>1</v>
      </c>
      <c r="P29" t="s">
        <v>21</v>
      </c>
      <c r="Q29" s="2" t="s">
        <v>194</v>
      </c>
      <c r="R29" s="2" t="s">
        <v>1</v>
      </c>
      <c r="S29" t="s">
        <v>23</v>
      </c>
      <c r="T29" t="s">
        <v>194</v>
      </c>
      <c r="U29" t="s">
        <v>1</v>
      </c>
      <c r="V29" t="s">
        <v>18</v>
      </c>
      <c r="W29" t="s">
        <v>187</v>
      </c>
      <c r="X29" t="s">
        <v>1</v>
      </c>
      <c r="Y29">
        <f t="shared" si="0"/>
        <v>763</v>
      </c>
    </row>
    <row r="30" spans="1:25" ht="147.75" customHeight="1" x14ac:dyDescent="0.25">
      <c r="A30" t="s">
        <v>183</v>
      </c>
      <c r="B30" t="s">
        <v>184</v>
      </c>
      <c r="C30" s="2" t="s">
        <v>1138</v>
      </c>
      <c r="D30" s="2" t="s">
        <v>1137</v>
      </c>
      <c r="E30" s="2" t="s">
        <v>222</v>
      </c>
      <c r="F30" s="2" t="s">
        <v>219</v>
      </c>
      <c r="G30" t="s">
        <v>23</v>
      </c>
      <c r="H30" s="2" t="s">
        <v>194</v>
      </c>
      <c r="I30" s="2" t="s">
        <v>1</v>
      </c>
      <c r="J30" s="2" t="s">
        <v>1144</v>
      </c>
      <c r="K30" s="2" t="s">
        <v>187</v>
      </c>
      <c r="L30" s="2" t="s">
        <v>2</v>
      </c>
      <c r="M30" t="s">
        <v>18</v>
      </c>
      <c r="N30" t="s">
        <v>187</v>
      </c>
      <c r="O30" s="2" t="s">
        <v>1</v>
      </c>
      <c r="P30" t="s">
        <v>18</v>
      </c>
      <c r="Q30" s="2" t="s">
        <v>187</v>
      </c>
      <c r="R30" s="2" t="s">
        <v>1</v>
      </c>
      <c r="S30" t="s">
        <v>18</v>
      </c>
      <c r="T30" t="s">
        <v>187</v>
      </c>
      <c r="U30" t="s">
        <v>1</v>
      </c>
      <c r="V30" t="s">
        <v>18</v>
      </c>
      <c r="W30" t="s">
        <v>187</v>
      </c>
      <c r="X30" t="s">
        <v>1</v>
      </c>
      <c r="Y30">
        <f t="shared" si="0"/>
        <v>765</v>
      </c>
    </row>
    <row r="31" spans="1:25" ht="147.75" customHeight="1" x14ac:dyDescent="0.25">
      <c r="A31" t="s">
        <v>183</v>
      </c>
      <c r="B31" t="s">
        <v>184</v>
      </c>
      <c r="C31" s="2" t="s">
        <v>1138</v>
      </c>
      <c r="D31" s="2" t="s">
        <v>1137</v>
      </c>
      <c r="E31" s="2" t="s">
        <v>223</v>
      </c>
      <c r="F31" s="2" t="s">
        <v>219</v>
      </c>
      <c r="G31" t="s">
        <v>18</v>
      </c>
      <c r="H31" s="2" t="s">
        <v>187</v>
      </c>
      <c r="I31" s="2" t="s">
        <v>1</v>
      </c>
      <c r="J31" t="s">
        <v>21</v>
      </c>
      <c r="K31" s="2" t="s">
        <v>194</v>
      </c>
      <c r="L31" s="2" t="s">
        <v>1</v>
      </c>
      <c r="M31" t="s">
        <v>21</v>
      </c>
      <c r="N31" t="s">
        <v>194</v>
      </c>
      <c r="O31" s="2" t="s">
        <v>1</v>
      </c>
      <c r="P31" t="s">
        <v>21</v>
      </c>
      <c r="Q31" s="2" t="s">
        <v>194</v>
      </c>
      <c r="R31" s="2" t="s">
        <v>1</v>
      </c>
      <c r="S31" t="s">
        <v>18</v>
      </c>
      <c r="T31" t="s">
        <v>187</v>
      </c>
      <c r="U31" t="s">
        <v>1</v>
      </c>
      <c r="V31" t="s">
        <v>18</v>
      </c>
      <c r="W31" t="s">
        <v>187</v>
      </c>
      <c r="X31" t="s">
        <v>1</v>
      </c>
      <c r="Y31">
        <f t="shared" si="0"/>
        <v>758</v>
      </c>
    </row>
    <row r="32" spans="1:25" ht="147.75" customHeight="1" x14ac:dyDescent="0.25">
      <c r="A32" t="s">
        <v>183</v>
      </c>
      <c r="B32" t="s">
        <v>184</v>
      </c>
      <c r="C32" s="2" t="s">
        <v>1138</v>
      </c>
      <c r="D32" s="2" t="s">
        <v>1137</v>
      </c>
      <c r="E32" s="2" t="s">
        <v>224</v>
      </c>
      <c r="F32" s="2" t="s">
        <v>225</v>
      </c>
      <c r="G32" t="s">
        <v>23</v>
      </c>
      <c r="H32" s="2" t="s">
        <v>187</v>
      </c>
      <c r="I32" s="2" t="s">
        <v>1</v>
      </c>
      <c r="J32" s="2" t="s">
        <v>1145</v>
      </c>
      <c r="K32" s="2" t="s">
        <v>187</v>
      </c>
      <c r="L32" s="2" t="s">
        <v>2</v>
      </c>
      <c r="M32" t="s">
        <v>23</v>
      </c>
      <c r="N32" t="s">
        <v>187</v>
      </c>
      <c r="O32" s="2" t="s">
        <v>1</v>
      </c>
      <c r="P32" t="s">
        <v>18</v>
      </c>
      <c r="Q32" s="2" t="s">
        <v>194</v>
      </c>
      <c r="R32" s="2" t="s">
        <v>1</v>
      </c>
      <c r="S32" t="s">
        <v>18</v>
      </c>
      <c r="T32" t="s">
        <v>194</v>
      </c>
      <c r="U32" t="s">
        <v>1</v>
      </c>
      <c r="V32" t="s">
        <v>18</v>
      </c>
      <c r="W32" t="s">
        <v>194</v>
      </c>
      <c r="X32" t="s">
        <v>1</v>
      </c>
      <c r="Y32">
        <f t="shared" si="0"/>
        <v>784</v>
      </c>
    </row>
    <row r="33" spans="1:25" ht="147.75" customHeight="1" x14ac:dyDescent="0.25">
      <c r="A33" t="s">
        <v>183</v>
      </c>
      <c r="B33" t="s">
        <v>184</v>
      </c>
      <c r="C33" s="2" t="s">
        <v>1138</v>
      </c>
      <c r="D33" s="2" t="s">
        <v>1137</v>
      </c>
      <c r="E33" s="2" t="s">
        <v>226</v>
      </c>
      <c r="F33" s="2" t="s">
        <v>225</v>
      </c>
      <c r="G33" t="s">
        <v>18</v>
      </c>
      <c r="H33" s="2" t="s">
        <v>194</v>
      </c>
      <c r="I33" s="2" t="s">
        <v>1</v>
      </c>
      <c r="J33" t="s">
        <v>18</v>
      </c>
      <c r="K33" s="2" t="s">
        <v>194</v>
      </c>
      <c r="L33" s="2" t="s">
        <v>1</v>
      </c>
      <c r="M33" t="s">
        <v>23</v>
      </c>
      <c r="N33" t="s">
        <v>187</v>
      </c>
      <c r="O33" s="2" t="s">
        <v>1</v>
      </c>
      <c r="P33" t="s">
        <v>18</v>
      </c>
      <c r="Q33" s="2" t="s">
        <v>194</v>
      </c>
      <c r="R33" s="2" t="s">
        <v>1</v>
      </c>
      <c r="S33" t="s">
        <v>18</v>
      </c>
      <c r="T33" t="s">
        <v>194</v>
      </c>
      <c r="U33" t="s">
        <v>1</v>
      </c>
      <c r="V33" t="s">
        <v>18</v>
      </c>
      <c r="W33" t="s">
        <v>194</v>
      </c>
      <c r="X33" t="s">
        <v>1</v>
      </c>
      <c r="Y33">
        <f t="shared" si="0"/>
        <v>777</v>
      </c>
    </row>
    <row r="34" spans="1:25" ht="147.75" customHeight="1" x14ac:dyDescent="0.25">
      <c r="A34" t="s">
        <v>183</v>
      </c>
      <c r="B34" t="s">
        <v>184</v>
      </c>
      <c r="C34" s="2" t="s">
        <v>1138</v>
      </c>
      <c r="D34" s="2" t="s">
        <v>1137</v>
      </c>
      <c r="E34" s="2" t="s">
        <v>227</v>
      </c>
      <c r="F34" s="2" t="s">
        <v>225</v>
      </c>
      <c r="G34" t="s">
        <v>18</v>
      </c>
      <c r="H34" s="2" t="s">
        <v>194</v>
      </c>
      <c r="I34" s="2" t="s">
        <v>1</v>
      </c>
      <c r="J34" t="s">
        <v>18</v>
      </c>
      <c r="K34" s="2" t="s">
        <v>194</v>
      </c>
      <c r="L34" s="2" t="s">
        <v>1</v>
      </c>
      <c r="M34" t="s">
        <v>23</v>
      </c>
      <c r="N34" t="s">
        <v>187</v>
      </c>
      <c r="O34" s="2" t="s">
        <v>1</v>
      </c>
      <c r="P34" t="s">
        <v>18</v>
      </c>
      <c r="Q34" s="2" t="s">
        <v>194</v>
      </c>
      <c r="R34" s="2" t="s">
        <v>1</v>
      </c>
      <c r="S34" t="s">
        <v>18</v>
      </c>
      <c r="T34" t="s">
        <v>194</v>
      </c>
      <c r="U34" t="s">
        <v>1</v>
      </c>
      <c r="V34" t="s">
        <v>18</v>
      </c>
      <c r="W34" t="s">
        <v>194</v>
      </c>
      <c r="X34" t="s">
        <v>1</v>
      </c>
      <c r="Y34">
        <f t="shared" si="0"/>
        <v>765</v>
      </c>
    </row>
    <row r="35" spans="1:25" ht="147.75" customHeight="1" x14ac:dyDescent="0.25">
      <c r="A35" t="s">
        <v>183</v>
      </c>
      <c r="B35" t="s">
        <v>184</v>
      </c>
      <c r="C35" s="2" t="s">
        <v>1138</v>
      </c>
      <c r="D35" s="2" t="s">
        <v>1137</v>
      </c>
      <c r="E35" s="2" t="s">
        <v>228</v>
      </c>
      <c r="F35" s="2" t="s">
        <v>225</v>
      </c>
      <c r="G35" t="s">
        <v>18</v>
      </c>
      <c r="H35" s="2" t="s">
        <v>194</v>
      </c>
      <c r="I35" s="2" t="s">
        <v>1</v>
      </c>
      <c r="J35" s="2" t="s">
        <v>1146</v>
      </c>
      <c r="K35" s="2" t="s">
        <v>187</v>
      </c>
      <c r="L35" s="2" t="s">
        <v>2</v>
      </c>
      <c r="M35" t="s">
        <v>18</v>
      </c>
      <c r="N35" t="s">
        <v>194</v>
      </c>
      <c r="O35" s="2" t="s">
        <v>1</v>
      </c>
      <c r="P35" t="s">
        <v>18</v>
      </c>
      <c r="Q35" s="2" t="s">
        <v>194</v>
      </c>
      <c r="R35" s="2" t="s">
        <v>1</v>
      </c>
      <c r="S35" t="s">
        <v>23</v>
      </c>
      <c r="T35" t="s">
        <v>187</v>
      </c>
      <c r="U35" t="s">
        <v>1</v>
      </c>
      <c r="V35" t="s">
        <v>18</v>
      </c>
      <c r="W35" t="s">
        <v>194</v>
      </c>
      <c r="X35" t="s">
        <v>1</v>
      </c>
      <c r="Y35">
        <f t="shared" si="0"/>
        <v>766</v>
      </c>
    </row>
    <row r="36" spans="1:25" ht="147.75" customHeight="1" x14ac:dyDescent="0.25">
      <c r="A36" t="s">
        <v>183</v>
      </c>
      <c r="B36" t="s">
        <v>184</v>
      </c>
      <c r="C36" s="2" t="s">
        <v>1138</v>
      </c>
      <c r="D36" s="2" t="s">
        <v>1137</v>
      </c>
      <c r="E36" s="2" t="s">
        <v>229</v>
      </c>
      <c r="F36" s="2" t="s">
        <v>225</v>
      </c>
      <c r="G36" t="s">
        <v>18</v>
      </c>
      <c r="H36" s="2" t="s">
        <v>194</v>
      </c>
      <c r="I36" s="2" t="s">
        <v>1</v>
      </c>
      <c r="J36" t="s">
        <v>18</v>
      </c>
      <c r="K36" s="2" t="s">
        <v>194</v>
      </c>
      <c r="L36" s="2" t="s">
        <v>1</v>
      </c>
      <c r="M36" t="s">
        <v>23</v>
      </c>
      <c r="N36" t="s">
        <v>187</v>
      </c>
      <c r="O36" s="2" t="s">
        <v>1</v>
      </c>
      <c r="P36" t="s">
        <v>18</v>
      </c>
      <c r="Q36" s="2" t="s">
        <v>194</v>
      </c>
      <c r="R36" s="2" t="s">
        <v>1</v>
      </c>
      <c r="S36" t="s">
        <v>18</v>
      </c>
      <c r="T36" t="s">
        <v>194</v>
      </c>
      <c r="U36" t="s">
        <v>1</v>
      </c>
      <c r="V36" t="s">
        <v>18</v>
      </c>
      <c r="W36" t="s">
        <v>194</v>
      </c>
      <c r="X36" t="s">
        <v>1</v>
      </c>
      <c r="Y36">
        <f t="shared" si="0"/>
        <v>768</v>
      </c>
    </row>
    <row r="37" spans="1:25" ht="147.75" customHeight="1" x14ac:dyDescent="0.25">
      <c r="A37" t="s">
        <v>183</v>
      </c>
      <c r="B37" t="s">
        <v>184</v>
      </c>
      <c r="C37" s="2" t="s">
        <v>1138</v>
      </c>
      <c r="D37" s="2" t="s">
        <v>1137</v>
      </c>
      <c r="E37" s="2" t="s">
        <v>230</v>
      </c>
      <c r="F37" s="2" t="s">
        <v>231</v>
      </c>
      <c r="G37" t="s">
        <v>18</v>
      </c>
      <c r="H37" s="2" t="s">
        <v>194</v>
      </c>
      <c r="I37" s="2" t="s">
        <v>1</v>
      </c>
      <c r="J37" t="s">
        <v>18</v>
      </c>
      <c r="K37" s="2" t="s">
        <v>194</v>
      </c>
      <c r="L37" s="2" t="s">
        <v>1</v>
      </c>
      <c r="M37" t="s">
        <v>21</v>
      </c>
      <c r="N37" t="s">
        <v>187</v>
      </c>
      <c r="O37" s="2" t="s">
        <v>1</v>
      </c>
      <c r="P37" t="s">
        <v>18</v>
      </c>
      <c r="Q37" s="2" t="s">
        <v>194</v>
      </c>
      <c r="R37" s="2" t="s">
        <v>1</v>
      </c>
      <c r="S37" t="s">
        <v>18</v>
      </c>
      <c r="T37" t="s">
        <v>194</v>
      </c>
      <c r="U37" t="s">
        <v>1</v>
      </c>
      <c r="V37" t="s">
        <v>18</v>
      </c>
      <c r="W37" t="s">
        <v>194</v>
      </c>
      <c r="X37" t="s">
        <v>1</v>
      </c>
      <c r="Y37">
        <f t="shared" si="0"/>
        <v>765</v>
      </c>
    </row>
    <row r="38" spans="1:25" ht="147.75" customHeight="1" x14ac:dyDescent="0.25">
      <c r="A38" t="s">
        <v>183</v>
      </c>
      <c r="B38" t="s">
        <v>184</v>
      </c>
      <c r="C38" s="2" t="s">
        <v>1138</v>
      </c>
      <c r="D38" s="2" t="s">
        <v>1137</v>
      </c>
      <c r="E38" s="2" t="s">
        <v>232</v>
      </c>
      <c r="F38" s="2" t="s">
        <v>231</v>
      </c>
      <c r="G38" t="s">
        <v>18</v>
      </c>
      <c r="H38" s="2" t="s">
        <v>194</v>
      </c>
      <c r="I38" s="2" t="s">
        <v>1</v>
      </c>
      <c r="J38" t="s">
        <v>21</v>
      </c>
      <c r="K38" s="2" t="s">
        <v>187</v>
      </c>
      <c r="L38" s="2" t="s">
        <v>1</v>
      </c>
      <c r="M38" t="s">
        <v>21</v>
      </c>
      <c r="N38" t="s">
        <v>187</v>
      </c>
      <c r="O38" s="2" t="s">
        <v>1</v>
      </c>
      <c r="P38" t="s">
        <v>21</v>
      </c>
      <c r="Q38" s="2" t="s">
        <v>187</v>
      </c>
      <c r="R38" s="2" t="s">
        <v>1</v>
      </c>
      <c r="S38" t="s">
        <v>23</v>
      </c>
      <c r="T38" t="s">
        <v>194</v>
      </c>
      <c r="U38" t="s">
        <v>1</v>
      </c>
      <c r="V38" t="s">
        <v>18</v>
      </c>
      <c r="W38" t="s">
        <v>194</v>
      </c>
      <c r="X38" t="s">
        <v>1</v>
      </c>
      <c r="Y38">
        <f t="shared" si="0"/>
        <v>766</v>
      </c>
    </row>
    <row r="39" spans="1:25" ht="147.75" customHeight="1" x14ac:dyDescent="0.25">
      <c r="A39" t="s">
        <v>183</v>
      </c>
      <c r="B39" t="s">
        <v>184</v>
      </c>
      <c r="C39" s="2" t="s">
        <v>1138</v>
      </c>
      <c r="D39" s="2" t="s">
        <v>1137</v>
      </c>
      <c r="E39" s="2" t="s">
        <v>233</v>
      </c>
      <c r="F39" s="2" t="s">
        <v>231</v>
      </c>
      <c r="G39" t="s">
        <v>18</v>
      </c>
      <c r="H39" s="2" t="s">
        <v>194</v>
      </c>
      <c r="I39" s="2" t="s">
        <v>1</v>
      </c>
      <c r="J39" t="s">
        <v>21</v>
      </c>
      <c r="K39" s="2" t="s">
        <v>187</v>
      </c>
      <c r="L39" s="2" t="s">
        <v>1</v>
      </c>
      <c r="M39" t="s">
        <v>21</v>
      </c>
      <c r="N39" t="s">
        <v>187</v>
      </c>
      <c r="O39" s="2" t="s">
        <v>1</v>
      </c>
      <c r="P39" t="s">
        <v>21</v>
      </c>
      <c r="Q39" s="2" t="s">
        <v>187</v>
      </c>
      <c r="R39" s="2" t="s">
        <v>1</v>
      </c>
      <c r="S39" t="s">
        <v>18</v>
      </c>
      <c r="T39" t="s">
        <v>194</v>
      </c>
      <c r="U39" t="s">
        <v>1</v>
      </c>
      <c r="V39" t="s">
        <v>18</v>
      </c>
      <c r="W39" t="s">
        <v>194</v>
      </c>
      <c r="X39" t="s">
        <v>1</v>
      </c>
      <c r="Y39">
        <f t="shared" si="0"/>
        <v>761</v>
      </c>
    </row>
    <row r="40" spans="1:25" ht="147.75" customHeight="1" x14ac:dyDescent="0.25">
      <c r="A40" t="s">
        <v>183</v>
      </c>
      <c r="B40" t="s">
        <v>184</v>
      </c>
      <c r="C40" s="2" t="s">
        <v>1138</v>
      </c>
      <c r="D40" s="2" t="s">
        <v>1137</v>
      </c>
      <c r="E40" s="2" t="s">
        <v>234</v>
      </c>
      <c r="F40" s="2" t="s">
        <v>231</v>
      </c>
      <c r="G40" t="s">
        <v>23</v>
      </c>
      <c r="H40" s="2" t="s">
        <v>194</v>
      </c>
      <c r="I40" s="2" t="s">
        <v>1</v>
      </c>
      <c r="J40" t="s">
        <v>21</v>
      </c>
      <c r="K40" s="2" t="s">
        <v>187</v>
      </c>
      <c r="L40" s="2" t="s">
        <v>1</v>
      </c>
      <c r="M40" t="s">
        <v>21</v>
      </c>
      <c r="N40" t="s">
        <v>187</v>
      </c>
      <c r="O40" s="2" t="s">
        <v>1</v>
      </c>
      <c r="P40" t="s">
        <v>18</v>
      </c>
      <c r="Q40" s="2" t="s">
        <v>194</v>
      </c>
      <c r="R40" s="2" t="s">
        <v>1</v>
      </c>
      <c r="S40" t="s">
        <v>23</v>
      </c>
      <c r="T40" t="s">
        <v>194</v>
      </c>
      <c r="U40" t="s">
        <v>1</v>
      </c>
      <c r="V40" t="s">
        <v>18</v>
      </c>
      <c r="W40" t="s">
        <v>194</v>
      </c>
      <c r="X40" t="s">
        <v>1</v>
      </c>
      <c r="Y40">
        <f t="shared" si="0"/>
        <v>765</v>
      </c>
    </row>
    <row r="41" spans="1:25" ht="147.75" customHeight="1" x14ac:dyDescent="0.25">
      <c r="A41" t="s">
        <v>183</v>
      </c>
      <c r="B41" t="s">
        <v>184</v>
      </c>
      <c r="C41" s="2" t="s">
        <v>1138</v>
      </c>
      <c r="D41" s="2" t="s">
        <v>1137</v>
      </c>
      <c r="E41" s="2" t="s">
        <v>235</v>
      </c>
      <c r="F41" s="2" t="s">
        <v>231</v>
      </c>
      <c r="G41" t="s">
        <v>23</v>
      </c>
      <c r="H41" s="2" t="s">
        <v>194</v>
      </c>
      <c r="I41" s="2" t="s">
        <v>1</v>
      </c>
      <c r="J41" t="s">
        <v>21</v>
      </c>
      <c r="K41" s="2" t="s">
        <v>187</v>
      </c>
      <c r="L41" s="2" t="s">
        <v>1</v>
      </c>
      <c r="M41" t="s">
        <v>21</v>
      </c>
      <c r="N41" t="s">
        <v>187</v>
      </c>
      <c r="O41" s="2" t="s">
        <v>1</v>
      </c>
      <c r="P41" t="s">
        <v>21</v>
      </c>
      <c r="Q41" s="2" t="s">
        <v>187</v>
      </c>
      <c r="R41" s="2" t="s">
        <v>1</v>
      </c>
      <c r="S41" t="s">
        <v>23</v>
      </c>
      <c r="T41" t="s">
        <v>194</v>
      </c>
      <c r="U41" t="s">
        <v>1</v>
      </c>
      <c r="V41" t="s">
        <v>18</v>
      </c>
      <c r="W41" t="s">
        <v>194</v>
      </c>
      <c r="X41" t="s">
        <v>1</v>
      </c>
      <c r="Y41">
        <f t="shared" si="0"/>
        <v>768</v>
      </c>
    </row>
    <row r="42" spans="1:25" ht="147.75" customHeight="1" x14ac:dyDescent="0.25">
      <c r="A42" t="s">
        <v>183</v>
      </c>
      <c r="B42" t="s">
        <v>184</v>
      </c>
      <c r="C42" s="2" t="s">
        <v>1138</v>
      </c>
      <c r="D42" s="2" t="s">
        <v>1137</v>
      </c>
      <c r="E42" s="2" t="s">
        <v>236</v>
      </c>
      <c r="F42" s="2" t="s">
        <v>237</v>
      </c>
      <c r="G42" t="s">
        <v>23</v>
      </c>
      <c r="H42" s="2" t="s">
        <v>194</v>
      </c>
      <c r="I42" s="2" t="s">
        <v>1</v>
      </c>
      <c r="J42" t="s">
        <v>23</v>
      </c>
      <c r="K42" s="2" t="s">
        <v>194</v>
      </c>
      <c r="L42" s="2" t="s">
        <v>1</v>
      </c>
      <c r="M42" t="s">
        <v>18</v>
      </c>
      <c r="N42" t="s">
        <v>187</v>
      </c>
      <c r="O42" s="2" t="s">
        <v>1</v>
      </c>
      <c r="P42" t="s">
        <v>18</v>
      </c>
      <c r="Q42" s="2" t="s">
        <v>187</v>
      </c>
      <c r="R42" s="2" t="s">
        <v>1</v>
      </c>
      <c r="S42" t="s">
        <v>23</v>
      </c>
      <c r="T42" t="s">
        <v>194</v>
      </c>
      <c r="U42" t="s">
        <v>1</v>
      </c>
      <c r="V42" t="s">
        <v>18</v>
      </c>
      <c r="W42" t="s">
        <v>187</v>
      </c>
      <c r="X42" t="s">
        <v>1</v>
      </c>
      <c r="Y42">
        <f t="shared" si="0"/>
        <v>763</v>
      </c>
    </row>
    <row r="43" spans="1:25" ht="147.75" customHeight="1" x14ac:dyDescent="0.25">
      <c r="A43" t="s">
        <v>183</v>
      </c>
      <c r="B43" t="s">
        <v>184</v>
      </c>
      <c r="C43" s="2" t="s">
        <v>1138</v>
      </c>
      <c r="D43" s="2" t="s">
        <v>1137</v>
      </c>
      <c r="E43" s="2" t="s">
        <v>238</v>
      </c>
      <c r="F43" s="2" t="s">
        <v>237</v>
      </c>
      <c r="G43" t="s">
        <v>18</v>
      </c>
      <c r="H43" s="2" t="s">
        <v>187</v>
      </c>
      <c r="I43" s="2" t="s">
        <v>1</v>
      </c>
      <c r="J43" t="s">
        <v>18</v>
      </c>
      <c r="K43" s="2" t="s">
        <v>187</v>
      </c>
      <c r="L43" s="2" t="s">
        <v>1</v>
      </c>
      <c r="M43" t="s">
        <v>18</v>
      </c>
      <c r="N43" t="s">
        <v>187</v>
      </c>
      <c r="O43" s="2" t="s">
        <v>1</v>
      </c>
      <c r="P43" t="s">
        <v>18</v>
      </c>
      <c r="Q43" s="2" t="s">
        <v>187</v>
      </c>
      <c r="R43" s="2" t="s">
        <v>1</v>
      </c>
      <c r="S43" t="s">
        <v>18</v>
      </c>
      <c r="T43" t="s">
        <v>187</v>
      </c>
      <c r="U43" t="s">
        <v>1</v>
      </c>
      <c r="V43" t="s">
        <v>18</v>
      </c>
      <c r="W43" t="s">
        <v>187</v>
      </c>
      <c r="X43" t="s">
        <v>1</v>
      </c>
      <c r="Y43">
        <f t="shared" si="0"/>
        <v>757</v>
      </c>
    </row>
    <row r="44" spans="1:25" ht="147.75" customHeight="1" x14ac:dyDescent="0.25">
      <c r="A44" t="s">
        <v>183</v>
      </c>
      <c r="B44" t="s">
        <v>184</v>
      </c>
      <c r="C44" s="2" t="s">
        <v>1138</v>
      </c>
      <c r="D44" s="2" t="s">
        <v>1137</v>
      </c>
      <c r="E44" s="2" t="s">
        <v>239</v>
      </c>
      <c r="F44" s="2" t="s">
        <v>237</v>
      </c>
      <c r="G44" t="s">
        <v>18</v>
      </c>
      <c r="H44" s="2" t="s">
        <v>187</v>
      </c>
      <c r="I44" s="2" t="s">
        <v>1</v>
      </c>
      <c r="J44" t="s">
        <v>18</v>
      </c>
      <c r="K44" s="2" t="s">
        <v>187</v>
      </c>
      <c r="L44" s="2" t="s">
        <v>1</v>
      </c>
      <c r="M44" t="s">
        <v>18</v>
      </c>
      <c r="N44" t="s">
        <v>187</v>
      </c>
      <c r="O44" s="2" t="s">
        <v>1</v>
      </c>
      <c r="P44" t="s">
        <v>18</v>
      </c>
      <c r="Q44" s="2" t="s">
        <v>187</v>
      </c>
      <c r="R44" s="2" t="s">
        <v>1</v>
      </c>
      <c r="S44" t="s">
        <v>18</v>
      </c>
      <c r="T44" t="s">
        <v>187</v>
      </c>
      <c r="U44" t="s">
        <v>1</v>
      </c>
      <c r="V44" t="s">
        <v>18</v>
      </c>
      <c r="W44" t="s">
        <v>187</v>
      </c>
      <c r="X44" t="s">
        <v>1</v>
      </c>
      <c r="Y44">
        <f t="shared" si="0"/>
        <v>760</v>
      </c>
    </row>
    <row r="45" spans="1:25" ht="147.75" customHeight="1" x14ac:dyDescent="0.25">
      <c r="A45" t="s">
        <v>183</v>
      </c>
      <c r="B45" t="s">
        <v>184</v>
      </c>
      <c r="C45" s="2" t="s">
        <v>1138</v>
      </c>
      <c r="D45" s="2" t="s">
        <v>1137</v>
      </c>
      <c r="E45" s="2" t="s">
        <v>240</v>
      </c>
      <c r="F45" s="2" t="s">
        <v>237</v>
      </c>
      <c r="G45" t="s">
        <v>18</v>
      </c>
      <c r="H45" s="2" t="s">
        <v>187</v>
      </c>
      <c r="I45" s="2" t="s">
        <v>1</v>
      </c>
      <c r="J45" t="s">
        <v>18</v>
      </c>
      <c r="K45" s="2" t="s">
        <v>187</v>
      </c>
      <c r="L45" s="2" t="s">
        <v>1</v>
      </c>
      <c r="M45" t="s">
        <v>18</v>
      </c>
      <c r="N45" t="s">
        <v>187</v>
      </c>
      <c r="O45" s="2" t="s">
        <v>1</v>
      </c>
      <c r="P45" t="s">
        <v>18</v>
      </c>
      <c r="Q45" s="2" t="s">
        <v>187</v>
      </c>
      <c r="R45" s="2" t="s">
        <v>1</v>
      </c>
      <c r="S45" t="s">
        <v>18</v>
      </c>
      <c r="T45" t="s">
        <v>187</v>
      </c>
      <c r="U45" t="s">
        <v>1</v>
      </c>
      <c r="V45" t="s">
        <v>18</v>
      </c>
      <c r="W45" t="s">
        <v>187</v>
      </c>
      <c r="X45" t="s">
        <v>1</v>
      </c>
      <c r="Y45">
        <f t="shared" si="0"/>
        <v>745</v>
      </c>
    </row>
    <row r="46" spans="1:25" ht="147.75" customHeight="1" x14ac:dyDescent="0.25">
      <c r="A46" t="s">
        <v>183</v>
      </c>
      <c r="B46" t="s">
        <v>184</v>
      </c>
      <c r="C46" s="2" t="s">
        <v>1138</v>
      </c>
      <c r="D46" s="2" t="s">
        <v>1137</v>
      </c>
      <c r="E46" s="2" t="s">
        <v>241</v>
      </c>
      <c r="F46" s="2" t="s">
        <v>290</v>
      </c>
      <c r="G46" t="s">
        <v>23</v>
      </c>
      <c r="H46" s="2" t="s">
        <v>194</v>
      </c>
      <c r="I46" s="2" t="s">
        <v>1</v>
      </c>
      <c r="J46" t="s">
        <v>18</v>
      </c>
      <c r="K46" s="2" t="s">
        <v>187</v>
      </c>
      <c r="L46" s="2" t="s">
        <v>1</v>
      </c>
      <c r="M46" t="s">
        <v>18</v>
      </c>
      <c r="N46" t="s">
        <v>187</v>
      </c>
      <c r="O46" s="2" t="s">
        <v>1</v>
      </c>
      <c r="P46" t="s">
        <v>18</v>
      </c>
      <c r="Q46" s="2" t="s">
        <v>187</v>
      </c>
      <c r="R46" s="2" t="s">
        <v>1</v>
      </c>
      <c r="S46" t="s">
        <v>21</v>
      </c>
      <c r="T46" t="s">
        <v>194</v>
      </c>
      <c r="U46" t="s">
        <v>1</v>
      </c>
      <c r="V46" t="s">
        <v>21</v>
      </c>
      <c r="W46" t="s">
        <v>194</v>
      </c>
      <c r="X46" t="s">
        <v>1</v>
      </c>
      <c r="Y46">
        <f t="shared" si="0"/>
        <v>772</v>
      </c>
    </row>
    <row r="47" spans="1:25" ht="147.75" customHeight="1" x14ac:dyDescent="0.25">
      <c r="A47" t="s">
        <v>183</v>
      </c>
      <c r="B47" t="s">
        <v>184</v>
      </c>
      <c r="C47" s="2" t="s">
        <v>1138</v>
      </c>
      <c r="D47" s="2" t="s">
        <v>1137</v>
      </c>
      <c r="E47" s="2" t="s">
        <v>242</v>
      </c>
      <c r="F47" s="2" t="s">
        <v>243</v>
      </c>
      <c r="G47" t="s">
        <v>23</v>
      </c>
      <c r="H47" s="2" t="s">
        <v>187</v>
      </c>
      <c r="I47" s="2" t="s">
        <v>1</v>
      </c>
      <c r="J47" t="s">
        <v>21</v>
      </c>
      <c r="K47" s="2" t="s">
        <v>194</v>
      </c>
      <c r="L47" s="2" t="s">
        <v>1</v>
      </c>
      <c r="M47" t="s">
        <v>23</v>
      </c>
      <c r="N47" t="s">
        <v>187</v>
      </c>
      <c r="O47" s="2" t="s">
        <v>1</v>
      </c>
      <c r="P47" t="s">
        <v>21</v>
      </c>
      <c r="Q47" s="2" t="s">
        <v>194</v>
      </c>
      <c r="R47" s="2" t="s">
        <v>1</v>
      </c>
      <c r="S47" t="s">
        <v>21</v>
      </c>
      <c r="T47" t="s">
        <v>194</v>
      </c>
      <c r="U47" t="s">
        <v>1</v>
      </c>
      <c r="V47" t="s">
        <v>21</v>
      </c>
      <c r="W47" t="s">
        <v>194</v>
      </c>
      <c r="X47" t="s">
        <v>1</v>
      </c>
      <c r="Y47">
        <f t="shared" si="0"/>
        <v>780</v>
      </c>
    </row>
    <row r="48" spans="1:25" ht="147.75" customHeight="1" x14ac:dyDescent="0.25">
      <c r="A48" t="s">
        <v>183</v>
      </c>
      <c r="B48" t="s">
        <v>184</v>
      </c>
      <c r="C48" s="2" t="s">
        <v>1138</v>
      </c>
      <c r="D48" s="2" t="s">
        <v>1137</v>
      </c>
      <c r="E48" s="2" t="s">
        <v>244</v>
      </c>
      <c r="F48" s="2" t="s">
        <v>243</v>
      </c>
      <c r="G48" t="s">
        <v>23</v>
      </c>
      <c r="H48" s="2" t="s">
        <v>187</v>
      </c>
      <c r="I48" s="2" t="s">
        <v>1</v>
      </c>
      <c r="J48" t="s">
        <v>23</v>
      </c>
      <c r="K48" s="2" t="s">
        <v>187</v>
      </c>
      <c r="L48" s="2" t="s">
        <v>1</v>
      </c>
      <c r="M48" t="s">
        <v>23</v>
      </c>
      <c r="N48" t="s">
        <v>187</v>
      </c>
      <c r="O48" s="2" t="s">
        <v>1</v>
      </c>
      <c r="P48" t="s">
        <v>23</v>
      </c>
      <c r="Q48" s="2" t="s">
        <v>187</v>
      </c>
      <c r="R48" s="2" t="s">
        <v>1</v>
      </c>
      <c r="S48" t="s">
        <v>23</v>
      </c>
      <c r="T48" t="s">
        <v>187</v>
      </c>
      <c r="U48" t="s">
        <v>1</v>
      </c>
      <c r="V48" t="s">
        <v>23</v>
      </c>
      <c r="W48" t="s">
        <v>187</v>
      </c>
      <c r="X48" t="s">
        <v>1</v>
      </c>
      <c r="Y48">
        <f t="shared" si="0"/>
        <v>778</v>
      </c>
    </row>
    <row r="49" spans="1:25" ht="147.75" customHeight="1" x14ac:dyDescent="0.25">
      <c r="A49" t="s">
        <v>183</v>
      </c>
      <c r="B49" t="s">
        <v>184</v>
      </c>
      <c r="C49" s="2" t="s">
        <v>1138</v>
      </c>
      <c r="D49" s="2" t="s">
        <v>1137</v>
      </c>
      <c r="E49" s="2" t="s">
        <v>245</v>
      </c>
      <c r="F49" s="2" t="s">
        <v>243</v>
      </c>
      <c r="G49" t="s">
        <v>23</v>
      </c>
      <c r="H49" s="2" t="s">
        <v>187</v>
      </c>
      <c r="I49" s="2" t="s">
        <v>1</v>
      </c>
      <c r="J49" t="s">
        <v>21</v>
      </c>
      <c r="K49" s="2" t="s">
        <v>194</v>
      </c>
      <c r="L49" s="2" t="s">
        <v>1</v>
      </c>
      <c r="M49" t="s">
        <v>23</v>
      </c>
      <c r="N49" t="s">
        <v>187</v>
      </c>
      <c r="O49" s="2" t="s">
        <v>1</v>
      </c>
      <c r="P49" t="s">
        <v>18</v>
      </c>
      <c r="Q49" s="2" t="s">
        <v>194</v>
      </c>
      <c r="R49" s="2" t="s">
        <v>1</v>
      </c>
      <c r="S49" t="s">
        <v>23</v>
      </c>
      <c r="T49" t="s">
        <v>187</v>
      </c>
      <c r="U49" t="s">
        <v>1</v>
      </c>
      <c r="V49" t="s">
        <v>23</v>
      </c>
      <c r="W49" t="s">
        <v>187</v>
      </c>
      <c r="X49" t="s">
        <v>1</v>
      </c>
      <c r="Y49">
        <f t="shared" si="0"/>
        <v>774</v>
      </c>
    </row>
    <row r="50" spans="1:25" ht="147.75" customHeight="1" x14ac:dyDescent="0.25">
      <c r="A50" t="s">
        <v>183</v>
      </c>
      <c r="B50" t="s">
        <v>184</v>
      </c>
      <c r="C50" s="2" t="s">
        <v>1138</v>
      </c>
      <c r="D50" s="2" t="s">
        <v>1137</v>
      </c>
      <c r="E50" s="2" t="s">
        <v>246</v>
      </c>
      <c r="F50" s="2" t="s">
        <v>243</v>
      </c>
      <c r="G50" t="s">
        <v>23</v>
      </c>
      <c r="H50" s="2" t="s">
        <v>187</v>
      </c>
      <c r="I50" s="2" t="s">
        <v>1</v>
      </c>
      <c r="J50" t="s">
        <v>21</v>
      </c>
      <c r="K50" s="2" t="s">
        <v>194</v>
      </c>
      <c r="L50" s="2" t="s">
        <v>1</v>
      </c>
      <c r="M50" t="s">
        <v>23</v>
      </c>
      <c r="N50" t="s">
        <v>187</v>
      </c>
      <c r="O50" s="2" t="s">
        <v>1</v>
      </c>
      <c r="P50" t="s">
        <v>21</v>
      </c>
      <c r="Q50" s="2" t="s">
        <v>194</v>
      </c>
      <c r="R50" s="2" t="s">
        <v>1</v>
      </c>
      <c r="S50" t="s">
        <v>18</v>
      </c>
      <c r="T50" t="s">
        <v>194</v>
      </c>
      <c r="U50" t="s">
        <v>1</v>
      </c>
      <c r="V50" t="s">
        <v>18</v>
      </c>
      <c r="W50" t="s">
        <v>194</v>
      </c>
      <c r="X50" t="s">
        <v>1</v>
      </c>
      <c r="Y50">
        <f t="shared" si="0"/>
        <v>774</v>
      </c>
    </row>
    <row r="51" spans="1:25" ht="147.75" customHeight="1" x14ac:dyDescent="0.25">
      <c r="A51" t="s">
        <v>183</v>
      </c>
      <c r="B51" t="s">
        <v>184</v>
      </c>
      <c r="C51" s="2" t="s">
        <v>1138</v>
      </c>
      <c r="D51" s="2" t="s">
        <v>1137</v>
      </c>
      <c r="E51" s="2" t="s">
        <v>247</v>
      </c>
      <c r="F51" s="2" t="s">
        <v>243</v>
      </c>
      <c r="G51" t="s">
        <v>23</v>
      </c>
      <c r="H51" s="2" t="s">
        <v>187</v>
      </c>
      <c r="I51" s="2" t="s">
        <v>1</v>
      </c>
      <c r="J51" t="s">
        <v>23</v>
      </c>
      <c r="K51" s="2" t="s">
        <v>187</v>
      </c>
      <c r="L51" s="2" t="s">
        <v>1</v>
      </c>
      <c r="M51" t="s">
        <v>23</v>
      </c>
      <c r="N51" t="s">
        <v>187</v>
      </c>
      <c r="O51" s="2" t="s">
        <v>1</v>
      </c>
      <c r="P51" t="s">
        <v>23</v>
      </c>
      <c r="Q51" s="2" t="s">
        <v>187</v>
      </c>
      <c r="R51" s="2" t="s">
        <v>1</v>
      </c>
      <c r="S51" t="s">
        <v>23</v>
      </c>
      <c r="T51" t="s">
        <v>187</v>
      </c>
      <c r="U51" t="s">
        <v>1</v>
      </c>
      <c r="V51" t="s">
        <v>23</v>
      </c>
      <c r="W51" t="s">
        <v>187</v>
      </c>
      <c r="X51" t="s">
        <v>1</v>
      </c>
      <c r="Y51">
        <f t="shared" si="0"/>
        <v>779</v>
      </c>
    </row>
    <row r="52" spans="1:25" ht="147.75" customHeight="1" x14ac:dyDescent="0.25">
      <c r="A52" t="s">
        <v>183</v>
      </c>
      <c r="B52" t="s">
        <v>184</v>
      </c>
      <c r="C52" s="2" t="s">
        <v>1138</v>
      </c>
      <c r="D52" s="2" t="s">
        <v>1137</v>
      </c>
      <c r="E52" s="2" t="s">
        <v>248</v>
      </c>
      <c r="F52" s="2" t="s">
        <v>249</v>
      </c>
      <c r="G52" t="s">
        <v>23</v>
      </c>
      <c r="H52" s="2" t="s">
        <v>194</v>
      </c>
      <c r="I52" s="2" t="s">
        <v>1</v>
      </c>
      <c r="J52" s="2" t="s">
        <v>1147</v>
      </c>
      <c r="K52" s="2" t="s">
        <v>194</v>
      </c>
      <c r="L52" s="2" t="s">
        <v>2</v>
      </c>
      <c r="M52" t="s">
        <v>21</v>
      </c>
      <c r="N52" t="s">
        <v>187</v>
      </c>
      <c r="O52" s="2" t="s">
        <v>1</v>
      </c>
      <c r="P52" t="s">
        <v>21</v>
      </c>
      <c r="Q52" s="2" t="s">
        <v>187</v>
      </c>
      <c r="R52" s="2" t="s">
        <v>1</v>
      </c>
      <c r="S52" t="s">
        <v>21</v>
      </c>
      <c r="T52" t="s">
        <v>187</v>
      </c>
      <c r="U52" t="s">
        <v>1</v>
      </c>
      <c r="V52" t="s">
        <v>18</v>
      </c>
      <c r="W52" t="s">
        <v>194</v>
      </c>
      <c r="X52" t="s">
        <v>1</v>
      </c>
      <c r="Y52">
        <f t="shared" si="0"/>
        <v>773</v>
      </c>
    </row>
    <row r="53" spans="1:25" ht="147.75" customHeight="1" x14ac:dyDescent="0.25">
      <c r="A53" t="s">
        <v>183</v>
      </c>
      <c r="B53" t="s">
        <v>184</v>
      </c>
      <c r="C53" s="2" t="s">
        <v>1138</v>
      </c>
      <c r="D53" s="2" t="s">
        <v>1137</v>
      </c>
      <c r="E53" s="2" t="s">
        <v>250</v>
      </c>
      <c r="F53" s="2" t="s">
        <v>249</v>
      </c>
      <c r="G53" t="s">
        <v>23</v>
      </c>
      <c r="H53" s="2" t="s">
        <v>194</v>
      </c>
      <c r="I53" s="2" t="s">
        <v>1</v>
      </c>
      <c r="J53" t="s">
        <v>21</v>
      </c>
      <c r="K53" s="2" t="s">
        <v>187</v>
      </c>
      <c r="L53" s="2" t="s">
        <v>1</v>
      </c>
      <c r="M53" t="s">
        <v>21</v>
      </c>
      <c r="N53" t="s">
        <v>187</v>
      </c>
      <c r="O53" s="2" t="s">
        <v>1</v>
      </c>
      <c r="P53" t="s">
        <v>18</v>
      </c>
      <c r="Q53" s="2" t="s">
        <v>194</v>
      </c>
      <c r="R53" s="2" t="s">
        <v>1</v>
      </c>
      <c r="S53" t="s">
        <v>18</v>
      </c>
      <c r="T53" t="s">
        <v>194</v>
      </c>
      <c r="U53" t="s">
        <v>1</v>
      </c>
      <c r="V53" t="s">
        <v>18</v>
      </c>
      <c r="W53" t="s">
        <v>194</v>
      </c>
      <c r="X53" t="s">
        <v>1</v>
      </c>
      <c r="Y53">
        <f t="shared" si="0"/>
        <v>762</v>
      </c>
    </row>
    <row r="54" spans="1:25" ht="147.75" customHeight="1" x14ac:dyDescent="0.25">
      <c r="A54" t="s">
        <v>183</v>
      </c>
      <c r="B54" t="s">
        <v>184</v>
      </c>
      <c r="C54" s="2" t="s">
        <v>1138</v>
      </c>
      <c r="D54" s="2" t="s">
        <v>1137</v>
      </c>
      <c r="E54" s="2" t="s">
        <v>251</v>
      </c>
      <c r="F54" s="2" t="s">
        <v>249</v>
      </c>
      <c r="G54" t="s">
        <v>23</v>
      </c>
      <c r="H54" s="2" t="s">
        <v>194</v>
      </c>
      <c r="I54" s="2" t="s">
        <v>1</v>
      </c>
      <c r="J54" t="s">
        <v>21</v>
      </c>
      <c r="K54" s="2" t="s">
        <v>187</v>
      </c>
      <c r="L54" s="2" t="s">
        <v>1</v>
      </c>
      <c r="M54" t="s">
        <v>21</v>
      </c>
      <c r="N54" t="s">
        <v>187</v>
      </c>
      <c r="O54" s="2" t="s">
        <v>1</v>
      </c>
      <c r="P54" t="s">
        <v>21</v>
      </c>
      <c r="Q54" s="2" t="s">
        <v>187</v>
      </c>
      <c r="R54" s="2" t="s">
        <v>1</v>
      </c>
      <c r="S54" t="s">
        <v>18</v>
      </c>
      <c r="T54" t="s">
        <v>194</v>
      </c>
      <c r="U54" t="s">
        <v>1</v>
      </c>
      <c r="V54" t="s">
        <v>18</v>
      </c>
      <c r="W54" t="s">
        <v>194</v>
      </c>
      <c r="X54" t="s">
        <v>1</v>
      </c>
      <c r="Y54">
        <f t="shared" si="0"/>
        <v>766</v>
      </c>
    </row>
    <row r="55" spans="1:25" ht="147.75" customHeight="1" x14ac:dyDescent="0.25">
      <c r="A55" t="s">
        <v>183</v>
      </c>
      <c r="B55" t="s">
        <v>184</v>
      </c>
      <c r="C55" s="2" t="s">
        <v>1138</v>
      </c>
      <c r="D55" s="2" t="s">
        <v>1137</v>
      </c>
      <c r="E55" s="2" t="s">
        <v>252</v>
      </c>
      <c r="F55" s="2" t="s">
        <v>249</v>
      </c>
      <c r="G55" t="s">
        <v>18</v>
      </c>
      <c r="H55" s="2" t="s">
        <v>194</v>
      </c>
      <c r="I55" s="2" t="s">
        <v>1</v>
      </c>
      <c r="J55" s="2" t="s">
        <v>1148</v>
      </c>
      <c r="K55" s="2" t="s">
        <v>187</v>
      </c>
      <c r="L55" s="2" t="s">
        <v>2</v>
      </c>
      <c r="M55" t="s">
        <v>21</v>
      </c>
      <c r="N55" t="s">
        <v>187</v>
      </c>
      <c r="O55" s="2" t="s">
        <v>1</v>
      </c>
      <c r="P55" t="s">
        <v>18</v>
      </c>
      <c r="Q55" s="2" t="s">
        <v>194</v>
      </c>
      <c r="R55" s="2" t="s">
        <v>1</v>
      </c>
      <c r="S55" t="s">
        <v>18</v>
      </c>
      <c r="T55" t="s">
        <v>194</v>
      </c>
      <c r="U55" t="s">
        <v>1</v>
      </c>
      <c r="V55" t="s">
        <v>18</v>
      </c>
      <c r="W55" t="s">
        <v>194</v>
      </c>
      <c r="X55" t="s">
        <v>1</v>
      </c>
      <c r="Y55">
        <f t="shared" si="0"/>
        <v>768</v>
      </c>
    </row>
    <row r="56" spans="1:25" ht="147.75" customHeight="1" x14ac:dyDescent="0.25">
      <c r="A56" t="s">
        <v>183</v>
      </c>
      <c r="B56" t="s">
        <v>184</v>
      </c>
      <c r="C56" s="2" t="s">
        <v>1138</v>
      </c>
      <c r="D56" s="2" t="s">
        <v>1137</v>
      </c>
      <c r="E56" s="2" t="s">
        <v>253</v>
      </c>
      <c r="F56" s="2" t="s">
        <v>249</v>
      </c>
      <c r="G56" t="s">
        <v>21</v>
      </c>
      <c r="H56" s="2" t="s">
        <v>194</v>
      </c>
      <c r="I56" s="2" t="s">
        <v>1</v>
      </c>
      <c r="J56" t="s">
        <v>21</v>
      </c>
      <c r="K56" s="2" t="s">
        <v>187</v>
      </c>
      <c r="L56" s="2" t="s">
        <v>1</v>
      </c>
      <c r="M56" t="s">
        <v>21</v>
      </c>
      <c r="N56" t="s">
        <v>187</v>
      </c>
      <c r="O56" s="2" t="s">
        <v>1</v>
      </c>
      <c r="P56" t="s">
        <v>21</v>
      </c>
      <c r="Q56" s="2" t="s">
        <v>187</v>
      </c>
      <c r="R56" s="2" t="s">
        <v>1</v>
      </c>
      <c r="S56" t="s">
        <v>21</v>
      </c>
      <c r="T56" t="s">
        <v>187</v>
      </c>
      <c r="U56" t="s">
        <v>1</v>
      </c>
      <c r="V56" t="s">
        <v>18</v>
      </c>
      <c r="W56" t="s">
        <v>194</v>
      </c>
      <c r="X56" t="s">
        <v>1</v>
      </c>
      <c r="Y56">
        <f t="shared" si="0"/>
        <v>769</v>
      </c>
    </row>
    <row r="57" spans="1:25" ht="147.75" customHeight="1" x14ac:dyDescent="0.25">
      <c r="A57" t="s">
        <v>183</v>
      </c>
      <c r="B57" t="s">
        <v>184</v>
      </c>
      <c r="C57" s="2" t="s">
        <v>1138</v>
      </c>
      <c r="D57" s="2" t="s">
        <v>1137</v>
      </c>
      <c r="E57" s="2" t="s">
        <v>254</v>
      </c>
      <c r="F57" s="2" t="s">
        <v>72</v>
      </c>
      <c r="G57" t="s">
        <v>23</v>
      </c>
      <c r="H57" s="2" t="s">
        <v>194</v>
      </c>
      <c r="I57" s="2" t="s">
        <v>1</v>
      </c>
      <c r="J57" t="s">
        <v>21</v>
      </c>
      <c r="K57" s="2" t="s">
        <v>194</v>
      </c>
      <c r="L57" s="2" t="s">
        <v>1</v>
      </c>
      <c r="M57" t="s">
        <v>21</v>
      </c>
      <c r="N57" t="s">
        <v>194</v>
      </c>
      <c r="O57" s="2" t="s">
        <v>1</v>
      </c>
      <c r="P57" t="s">
        <v>21</v>
      </c>
      <c r="Q57" s="2" t="s">
        <v>194</v>
      </c>
      <c r="R57" s="2" t="s">
        <v>1</v>
      </c>
      <c r="S57" t="s">
        <v>21</v>
      </c>
      <c r="T57" t="s">
        <v>194</v>
      </c>
      <c r="U57" t="s">
        <v>1</v>
      </c>
      <c r="V57" t="s">
        <v>18</v>
      </c>
      <c r="W57" t="s">
        <v>187</v>
      </c>
      <c r="X57" t="s">
        <v>1</v>
      </c>
      <c r="Y57">
        <f t="shared" si="0"/>
        <v>756</v>
      </c>
    </row>
    <row r="58" spans="1:25" ht="147.75" customHeight="1" x14ac:dyDescent="0.25">
      <c r="A58" t="s">
        <v>183</v>
      </c>
      <c r="B58" t="s">
        <v>184</v>
      </c>
      <c r="C58" s="2" t="s">
        <v>1138</v>
      </c>
      <c r="D58" s="2" t="s">
        <v>1137</v>
      </c>
      <c r="E58" s="2" t="s">
        <v>255</v>
      </c>
      <c r="F58" s="2" t="s">
        <v>72</v>
      </c>
      <c r="G58" t="s">
        <v>23</v>
      </c>
      <c r="H58" s="2" t="s">
        <v>194</v>
      </c>
      <c r="I58" s="2" t="s">
        <v>1</v>
      </c>
      <c r="J58" t="s">
        <v>21</v>
      </c>
      <c r="K58" s="2" t="s">
        <v>194</v>
      </c>
      <c r="L58" s="2" t="s">
        <v>1</v>
      </c>
      <c r="M58" t="s">
        <v>18</v>
      </c>
      <c r="N58" t="s">
        <v>187</v>
      </c>
      <c r="O58" s="2" t="s">
        <v>1</v>
      </c>
      <c r="P58" t="s">
        <v>18</v>
      </c>
      <c r="Q58" s="2" t="s">
        <v>187</v>
      </c>
      <c r="R58" s="2" t="s">
        <v>1</v>
      </c>
      <c r="S58" t="s">
        <v>23</v>
      </c>
      <c r="T58" t="s">
        <v>194</v>
      </c>
      <c r="U58" t="s">
        <v>1</v>
      </c>
      <c r="V58" t="s">
        <v>18</v>
      </c>
      <c r="W58" t="s">
        <v>187</v>
      </c>
      <c r="X58" t="s">
        <v>1</v>
      </c>
      <c r="Y58">
        <f t="shared" si="0"/>
        <v>754</v>
      </c>
    </row>
    <row r="59" spans="1:25" ht="147.75" customHeight="1" x14ac:dyDescent="0.25">
      <c r="A59" t="s">
        <v>183</v>
      </c>
      <c r="B59" t="s">
        <v>184</v>
      </c>
      <c r="C59" s="2" t="s">
        <v>1138</v>
      </c>
      <c r="D59" s="2" t="s">
        <v>1137</v>
      </c>
      <c r="E59" s="2" t="s">
        <v>256</v>
      </c>
      <c r="F59" s="2" t="s">
        <v>72</v>
      </c>
      <c r="G59" t="s">
        <v>23</v>
      </c>
      <c r="H59" s="2" t="s">
        <v>194</v>
      </c>
      <c r="I59" s="2" t="s">
        <v>1</v>
      </c>
      <c r="J59" t="s">
        <v>21</v>
      </c>
      <c r="K59" s="2" t="s">
        <v>194</v>
      </c>
      <c r="L59" s="2" t="s">
        <v>1</v>
      </c>
      <c r="M59" t="s">
        <v>18</v>
      </c>
      <c r="N59" t="s">
        <v>187</v>
      </c>
      <c r="O59" s="2" t="s">
        <v>1</v>
      </c>
      <c r="P59" t="s">
        <v>21</v>
      </c>
      <c r="Q59" s="2" t="s">
        <v>194</v>
      </c>
      <c r="R59" s="2" t="s">
        <v>1</v>
      </c>
      <c r="S59" t="s">
        <v>18</v>
      </c>
      <c r="T59" t="s">
        <v>187</v>
      </c>
      <c r="U59" t="s">
        <v>1</v>
      </c>
      <c r="V59" t="s">
        <v>18</v>
      </c>
      <c r="W59" t="s">
        <v>187</v>
      </c>
      <c r="X59" t="s">
        <v>1</v>
      </c>
      <c r="Y59">
        <f t="shared" si="0"/>
        <v>739</v>
      </c>
    </row>
    <row r="60" spans="1:25" ht="147.75" customHeight="1" x14ac:dyDescent="0.25">
      <c r="A60" t="s">
        <v>183</v>
      </c>
      <c r="B60" t="s">
        <v>184</v>
      </c>
      <c r="C60" s="2" t="s">
        <v>1138</v>
      </c>
      <c r="D60" s="2" t="s">
        <v>1137</v>
      </c>
      <c r="E60" s="2" t="s">
        <v>257</v>
      </c>
      <c r="F60" s="2" t="s">
        <v>72</v>
      </c>
      <c r="G60" t="s">
        <v>23</v>
      </c>
      <c r="H60" s="2" t="s">
        <v>194</v>
      </c>
      <c r="I60" s="2" t="s">
        <v>1</v>
      </c>
      <c r="J60" t="s">
        <v>21</v>
      </c>
      <c r="K60" s="2" t="s">
        <v>194</v>
      </c>
      <c r="L60" s="2" t="s">
        <v>1</v>
      </c>
      <c r="M60" t="s">
        <v>18</v>
      </c>
      <c r="N60" t="s">
        <v>187</v>
      </c>
      <c r="O60" s="2" t="s">
        <v>1</v>
      </c>
      <c r="P60" t="s">
        <v>18</v>
      </c>
      <c r="Q60" s="2" t="s">
        <v>187</v>
      </c>
      <c r="R60" s="2" t="s">
        <v>1</v>
      </c>
      <c r="S60" t="s">
        <v>18</v>
      </c>
      <c r="T60" t="s">
        <v>187</v>
      </c>
      <c r="U60" t="s">
        <v>1</v>
      </c>
      <c r="V60" t="s">
        <v>18</v>
      </c>
      <c r="W60" t="s">
        <v>187</v>
      </c>
      <c r="X60" t="s">
        <v>1</v>
      </c>
      <c r="Y60">
        <f t="shared" si="0"/>
        <v>768</v>
      </c>
    </row>
    <row r="61" spans="1:25" ht="147.75" customHeight="1" x14ac:dyDescent="0.25">
      <c r="A61" t="s">
        <v>183</v>
      </c>
      <c r="B61" t="s">
        <v>184</v>
      </c>
      <c r="C61" s="2" t="s">
        <v>1138</v>
      </c>
      <c r="D61" s="2" t="s">
        <v>1137</v>
      </c>
      <c r="E61" s="2" t="s">
        <v>258</v>
      </c>
      <c r="F61" s="2" t="s">
        <v>72</v>
      </c>
      <c r="G61" t="s">
        <v>23</v>
      </c>
      <c r="H61" s="2" t="s">
        <v>194</v>
      </c>
      <c r="I61" s="2" t="s">
        <v>1</v>
      </c>
      <c r="J61" t="s">
        <v>21</v>
      </c>
      <c r="K61" s="2" t="s">
        <v>194</v>
      </c>
      <c r="L61" s="2" t="s">
        <v>1</v>
      </c>
      <c r="M61" t="s">
        <v>18</v>
      </c>
      <c r="N61" t="s">
        <v>187</v>
      </c>
      <c r="O61" s="2" t="s">
        <v>1</v>
      </c>
      <c r="P61" t="s">
        <v>21</v>
      </c>
      <c r="Q61" s="2" t="s">
        <v>194</v>
      </c>
      <c r="R61" s="2" t="s">
        <v>1</v>
      </c>
      <c r="S61" t="s">
        <v>23</v>
      </c>
      <c r="T61" t="s">
        <v>194</v>
      </c>
      <c r="U61" t="s">
        <v>1</v>
      </c>
      <c r="V61" t="s">
        <v>18</v>
      </c>
      <c r="W61" t="s">
        <v>187</v>
      </c>
      <c r="X61" t="s">
        <v>1</v>
      </c>
      <c r="Y61">
        <f t="shared" si="0"/>
        <v>765</v>
      </c>
    </row>
    <row r="62" spans="1:25" ht="147.75" customHeight="1" x14ac:dyDescent="0.25">
      <c r="A62" t="s">
        <v>183</v>
      </c>
      <c r="B62" t="s">
        <v>184</v>
      </c>
      <c r="C62" s="2" t="s">
        <v>1138</v>
      </c>
      <c r="D62" s="2" t="s">
        <v>1137</v>
      </c>
      <c r="E62" s="2" t="s">
        <v>259</v>
      </c>
      <c r="F62" s="2" t="s">
        <v>260</v>
      </c>
      <c r="G62" t="s">
        <v>21</v>
      </c>
      <c r="H62" s="2" t="s">
        <v>187</v>
      </c>
      <c r="I62" s="2" t="s">
        <v>1</v>
      </c>
      <c r="J62" s="2" t="s">
        <v>1149</v>
      </c>
      <c r="K62" s="2" t="s">
        <v>194</v>
      </c>
      <c r="L62" s="2" t="s">
        <v>2</v>
      </c>
      <c r="M62" t="s">
        <v>21</v>
      </c>
      <c r="N62" t="s">
        <v>187</v>
      </c>
      <c r="O62" s="2" t="s">
        <v>1</v>
      </c>
      <c r="P62" t="s">
        <v>21</v>
      </c>
      <c r="Q62" s="2" t="s">
        <v>187</v>
      </c>
      <c r="R62" s="2" t="s">
        <v>1</v>
      </c>
      <c r="S62" t="s">
        <v>21</v>
      </c>
      <c r="T62" t="s">
        <v>187</v>
      </c>
      <c r="U62" t="s">
        <v>1</v>
      </c>
      <c r="V62" t="s">
        <v>18</v>
      </c>
      <c r="W62" t="s">
        <v>194</v>
      </c>
      <c r="X62" t="s">
        <v>1</v>
      </c>
      <c r="Y62">
        <f t="shared" si="0"/>
        <v>770</v>
      </c>
    </row>
    <row r="63" spans="1:25" ht="147.75" customHeight="1" x14ac:dyDescent="0.25">
      <c r="A63" t="s">
        <v>183</v>
      </c>
      <c r="B63" t="s">
        <v>184</v>
      </c>
      <c r="C63" s="2" t="s">
        <v>1138</v>
      </c>
      <c r="D63" s="2" t="s">
        <v>1137</v>
      </c>
      <c r="E63" s="2" t="s">
        <v>261</v>
      </c>
      <c r="F63" s="2" t="s">
        <v>260</v>
      </c>
      <c r="G63" t="s">
        <v>21</v>
      </c>
      <c r="H63" s="2" t="s">
        <v>187</v>
      </c>
      <c r="I63" s="2" t="s">
        <v>1</v>
      </c>
      <c r="J63" t="s">
        <v>21</v>
      </c>
      <c r="K63" s="2" t="s">
        <v>187</v>
      </c>
      <c r="L63" s="2" t="s">
        <v>1</v>
      </c>
      <c r="M63" t="s">
        <v>21</v>
      </c>
      <c r="N63" t="s">
        <v>187</v>
      </c>
      <c r="O63" s="2" t="s">
        <v>1</v>
      </c>
      <c r="P63" t="s">
        <v>21</v>
      </c>
      <c r="Q63" s="2" t="s">
        <v>187</v>
      </c>
      <c r="R63" s="2" t="s">
        <v>1</v>
      </c>
      <c r="S63" t="s">
        <v>21</v>
      </c>
      <c r="T63" t="s">
        <v>187</v>
      </c>
      <c r="U63" t="s">
        <v>1</v>
      </c>
      <c r="V63" t="s">
        <v>21</v>
      </c>
      <c r="W63" t="s">
        <v>187</v>
      </c>
      <c r="X63" t="s">
        <v>1</v>
      </c>
      <c r="Y63">
        <f t="shared" si="0"/>
        <v>772</v>
      </c>
    </row>
    <row r="64" spans="1:25" ht="147.75" customHeight="1" x14ac:dyDescent="0.25">
      <c r="A64" t="s">
        <v>183</v>
      </c>
      <c r="B64" t="s">
        <v>184</v>
      </c>
      <c r="C64" s="2" t="s">
        <v>1138</v>
      </c>
      <c r="D64" s="2" t="s">
        <v>1137</v>
      </c>
      <c r="E64" s="2" t="s">
        <v>262</v>
      </c>
      <c r="F64" s="2" t="s">
        <v>260</v>
      </c>
      <c r="G64" t="s">
        <v>23</v>
      </c>
      <c r="H64" s="2" t="s">
        <v>194</v>
      </c>
      <c r="I64" s="2" t="s">
        <v>1</v>
      </c>
      <c r="J64" t="s">
        <v>21</v>
      </c>
      <c r="K64" s="2" t="s">
        <v>187</v>
      </c>
      <c r="L64" s="2" t="s">
        <v>1</v>
      </c>
      <c r="M64" t="s">
        <v>23</v>
      </c>
      <c r="N64" t="s">
        <v>194</v>
      </c>
      <c r="O64" s="2" t="s">
        <v>1</v>
      </c>
      <c r="P64" t="s">
        <v>21</v>
      </c>
      <c r="Q64" s="2" t="s">
        <v>187</v>
      </c>
      <c r="R64" s="2" t="s">
        <v>1</v>
      </c>
      <c r="S64" t="s">
        <v>23</v>
      </c>
      <c r="T64" t="s">
        <v>194</v>
      </c>
      <c r="U64" t="s">
        <v>1</v>
      </c>
      <c r="V64" t="s">
        <v>18</v>
      </c>
      <c r="W64" t="s">
        <v>194</v>
      </c>
      <c r="X64" t="s">
        <v>1</v>
      </c>
      <c r="Y64">
        <f t="shared" si="0"/>
        <v>765</v>
      </c>
    </row>
    <row r="65" spans="1:25" ht="147.75" customHeight="1" x14ac:dyDescent="0.25">
      <c r="A65" t="s">
        <v>183</v>
      </c>
      <c r="B65" t="s">
        <v>184</v>
      </c>
      <c r="C65" s="2" t="s">
        <v>1138</v>
      </c>
      <c r="D65" s="2" t="s">
        <v>1137</v>
      </c>
      <c r="E65" s="2" t="s">
        <v>263</v>
      </c>
      <c r="F65" s="2" t="s">
        <v>260</v>
      </c>
      <c r="G65" t="s">
        <v>23</v>
      </c>
      <c r="H65" s="2" t="s">
        <v>194</v>
      </c>
      <c r="I65" s="2" t="s">
        <v>1</v>
      </c>
      <c r="J65" t="s">
        <v>18</v>
      </c>
      <c r="K65" s="2" t="s">
        <v>194</v>
      </c>
      <c r="L65" s="2" t="s">
        <v>1</v>
      </c>
      <c r="M65" t="s">
        <v>21</v>
      </c>
      <c r="N65" t="s">
        <v>187</v>
      </c>
      <c r="O65" s="2" t="s">
        <v>1</v>
      </c>
      <c r="P65" t="s">
        <v>21</v>
      </c>
      <c r="Q65" s="2" t="s">
        <v>187</v>
      </c>
      <c r="R65" s="2" t="s">
        <v>1</v>
      </c>
      <c r="S65" t="s">
        <v>23</v>
      </c>
      <c r="T65" t="s">
        <v>194</v>
      </c>
      <c r="U65" t="s">
        <v>1</v>
      </c>
      <c r="V65" t="s">
        <v>18</v>
      </c>
      <c r="W65" t="s">
        <v>194</v>
      </c>
      <c r="X65" t="s">
        <v>1</v>
      </c>
      <c r="Y65">
        <f t="shared" si="0"/>
        <v>767</v>
      </c>
    </row>
    <row r="66" spans="1:25" ht="147.75" customHeight="1" x14ac:dyDescent="0.25">
      <c r="A66" t="s">
        <v>183</v>
      </c>
      <c r="B66" t="s">
        <v>184</v>
      </c>
      <c r="C66" s="2" t="s">
        <v>1138</v>
      </c>
      <c r="D66" s="2" t="s">
        <v>1137</v>
      </c>
      <c r="E66" s="2" t="s">
        <v>264</v>
      </c>
      <c r="F66" s="2" t="s">
        <v>260</v>
      </c>
      <c r="G66" t="s">
        <v>18</v>
      </c>
      <c r="H66" s="2" t="s">
        <v>194</v>
      </c>
      <c r="I66" s="2" t="s">
        <v>1</v>
      </c>
      <c r="J66" t="s">
        <v>23</v>
      </c>
      <c r="K66" s="2" t="s">
        <v>194</v>
      </c>
      <c r="L66" s="2" t="s">
        <v>1</v>
      </c>
      <c r="M66" t="s">
        <v>23</v>
      </c>
      <c r="N66" t="s">
        <v>194</v>
      </c>
      <c r="O66" s="2" t="s">
        <v>1</v>
      </c>
      <c r="P66" t="s">
        <v>21</v>
      </c>
      <c r="Q66" s="2" t="s">
        <v>187</v>
      </c>
      <c r="R66" s="2" t="s">
        <v>1</v>
      </c>
      <c r="S66" t="s">
        <v>23</v>
      </c>
      <c r="T66" t="s">
        <v>194</v>
      </c>
      <c r="U66" t="s">
        <v>1</v>
      </c>
      <c r="V66" t="s">
        <v>18</v>
      </c>
      <c r="W66" t="s">
        <v>194</v>
      </c>
      <c r="X66" t="s">
        <v>1</v>
      </c>
      <c r="Y66">
        <f t="shared" si="0"/>
        <v>760</v>
      </c>
    </row>
    <row r="67" spans="1:25" ht="147.75" customHeight="1" x14ac:dyDescent="0.25">
      <c r="A67" t="s">
        <v>183</v>
      </c>
      <c r="B67" t="s">
        <v>184</v>
      </c>
      <c r="C67" s="2" t="s">
        <v>1138</v>
      </c>
      <c r="D67" s="2" t="s">
        <v>1137</v>
      </c>
      <c r="E67" s="2" t="s">
        <v>265</v>
      </c>
      <c r="F67" s="2" t="s">
        <v>266</v>
      </c>
      <c r="G67" t="s">
        <v>21</v>
      </c>
      <c r="H67" s="2" t="s">
        <v>187</v>
      </c>
      <c r="I67" s="2" t="s">
        <v>1</v>
      </c>
      <c r="J67" t="s">
        <v>21</v>
      </c>
      <c r="K67" s="2" t="s">
        <v>187</v>
      </c>
      <c r="L67" s="2" t="s">
        <v>1</v>
      </c>
      <c r="M67" t="s">
        <v>21</v>
      </c>
      <c r="N67" t="s">
        <v>187</v>
      </c>
      <c r="O67" s="2" t="s">
        <v>1</v>
      </c>
      <c r="P67" t="s">
        <v>21</v>
      </c>
      <c r="Q67" s="2" t="s">
        <v>187</v>
      </c>
      <c r="R67" s="2" t="s">
        <v>1</v>
      </c>
      <c r="S67" t="s">
        <v>18</v>
      </c>
      <c r="T67" t="s">
        <v>194</v>
      </c>
      <c r="U67" t="s">
        <v>1</v>
      </c>
      <c r="V67" t="s">
        <v>18</v>
      </c>
      <c r="W67" t="s">
        <v>194</v>
      </c>
      <c r="X67" t="s">
        <v>1</v>
      </c>
      <c r="Y67">
        <f t="shared" ref="Y67:Y130" si="1">LEN(D67)+LEN(E67)</f>
        <v>755</v>
      </c>
    </row>
    <row r="68" spans="1:25" ht="147.75" customHeight="1" x14ac:dyDescent="0.25">
      <c r="A68" t="s">
        <v>183</v>
      </c>
      <c r="B68" t="s">
        <v>184</v>
      </c>
      <c r="C68" s="2" t="s">
        <v>1138</v>
      </c>
      <c r="D68" s="2" t="s">
        <v>1137</v>
      </c>
      <c r="E68" s="2" t="s">
        <v>267</v>
      </c>
      <c r="F68" s="2" t="s">
        <v>266</v>
      </c>
      <c r="G68" t="s">
        <v>21</v>
      </c>
      <c r="H68" s="2" t="s">
        <v>187</v>
      </c>
      <c r="I68" s="2" t="s">
        <v>1</v>
      </c>
      <c r="J68" t="s">
        <v>21</v>
      </c>
      <c r="K68" s="2" t="s">
        <v>187</v>
      </c>
      <c r="L68" s="2" t="s">
        <v>1</v>
      </c>
      <c r="M68" t="s">
        <v>21</v>
      </c>
      <c r="N68" t="s">
        <v>187</v>
      </c>
      <c r="O68" s="2" t="s">
        <v>1</v>
      </c>
      <c r="P68" t="s">
        <v>21</v>
      </c>
      <c r="Q68" s="2" t="s">
        <v>187</v>
      </c>
      <c r="R68" s="2" t="s">
        <v>1</v>
      </c>
      <c r="S68" t="s">
        <v>21</v>
      </c>
      <c r="T68" t="s">
        <v>187</v>
      </c>
      <c r="U68" t="s">
        <v>1</v>
      </c>
      <c r="V68" t="s">
        <v>21</v>
      </c>
      <c r="W68" t="s">
        <v>187</v>
      </c>
      <c r="X68" t="s">
        <v>1</v>
      </c>
      <c r="Y68">
        <f t="shared" si="1"/>
        <v>755</v>
      </c>
    </row>
    <row r="69" spans="1:25" ht="147.75" customHeight="1" x14ac:dyDescent="0.25">
      <c r="A69" t="s">
        <v>183</v>
      </c>
      <c r="B69" t="s">
        <v>184</v>
      </c>
      <c r="C69" s="2" t="s">
        <v>1138</v>
      </c>
      <c r="D69" s="2" t="s">
        <v>1137</v>
      </c>
      <c r="E69" s="2" t="s">
        <v>268</v>
      </c>
      <c r="F69" s="2" t="s">
        <v>266</v>
      </c>
      <c r="G69" t="s">
        <v>21</v>
      </c>
      <c r="H69" s="2" t="s">
        <v>187</v>
      </c>
      <c r="I69" s="2" t="s">
        <v>1</v>
      </c>
      <c r="J69" t="s">
        <v>21</v>
      </c>
      <c r="K69" s="2" t="s">
        <v>187</v>
      </c>
      <c r="L69" s="2" t="s">
        <v>1</v>
      </c>
      <c r="M69" t="s">
        <v>21</v>
      </c>
      <c r="N69" t="s">
        <v>187</v>
      </c>
      <c r="O69" s="2" t="s">
        <v>1</v>
      </c>
      <c r="P69" t="s">
        <v>21</v>
      </c>
      <c r="Q69" s="2" t="s">
        <v>187</v>
      </c>
      <c r="R69" s="2" t="s">
        <v>1</v>
      </c>
      <c r="S69" t="s">
        <v>21</v>
      </c>
      <c r="T69" t="s">
        <v>187</v>
      </c>
      <c r="U69" t="s">
        <v>1</v>
      </c>
      <c r="V69" t="s">
        <v>21</v>
      </c>
      <c r="W69" t="s">
        <v>187</v>
      </c>
      <c r="X69" t="s">
        <v>1</v>
      </c>
      <c r="Y69">
        <f t="shared" si="1"/>
        <v>768</v>
      </c>
    </row>
    <row r="70" spans="1:25" ht="147.75" customHeight="1" x14ac:dyDescent="0.25">
      <c r="A70" t="s">
        <v>183</v>
      </c>
      <c r="B70" t="s">
        <v>184</v>
      </c>
      <c r="C70" s="2" t="s">
        <v>1138</v>
      </c>
      <c r="D70" s="2" t="s">
        <v>1137</v>
      </c>
      <c r="E70" s="2" t="s">
        <v>269</v>
      </c>
      <c r="F70" s="2" t="s">
        <v>266</v>
      </c>
      <c r="G70" t="s">
        <v>21</v>
      </c>
      <c r="H70" s="2" t="s">
        <v>187</v>
      </c>
      <c r="I70" s="2" t="s">
        <v>1</v>
      </c>
      <c r="J70" t="s">
        <v>21</v>
      </c>
      <c r="K70" s="2" t="s">
        <v>187</v>
      </c>
      <c r="L70" s="2" t="s">
        <v>1</v>
      </c>
      <c r="M70" t="s">
        <v>21</v>
      </c>
      <c r="N70" t="s">
        <v>187</v>
      </c>
      <c r="O70" s="2" t="s">
        <v>1</v>
      </c>
      <c r="P70" t="s">
        <v>21</v>
      </c>
      <c r="Q70" s="2" t="s">
        <v>187</v>
      </c>
      <c r="R70" s="2" t="s">
        <v>1</v>
      </c>
      <c r="S70" t="s">
        <v>21</v>
      </c>
      <c r="T70" t="s">
        <v>187</v>
      </c>
      <c r="U70" t="s">
        <v>1</v>
      </c>
      <c r="V70" t="s">
        <v>18</v>
      </c>
      <c r="W70" t="s">
        <v>194</v>
      </c>
      <c r="X70" t="s">
        <v>1</v>
      </c>
      <c r="Y70">
        <f t="shared" si="1"/>
        <v>764</v>
      </c>
    </row>
    <row r="71" spans="1:25" ht="147.75" customHeight="1" x14ac:dyDescent="0.25">
      <c r="A71" t="s">
        <v>183</v>
      </c>
      <c r="B71" t="s">
        <v>184</v>
      </c>
      <c r="C71" s="2" t="s">
        <v>1138</v>
      </c>
      <c r="D71" s="2" t="s">
        <v>1137</v>
      </c>
      <c r="E71" s="2" t="s">
        <v>270</v>
      </c>
      <c r="F71" s="2" t="s">
        <v>266</v>
      </c>
      <c r="G71" t="s">
        <v>21</v>
      </c>
      <c r="H71" s="2" t="s">
        <v>187</v>
      </c>
      <c r="I71" s="2" t="s">
        <v>1</v>
      </c>
      <c r="J71" t="s">
        <v>21</v>
      </c>
      <c r="K71" s="2" t="s">
        <v>187</v>
      </c>
      <c r="L71" s="2" t="s">
        <v>1</v>
      </c>
      <c r="M71" t="s">
        <v>21</v>
      </c>
      <c r="N71" t="s">
        <v>187</v>
      </c>
      <c r="O71" s="2" t="s">
        <v>1</v>
      </c>
      <c r="P71" t="s">
        <v>21</v>
      </c>
      <c r="Q71" s="2" t="s">
        <v>187</v>
      </c>
      <c r="R71" s="2" t="s">
        <v>1</v>
      </c>
      <c r="S71" t="s">
        <v>21</v>
      </c>
      <c r="T71" t="s">
        <v>187</v>
      </c>
      <c r="U71" t="s">
        <v>1</v>
      </c>
      <c r="V71" t="s">
        <v>18</v>
      </c>
      <c r="W71" t="s">
        <v>194</v>
      </c>
      <c r="X71" t="s">
        <v>1</v>
      </c>
      <c r="Y71">
        <f t="shared" si="1"/>
        <v>763</v>
      </c>
    </row>
    <row r="72" spans="1:25" ht="147.75" customHeight="1" x14ac:dyDescent="0.25">
      <c r="A72" t="s">
        <v>183</v>
      </c>
      <c r="B72" t="s">
        <v>184</v>
      </c>
      <c r="C72" s="2" t="s">
        <v>1138</v>
      </c>
      <c r="D72" s="2" t="s">
        <v>1137</v>
      </c>
      <c r="E72" s="2" t="s">
        <v>271</v>
      </c>
      <c r="F72" s="2" t="s">
        <v>272</v>
      </c>
      <c r="G72" t="s">
        <v>21</v>
      </c>
      <c r="H72" s="2" t="s">
        <v>187</v>
      </c>
      <c r="I72" s="2" t="s">
        <v>1</v>
      </c>
      <c r="J72" t="s">
        <v>21</v>
      </c>
      <c r="K72" s="2" t="s">
        <v>187</v>
      </c>
      <c r="L72" s="2" t="s">
        <v>1</v>
      </c>
      <c r="M72" t="s">
        <v>21</v>
      </c>
      <c r="N72" t="s">
        <v>187</v>
      </c>
      <c r="O72" s="2" t="s">
        <v>1</v>
      </c>
      <c r="P72" t="s">
        <v>21</v>
      </c>
      <c r="Q72" s="2" t="s">
        <v>187</v>
      </c>
      <c r="R72" s="2" t="s">
        <v>1</v>
      </c>
      <c r="S72" t="s">
        <v>21</v>
      </c>
      <c r="T72" t="s">
        <v>187</v>
      </c>
      <c r="U72" t="s">
        <v>1</v>
      </c>
      <c r="V72" t="s">
        <v>21</v>
      </c>
      <c r="W72" t="s">
        <v>187</v>
      </c>
      <c r="X72" t="s">
        <v>1</v>
      </c>
      <c r="Y72">
        <f t="shared" si="1"/>
        <v>749</v>
      </c>
    </row>
    <row r="73" spans="1:25" ht="147.75" customHeight="1" x14ac:dyDescent="0.25">
      <c r="A73" t="s">
        <v>183</v>
      </c>
      <c r="B73" t="s">
        <v>184</v>
      </c>
      <c r="C73" s="2" t="s">
        <v>1138</v>
      </c>
      <c r="D73" s="2" t="s">
        <v>1137</v>
      </c>
      <c r="E73" s="2" t="s">
        <v>273</v>
      </c>
      <c r="F73" s="2" t="s">
        <v>272</v>
      </c>
      <c r="G73" t="s">
        <v>21</v>
      </c>
      <c r="H73" s="2" t="s">
        <v>187</v>
      </c>
      <c r="I73" s="2" t="s">
        <v>1</v>
      </c>
      <c r="J73" t="s">
        <v>21</v>
      </c>
      <c r="K73" s="2" t="s">
        <v>187</v>
      </c>
      <c r="L73" s="2" t="s">
        <v>1</v>
      </c>
      <c r="M73" t="s">
        <v>18</v>
      </c>
      <c r="N73" t="s">
        <v>194</v>
      </c>
      <c r="O73" s="2" t="s">
        <v>1</v>
      </c>
      <c r="P73" t="s">
        <v>21</v>
      </c>
      <c r="Q73" s="2" t="s">
        <v>187</v>
      </c>
      <c r="R73" s="2" t="s">
        <v>1</v>
      </c>
      <c r="S73" t="s">
        <v>23</v>
      </c>
      <c r="T73" t="s">
        <v>194</v>
      </c>
      <c r="U73" t="s">
        <v>1</v>
      </c>
      <c r="V73" t="s">
        <v>21</v>
      </c>
      <c r="W73" t="s">
        <v>187</v>
      </c>
      <c r="X73" t="s">
        <v>1</v>
      </c>
      <c r="Y73">
        <f t="shared" si="1"/>
        <v>762</v>
      </c>
    </row>
    <row r="74" spans="1:25" ht="147.75" customHeight="1" x14ac:dyDescent="0.25">
      <c r="A74" t="s">
        <v>183</v>
      </c>
      <c r="B74" t="s">
        <v>184</v>
      </c>
      <c r="C74" s="2" t="s">
        <v>1138</v>
      </c>
      <c r="D74" s="2" t="s">
        <v>1137</v>
      </c>
      <c r="E74" s="2" t="s">
        <v>274</v>
      </c>
      <c r="F74" s="2" t="s">
        <v>272</v>
      </c>
      <c r="G74" t="s">
        <v>23</v>
      </c>
      <c r="H74" s="2" t="s">
        <v>194</v>
      </c>
      <c r="I74" s="2" t="s">
        <v>1</v>
      </c>
      <c r="J74" t="s">
        <v>21</v>
      </c>
      <c r="K74" s="2" t="s">
        <v>187</v>
      </c>
      <c r="L74" s="2" t="s">
        <v>1</v>
      </c>
      <c r="M74" t="s">
        <v>21</v>
      </c>
      <c r="N74" t="s">
        <v>187</v>
      </c>
      <c r="O74" s="2" t="s">
        <v>1</v>
      </c>
      <c r="P74" t="s">
        <v>21</v>
      </c>
      <c r="Q74" s="2" t="s">
        <v>187</v>
      </c>
      <c r="R74" s="2" t="s">
        <v>1</v>
      </c>
      <c r="S74" t="s">
        <v>21</v>
      </c>
      <c r="T74" t="s">
        <v>187</v>
      </c>
      <c r="U74" t="s">
        <v>1</v>
      </c>
      <c r="V74" t="s">
        <v>18</v>
      </c>
      <c r="W74" t="s">
        <v>194</v>
      </c>
      <c r="X74" t="s">
        <v>1</v>
      </c>
      <c r="Y74">
        <f t="shared" si="1"/>
        <v>751</v>
      </c>
    </row>
    <row r="75" spans="1:25" ht="147.75" customHeight="1" x14ac:dyDescent="0.25">
      <c r="A75" t="s">
        <v>183</v>
      </c>
      <c r="B75" t="s">
        <v>184</v>
      </c>
      <c r="C75" s="2" t="s">
        <v>1138</v>
      </c>
      <c r="D75" s="2" t="s">
        <v>1137</v>
      </c>
      <c r="E75" s="2" t="s">
        <v>275</v>
      </c>
      <c r="F75" s="2" t="s">
        <v>272</v>
      </c>
      <c r="G75" t="s">
        <v>21</v>
      </c>
      <c r="H75" s="2" t="s">
        <v>187</v>
      </c>
      <c r="I75" s="2" t="s">
        <v>1</v>
      </c>
      <c r="J75" t="s">
        <v>21</v>
      </c>
      <c r="K75" s="2" t="s">
        <v>187</v>
      </c>
      <c r="L75" s="2" t="s">
        <v>1</v>
      </c>
      <c r="M75" t="s">
        <v>18</v>
      </c>
      <c r="N75" t="s">
        <v>194</v>
      </c>
      <c r="O75" s="2" t="s">
        <v>1</v>
      </c>
      <c r="P75" t="s">
        <v>21</v>
      </c>
      <c r="Q75" s="2" t="s">
        <v>187</v>
      </c>
      <c r="R75" s="2" t="s">
        <v>1</v>
      </c>
      <c r="S75" t="s">
        <v>21</v>
      </c>
      <c r="T75" t="s">
        <v>187</v>
      </c>
      <c r="U75" t="s">
        <v>1</v>
      </c>
      <c r="V75" t="s">
        <v>21</v>
      </c>
      <c r="W75" t="s">
        <v>187</v>
      </c>
      <c r="X75" t="s">
        <v>1</v>
      </c>
      <c r="Y75">
        <f t="shared" si="1"/>
        <v>751</v>
      </c>
    </row>
    <row r="76" spans="1:25" ht="147.75" customHeight="1" x14ac:dyDescent="0.25">
      <c r="A76" t="s">
        <v>183</v>
      </c>
      <c r="B76" t="s">
        <v>184</v>
      </c>
      <c r="C76" s="2" t="s">
        <v>1138</v>
      </c>
      <c r="D76" s="2" t="s">
        <v>1137</v>
      </c>
      <c r="E76" s="2" t="s">
        <v>276</v>
      </c>
      <c r="F76" s="2" t="s">
        <v>272</v>
      </c>
      <c r="G76" t="s">
        <v>21</v>
      </c>
      <c r="H76" s="2" t="s">
        <v>187</v>
      </c>
      <c r="I76" s="2" t="s">
        <v>1</v>
      </c>
      <c r="J76" t="s">
        <v>21</v>
      </c>
      <c r="K76" s="2" t="s">
        <v>187</v>
      </c>
      <c r="L76" s="2" t="s">
        <v>1</v>
      </c>
      <c r="M76" t="s">
        <v>21</v>
      </c>
      <c r="N76" t="s">
        <v>187</v>
      </c>
      <c r="O76" s="2" t="s">
        <v>1</v>
      </c>
      <c r="P76" t="s">
        <v>21</v>
      </c>
      <c r="Q76" s="2" t="s">
        <v>187</v>
      </c>
      <c r="R76" s="2" t="s">
        <v>1</v>
      </c>
      <c r="S76" t="s">
        <v>21</v>
      </c>
      <c r="T76" t="s">
        <v>187</v>
      </c>
      <c r="U76" t="s">
        <v>1</v>
      </c>
      <c r="V76" t="s">
        <v>21</v>
      </c>
      <c r="W76" t="s">
        <v>187</v>
      </c>
      <c r="X76" t="s">
        <v>1</v>
      </c>
      <c r="Y76">
        <f t="shared" si="1"/>
        <v>753</v>
      </c>
    </row>
    <row r="77" spans="1:25" ht="147.75" customHeight="1" x14ac:dyDescent="0.25">
      <c r="A77" t="s">
        <v>183</v>
      </c>
      <c r="B77" t="s">
        <v>184</v>
      </c>
      <c r="C77" s="2" t="s">
        <v>1138</v>
      </c>
      <c r="D77" s="2" t="s">
        <v>1137</v>
      </c>
      <c r="E77" s="2" t="s">
        <v>277</v>
      </c>
      <c r="F77" s="2" t="s">
        <v>278</v>
      </c>
      <c r="G77" t="s">
        <v>18</v>
      </c>
      <c r="H77" s="2" t="s">
        <v>194</v>
      </c>
      <c r="I77" s="2" t="s">
        <v>1</v>
      </c>
      <c r="J77" t="s">
        <v>18</v>
      </c>
      <c r="K77" s="2" t="s">
        <v>194</v>
      </c>
      <c r="L77" s="2" t="s">
        <v>1</v>
      </c>
      <c r="M77" t="s">
        <v>18</v>
      </c>
      <c r="N77" t="s">
        <v>194</v>
      </c>
      <c r="O77" s="2" t="s">
        <v>1</v>
      </c>
      <c r="P77" t="s">
        <v>18</v>
      </c>
      <c r="Q77" s="2" t="s">
        <v>194</v>
      </c>
      <c r="R77" s="2" t="s">
        <v>1</v>
      </c>
      <c r="S77" t="s">
        <v>18</v>
      </c>
      <c r="T77" t="s">
        <v>194</v>
      </c>
      <c r="U77" t="s">
        <v>1</v>
      </c>
      <c r="V77" t="s">
        <v>18</v>
      </c>
      <c r="W77" t="s">
        <v>194</v>
      </c>
      <c r="X77" t="s">
        <v>1</v>
      </c>
      <c r="Y77">
        <f t="shared" si="1"/>
        <v>773</v>
      </c>
    </row>
    <row r="78" spans="1:25" ht="147.75" customHeight="1" x14ac:dyDescent="0.25">
      <c r="A78" t="s">
        <v>183</v>
      </c>
      <c r="B78" t="s">
        <v>184</v>
      </c>
      <c r="C78" s="2" t="s">
        <v>1138</v>
      </c>
      <c r="D78" s="2" t="s">
        <v>1137</v>
      </c>
      <c r="E78" s="2" t="s">
        <v>279</v>
      </c>
      <c r="F78" s="2" t="s">
        <v>278</v>
      </c>
      <c r="G78" t="s">
        <v>23</v>
      </c>
      <c r="H78" s="2" t="s">
        <v>187</v>
      </c>
      <c r="I78" s="2" t="s">
        <v>1</v>
      </c>
      <c r="J78" t="s">
        <v>21</v>
      </c>
      <c r="K78" s="2" t="s">
        <v>194</v>
      </c>
      <c r="L78" s="2" t="s">
        <v>1</v>
      </c>
      <c r="M78" t="s">
        <v>23</v>
      </c>
      <c r="N78" t="s">
        <v>187</v>
      </c>
      <c r="O78" s="2" t="s">
        <v>1</v>
      </c>
      <c r="P78" t="s">
        <v>18</v>
      </c>
      <c r="Q78" s="2" t="s">
        <v>194</v>
      </c>
      <c r="R78" s="2" t="s">
        <v>1</v>
      </c>
      <c r="S78" t="s">
        <v>23</v>
      </c>
      <c r="T78" t="s">
        <v>187</v>
      </c>
      <c r="U78" t="s">
        <v>1</v>
      </c>
      <c r="V78" t="s">
        <v>18</v>
      </c>
      <c r="W78" t="s">
        <v>194</v>
      </c>
      <c r="X78" t="s">
        <v>1</v>
      </c>
      <c r="Y78">
        <f t="shared" si="1"/>
        <v>765</v>
      </c>
    </row>
    <row r="79" spans="1:25" ht="147.75" customHeight="1" x14ac:dyDescent="0.25">
      <c r="A79" t="s">
        <v>183</v>
      </c>
      <c r="B79" t="s">
        <v>184</v>
      </c>
      <c r="C79" s="2" t="s">
        <v>1138</v>
      </c>
      <c r="D79" s="2" t="s">
        <v>1137</v>
      </c>
      <c r="E79" s="2" t="s">
        <v>280</v>
      </c>
      <c r="F79" s="2" t="s">
        <v>278</v>
      </c>
      <c r="G79" t="s">
        <v>23</v>
      </c>
      <c r="H79" s="2" t="s">
        <v>187</v>
      </c>
      <c r="I79" s="2" t="s">
        <v>1</v>
      </c>
      <c r="J79" t="s">
        <v>18</v>
      </c>
      <c r="K79" s="2" t="s">
        <v>194</v>
      </c>
      <c r="L79" s="2" t="s">
        <v>1</v>
      </c>
      <c r="M79" t="s">
        <v>23</v>
      </c>
      <c r="N79" t="s">
        <v>187</v>
      </c>
      <c r="O79" s="2" t="s">
        <v>1</v>
      </c>
      <c r="P79" t="s">
        <v>21</v>
      </c>
      <c r="Q79" s="2" t="s">
        <v>194</v>
      </c>
      <c r="R79" s="2" t="s">
        <v>1</v>
      </c>
      <c r="S79" t="s">
        <v>23</v>
      </c>
      <c r="T79" t="s">
        <v>187</v>
      </c>
      <c r="U79" t="s">
        <v>1</v>
      </c>
      <c r="V79" t="s">
        <v>18</v>
      </c>
      <c r="W79" t="s">
        <v>194</v>
      </c>
      <c r="X79" t="s">
        <v>1</v>
      </c>
      <c r="Y79">
        <f t="shared" si="1"/>
        <v>766</v>
      </c>
    </row>
    <row r="80" spans="1:25" ht="147.75" customHeight="1" x14ac:dyDescent="0.25">
      <c r="A80" t="s">
        <v>183</v>
      </c>
      <c r="B80" t="s">
        <v>184</v>
      </c>
      <c r="C80" s="2" t="s">
        <v>1138</v>
      </c>
      <c r="D80" s="2" t="s">
        <v>1137</v>
      </c>
      <c r="E80" s="2" t="s">
        <v>281</v>
      </c>
      <c r="F80" s="2" t="s">
        <v>278</v>
      </c>
      <c r="G80" t="s">
        <v>18</v>
      </c>
      <c r="H80" s="2" t="s">
        <v>194</v>
      </c>
      <c r="I80" s="2" t="s">
        <v>1</v>
      </c>
      <c r="J80" t="s">
        <v>21</v>
      </c>
      <c r="K80" s="2" t="s">
        <v>194</v>
      </c>
      <c r="L80" s="2" t="s">
        <v>1</v>
      </c>
      <c r="M80" t="s">
        <v>23</v>
      </c>
      <c r="N80" t="s">
        <v>187</v>
      </c>
      <c r="O80" s="2" t="s">
        <v>1</v>
      </c>
      <c r="P80" t="s">
        <v>18</v>
      </c>
      <c r="Q80" s="2" t="s">
        <v>194</v>
      </c>
      <c r="R80" s="2" t="s">
        <v>1</v>
      </c>
      <c r="S80" t="s">
        <v>18</v>
      </c>
      <c r="T80" t="s">
        <v>194</v>
      </c>
      <c r="U80" t="s">
        <v>1</v>
      </c>
      <c r="V80" t="s">
        <v>18</v>
      </c>
      <c r="W80" t="s">
        <v>194</v>
      </c>
      <c r="X80" t="s">
        <v>1</v>
      </c>
      <c r="Y80">
        <f t="shared" si="1"/>
        <v>771</v>
      </c>
    </row>
    <row r="81" spans="1:25" ht="147.75" customHeight="1" x14ac:dyDescent="0.25">
      <c r="A81" t="s">
        <v>183</v>
      </c>
      <c r="B81" t="s">
        <v>184</v>
      </c>
      <c r="C81" s="2" t="s">
        <v>1138</v>
      </c>
      <c r="D81" s="2" t="s">
        <v>1137</v>
      </c>
      <c r="E81" s="2" t="s">
        <v>282</v>
      </c>
      <c r="F81" s="2" t="s">
        <v>278</v>
      </c>
      <c r="G81" t="s">
        <v>18</v>
      </c>
      <c r="H81" s="2" t="s">
        <v>194</v>
      </c>
      <c r="I81" s="2" t="s">
        <v>1</v>
      </c>
      <c r="J81" t="s">
        <v>18</v>
      </c>
      <c r="K81" s="2" t="s">
        <v>194</v>
      </c>
      <c r="L81" s="2" t="s">
        <v>1</v>
      </c>
      <c r="M81" t="s">
        <v>23</v>
      </c>
      <c r="N81" t="s">
        <v>187</v>
      </c>
      <c r="O81" s="2" t="s">
        <v>1</v>
      </c>
      <c r="P81" t="s">
        <v>18</v>
      </c>
      <c r="Q81" s="2" t="s">
        <v>194</v>
      </c>
      <c r="R81" s="2" t="s">
        <v>1</v>
      </c>
      <c r="S81" t="s">
        <v>18</v>
      </c>
      <c r="T81" t="s">
        <v>194</v>
      </c>
      <c r="U81" t="s">
        <v>1</v>
      </c>
      <c r="V81" t="s">
        <v>21</v>
      </c>
      <c r="W81" t="s">
        <v>194</v>
      </c>
      <c r="X81" t="s">
        <v>1</v>
      </c>
      <c r="Y81">
        <f t="shared" si="1"/>
        <v>765</v>
      </c>
    </row>
    <row r="82" spans="1:25" ht="147.75" customHeight="1" x14ac:dyDescent="0.25">
      <c r="A82" t="s">
        <v>183</v>
      </c>
      <c r="B82" t="s">
        <v>184</v>
      </c>
      <c r="C82" s="2" t="s">
        <v>1138</v>
      </c>
      <c r="D82" s="2" t="s">
        <v>1137</v>
      </c>
      <c r="E82" s="2" t="s">
        <v>283</v>
      </c>
      <c r="F82" s="2" t="s">
        <v>284</v>
      </c>
      <c r="G82" t="s">
        <v>18</v>
      </c>
      <c r="H82" s="2" t="s">
        <v>194</v>
      </c>
      <c r="I82" s="2" t="s">
        <v>1</v>
      </c>
      <c r="J82" t="s">
        <v>18</v>
      </c>
      <c r="K82" s="2" t="s">
        <v>194</v>
      </c>
      <c r="L82" s="2" t="s">
        <v>1</v>
      </c>
      <c r="M82" t="s">
        <v>21</v>
      </c>
      <c r="N82" t="s">
        <v>187</v>
      </c>
      <c r="O82" s="2" t="s">
        <v>1</v>
      </c>
      <c r="P82" t="s">
        <v>18</v>
      </c>
      <c r="Q82" s="2" t="s">
        <v>194</v>
      </c>
      <c r="R82" s="2" t="s">
        <v>1</v>
      </c>
      <c r="S82" t="s">
        <v>18</v>
      </c>
      <c r="T82" t="s">
        <v>194</v>
      </c>
      <c r="U82" t="s">
        <v>1</v>
      </c>
      <c r="V82" t="s">
        <v>18</v>
      </c>
      <c r="W82" t="s">
        <v>194</v>
      </c>
      <c r="X82" t="s">
        <v>1</v>
      </c>
      <c r="Y82">
        <f t="shared" si="1"/>
        <v>769</v>
      </c>
    </row>
    <row r="83" spans="1:25" ht="147.75" customHeight="1" x14ac:dyDescent="0.25">
      <c r="A83" t="s">
        <v>183</v>
      </c>
      <c r="B83" t="s">
        <v>184</v>
      </c>
      <c r="C83" s="2" t="s">
        <v>1138</v>
      </c>
      <c r="D83" s="2" t="s">
        <v>1137</v>
      </c>
      <c r="E83" s="2" t="s">
        <v>285</v>
      </c>
      <c r="F83" s="2" t="s">
        <v>284</v>
      </c>
      <c r="G83" t="s">
        <v>18</v>
      </c>
      <c r="H83" s="2" t="s">
        <v>194</v>
      </c>
      <c r="I83" s="2" t="s">
        <v>1</v>
      </c>
      <c r="J83" t="s">
        <v>21</v>
      </c>
      <c r="K83" s="2" t="s">
        <v>187</v>
      </c>
      <c r="L83" s="2" t="s">
        <v>1</v>
      </c>
      <c r="M83" t="s">
        <v>21</v>
      </c>
      <c r="N83" t="s">
        <v>187</v>
      </c>
      <c r="O83" s="2" t="s">
        <v>1</v>
      </c>
      <c r="P83" t="s">
        <v>21</v>
      </c>
      <c r="Q83" s="2" t="s">
        <v>187</v>
      </c>
      <c r="R83" s="2" t="s">
        <v>1</v>
      </c>
      <c r="S83" t="s">
        <v>18</v>
      </c>
      <c r="T83" t="s">
        <v>194</v>
      </c>
      <c r="U83" t="s">
        <v>1</v>
      </c>
      <c r="V83" t="s">
        <v>18</v>
      </c>
      <c r="W83" t="s">
        <v>194</v>
      </c>
      <c r="X83" t="s">
        <v>1</v>
      </c>
      <c r="Y83">
        <f t="shared" si="1"/>
        <v>769</v>
      </c>
    </row>
    <row r="84" spans="1:25" ht="147.75" customHeight="1" x14ac:dyDescent="0.25">
      <c r="A84" t="s">
        <v>183</v>
      </c>
      <c r="B84" t="s">
        <v>184</v>
      </c>
      <c r="C84" s="2" t="s">
        <v>1138</v>
      </c>
      <c r="D84" s="2" t="s">
        <v>1137</v>
      </c>
      <c r="E84" s="2" t="s">
        <v>286</v>
      </c>
      <c r="F84" s="2" t="s">
        <v>284</v>
      </c>
      <c r="G84" t="s">
        <v>18</v>
      </c>
      <c r="H84" s="2" t="s">
        <v>194</v>
      </c>
      <c r="I84" s="2" t="s">
        <v>1</v>
      </c>
      <c r="J84" t="s">
        <v>21</v>
      </c>
      <c r="K84" s="2" t="s">
        <v>187</v>
      </c>
      <c r="L84" s="2" t="s">
        <v>1</v>
      </c>
      <c r="M84" t="s">
        <v>21</v>
      </c>
      <c r="N84" t="s">
        <v>187</v>
      </c>
      <c r="O84" s="2" t="s">
        <v>1</v>
      </c>
      <c r="P84" t="s">
        <v>21</v>
      </c>
      <c r="Q84" s="2" t="s">
        <v>187</v>
      </c>
      <c r="R84" s="2" t="s">
        <v>1</v>
      </c>
      <c r="S84" t="s">
        <v>18</v>
      </c>
      <c r="T84" t="s">
        <v>194</v>
      </c>
      <c r="U84" t="s">
        <v>1</v>
      </c>
      <c r="V84" t="s">
        <v>18</v>
      </c>
      <c r="W84" t="s">
        <v>194</v>
      </c>
      <c r="X84" t="s">
        <v>1</v>
      </c>
      <c r="Y84">
        <f t="shared" si="1"/>
        <v>753</v>
      </c>
    </row>
    <row r="85" spans="1:25" ht="147.75" customHeight="1" x14ac:dyDescent="0.25">
      <c r="A85" t="s">
        <v>183</v>
      </c>
      <c r="B85" t="s">
        <v>184</v>
      </c>
      <c r="C85" s="2" t="s">
        <v>1138</v>
      </c>
      <c r="D85" s="2" t="s">
        <v>1137</v>
      </c>
      <c r="E85" s="2" t="s">
        <v>287</v>
      </c>
      <c r="F85" s="2" t="s">
        <v>284</v>
      </c>
      <c r="G85" t="s">
        <v>18</v>
      </c>
      <c r="H85" s="2" t="s">
        <v>194</v>
      </c>
      <c r="I85" s="2" t="s">
        <v>1</v>
      </c>
      <c r="J85" t="s">
        <v>21</v>
      </c>
      <c r="K85" s="2" t="s">
        <v>187</v>
      </c>
      <c r="L85" s="2" t="s">
        <v>1</v>
      </c>
      <c r="M85" t="s">
        <v>21</v>
      </c>
      <c r="N85" t="s">
        <v>187</v>
      </c>
      <c r="O85" s="2" t="s">
        <v>1</v>
      </c>
      <c r="P85" t="s">
        <v>21</v>
      </c>
      <c r="Q85" s="2" t="s">
        <v>187</v>
      </c>
      <c r="R85" s="2" t="s">
        <v>1</v>
      </c>
      <c r="S85" t="s">
        <v>23</v>
      </c>
      <c r="T85" t="s">
        <v>194</v>
      </c>
      <c r="U85" t="s">
        <v>1</v>
      </c>
      <c r="V85" t="s">
        <v>18</v>
      </c>
      <c r="W85" t="s">
        <v>194</v>
      </c>
      <c r="X85" t="s">
        <v>1</v>
      </c>
      <c r="Y85">
        <f t="shared" si="1"/>
        <v>760</v>
      </c>
    </row>
    <row r="86" spans="1:25" ht="147.75" customHeight="1" x14ac:dyDescent="0.25">
      <c r="A86" t="s">
        <v>183</v>
      </c>
      <c r="B86" t="s">
        <v>184</v>
      </c>
      <c r="C86" s="2" t="s">
        <v>1138</v>
      </c>
      <c r="D86" s="2" t="s">
        <v>1137</v>
      </c>
      <c r="E86" s="2" t="s">
        <v>288</v>
      </c>
      <c r="F86" s="2" t="s">
        <v>284</v>
      </c>
      <c r="G86" t="s">
        <v>18</v>
      </c>
      <c r="H86" s="2" t="s">
        <v>194</v>
      </c>
      <c r="I86" s="2" t="s">
        <v>1</v>
      </c>
      <c r="J86" t="s">
        <v>21</v>
      </c>
      <c r="K86" s="2" t="s">
        <v>187</v>
      </c>
      <c r="L86" s="2" t="s">
        <v>1</v>
      </c>
      <c r="M86" t="s">
        <v>21</v>
      </c>
      <c r="N86" t="s">
        <v>187</v>
      </c>
      <c r="O86" s="2" t="s">
        <v>1</v>
      </c>
      <c r="P86" t="s">
        <v>18</v>
      </c>
      <c r="Q86" s="2" t="s">
        <v>194</v>
      </c>
      <c r="R86" s="2" t="s">
        <v>1</v>
      </c>
      <c r="S86" t="s">
        <v>18</v>
      </c>
      <c r="T86" t="s">
        <v>194</v>
      </c>
      <c r="U86" t="s">
        <v>1</v>
      </c>
      <c r="V86" t="s">
        <v>18</v>
      </c>
      <c r="W86" t="s">
        <v>194</v>
      </c>
      <c r="X86" t="s">
        <v>1</v>
      </c>
      <c r="Y86">
        <f t="shared" si="1"/>
        <v>760</v>
      </c>
    </row>
    <row r="87" spans="1:25" ht="147.75" customHeight="1" x14ac:dyDescent="0.25">
      <c r="A87" t="s">
        <v>183</v>
      </c>
      <c r="B87" t="s">
        <v>184</v>
      </c>
      <c r="C87" s="2" t="s">
        <v>1138</v>
      </c>
      <c r="D87" s="2" t="s">
        <v>1137</v>
      </c>
      <c r="E87" s="2" t="s">
        <v>289</v>
      </c>
      <c r="F87" s="2" t="s">
        <v>290</v>
      </c>
      <c r="G87" t="s">
        <v>23</v>
      </c>
      <c r="H87" s="2" t="s">
        <v>194</v>
      </c>
      <c r="I87" s="2" t="s">
        <v>1</v>
      </c>
      <c r="J87" t="s">
        <v>18</v>
      </c>
      <c r="K87" s="2" t="s">
        <v>187</v>
      </c>
      <c r="L87" s="2" t="s">
        <v>1</v>
      </c>
      <c r="M87" t="s">
        <v>18</v>
      </c>
      <c r="N87" t="s">
        <v>187</v>
      </c>
      <c r="O87" s="2" t="s">
        <v>1</v>
      </c>
      <c r="P87" t="s">
        <v>18</v>
      </c>
      <c r="Q87" s="2" t="s">
        <v>187</v>
      </c>
      <c r="R87" s="2" t="s">
        <v>1</v>
      </c>
      <c r="S87" t="s">
        <v>21</v>
      </c>
      <c r="T87" t="s">
        <v>194</v>
      </c>
      <c r="U87" t="s">
        <v>1</v>
      </c>
      <c r="V87" t="s">
        <v>18</v>
      </c>
      <c r="W87" t="s">
        <v>187</v>
      </c>
      <c r="X87" t="s">
        <v>1</v>
      </c>
      <c r="Y87">
        <f t="shared" si="1"/>
        <v>758</v>
      </c>
    </row>
    <row r="88" spans="1:25" ht="147.75" customHeight="1" x14ac:dyDescent="0.25">
      <c r="A88" t="s">
        <v>183</v>
      </c>
      <c r="B88" t="s">
        <v>184</v>
      </c>
      <c r="C88" s="2" t="s">
        <v>1138</v>
      </c>
      <c r="D88" s="2" t="s">
        <v>1137</v>
      </c>
      <c r="E88" s="2" t="s">
        <v>291</v>
      </c>
      <c r="F88" s="2" t="s">
        <v>290</v>
      </c>
      <c r="G88" t="s">
        <v>18</v>
      </c>
      <c r="H88" s="2" t="s">
        <v>187</v>
      </c>
      <c r="I88" s="2" t="s">
        <v>1</v>
      </c>
      <c r="J88" s="2" t="s">
        <v>1150</v>
      </c>
      <c r="K88" s="2" t="s">
        <v>187</v>
      </c>
      <c r="L88" s="2" t="s">
        <v>2</v>
      </c>
      <c r="M88" t="s">
        <v>18</v>
      </c>
      <c r="N88" t="s">
        <v>187</v>
      </c>
      <c r="O88" s="2" t="s">
        <v>1</v>
      </c>
      <c r="P88" t="s">
        <v>18</v>
      </c>
      <c r="Q88" s="2" t="s">
        <v>187</v>
      </c>
      <c r="R88" s="2" t="s">
        <v>1</v>
      </c>
      <c r="S88" t="s">
        <v>18</v>
      </c>
      <c r="T88" t="s">
        <v>187</v>
      </c>
      <c r="U88" t="s">
        <v>1</v>
      </c>
      <c r="V88" t="s">
        <v>18</v>
      </c>
      <c r="W88" t="s">
        <v>187</v>
      </c>
      <c r="X88" t="s">
        <v>1</v>
      </c>
      <c r="Y88">
        <f t="shared" si="1"/>
        <v>751</v>
      </c>
    </row>
    <row r="89" spans="1:25" ht="147.75" customHeight="1" x14ac:dyDescent="0.25">
      <c r="A89" t="s">
        <v>183</v>
      </c>
      <c r="B89" t="s">
        <v>184</v>
      </c>
      <c r="C89" s="2" t="s">
        <v>1138</v>
      </c>
      <c r="D89" s="2" t="s">
        <v>1137</v>
      </c>
      <c r="E89" s="2" t="s">
        <v>292</v>
      </c>
      <c r="F89" s="2" t="s">
        <v>290</v>
      </c>
      <c r="G89" t="s">
        <v>18</v>
      </c>
      <c r="H89" s="2" t="s">
        <v>187</v>
      </c>
      <c r="I89" s="2" t="s">
        <v>1</v>
      </c>
      <c r="J89" t="s">
        <v>21</v>
      </c>
      <c r="K89" s="2" t="s">
        <v>194</v>
      </c>
      <c r="L89" s="2" t="s">
        <v>1</v>
      </c>
      <c r="M89" t="s">
        <v>18</v>
      </c>
      <c r="N89" t="s">
        <v>187</v>
      </c>
      <c r="O89" s="2" t="s">
        <v>1</v>
      </c>
      <c r="P89" t="s">
        <v>18</v>
      </c>
      <c r="Q89" s="2" t="s">
        <v>187</v>
      </c>
      <c r="R89" s="2" t="s">
        <v>1</v>
      </c>
      <c r="S89" t="s">
        <v>18</v>
      </c>
      <c r="T89" t="s">
        <v>187</v>
      </c>
      <c r="U89" t="s">
        <v>1</v>
      </c>
      <c r="V89" t="s">
        <v>18</v>
      </c>
      <c r="W89" t="s">
        <v>187</v>
      </c>
      <c r="X89" t="s">
        <v>1</v>
      </c>
      <c r="Y89">
        <f t="shared" si="1"/>
        <v>749</v>
      </c>
    </row>
    <row r="90" spans="1:25" ht="147.75" customHeight="1" x14ac:dyDescent="0.25">
      <c r="A90" t="s">
        <v>183</v>
      </c>
      <c r="B90" t="s">
        <v>184</v>
      </c>
      <c r="C90" s="2" t="s">
        <v>1138</v>
      </c>
      <c r="D90" s="2" t="s">
        <v>1137</v>
      </c>
      <c r="E90" s="2" t="s">
        <v>293</v>
      </c>
      <c r="F90" s="2" t="s">
        <v>290</v>
      </c>
      <c r="G90" t="s">
        <v>18</v>
      </c>
      <c r="H90" s="2" t="s">
        <v>187</v>
      </c>
      <c r="I90" s="2" t="s">
        <v>1</v>
      </c>
      <c r="J90" t="s">
        <v>18</v>
      </c>
      <c r="K90" s="2" t="s">
        <v>187</v>
      </c>
      <c r="L90" s="2" t="s">
        <v>1</v>
      </c>
      <c r="M90" t="s">
        <v>18</v>
      </c>
      <c r="N90" t="s">
        <v>187</v>
      </c>
      <c r="O90" s="2" t="s">
        <v>1</v>
      </c>
      <c r="P90" t="s">
        <v>18</v>
      </c>
      <c r="Q90" s="2" t="s">
        <v>187</v>
      </c>
      <c r="R90" s="2" t="s">
        <v>1</v>
      </c>
      <c r="S90" t="s">
        <v>18</v>
      </c>
      <c r="T90" t="s">
        <v>187</v>
      </c>
      <c r="U90" t="s">
        <v>1</v>
      </c>
      <c r="V90" t="s">
        <v>18</v>
      </c>
      <c r="W90" t="s">
        <v>187</v>
      </c>
      <c r="X90" t="s">
        <v>1</v>
      </c>
      <c r="Y90">
        <f t="shared" si="1"/>
        <v>756</v>
      </c>
    </row>
    <row r="91" spans="1:25" ht="147.75" customHeight="1" x14ac:dyDescent="0.25">
      <c r="A91" t="s">
        <v>183</v>
      </c>
      <c r="B91" t="s">
        <v>184</v>
      </c>
      <c r="C91" s="2" t="s">
        <v>1138</v>
      </c>
      <c r="D91" s="2" t="s">
        <v>1137</v>
      </c>
      <c r="E91" s="2" t="s">
        <v>294</v>
      </c>
      <c r="F91" s="2" t="s">
        <v>290</v>
      </c>
      <c r="G91" t="s">
        <v>23</v>
      </c>
      <c r="H91" s="2" t="s">
        <v>194</v>
      </c>
      <c r="I91" s="2" t="s">
        <v>1</v>
      </c>
      <c r="J91" t="s">
        <v>21</v>
      </c>
      <c r="K91" s="2" t="s">
        <v>194</v>
      </c>
      <c r="L91" s="2" t="s">
        <v>1</v>
      </c>
      <c r="M91" t="s">
        <v>18</v>
      </c>
      <c r="N91" t="s">
        <v>187</v>
      </c>
      <c r="O91" s="2" t="s">
        <v>1</v>
      </c>
      <c r="P91" t="s">
        <v>21</v>
      </c>
      <c r="Q91" s="2" t="s">
        <v>194</v>
      </c>
      <c r="R91" s="2" t="s">
        <v>1</v>
      </c>
      <c r="S91" t="s">
        <v>23</v>
      </c>
      <c r="T91" t="s">
        <v>194</v>
      </c>
      <c r="U91" t="s">
        <v>1</v>
      </c>
      <c r="V91" t="s">
        <v>23</v>
      </c>
      <c r="W91" t="s">
        <v>194</v>
      </c>
      <c r="X91" t="s">
        <v>1</v>
      </c>
      <c r="Y91">
        <f t="shared" si="1"/>
        <v>762</v>
      </c>
    </row>
    <row r="92" spans="1:25" ht="147.75" customHeight="1" x14ac:dyDescent="0.25">
      <c r="A92" t="s">
        <v>183</v>
      </c>
      <c r="B92" t="s">
        <v>184</v>
      </c>
      <c r="C92" s="2" t="s">
        <v>1138</v>
      </c>
      <c r="D92" s="2" t="s">
        <v>1137</v>
      </c>
      <c r="E92" s="2" t="s">
        <v>295</v>
      </c>
      <c r="F92" s="2" t="s">
        <v>296</v>
      </c>
      <c r="G92" t="s">
        <v>23</v>
      </c>
      <c r="H92" s="2" t="s">
        <v>187</v>
      </c>
      <c r="I92" s="2" t="s">
        <v>1</v>
      </c>
      <c r="J92" t="s">
        <v>23</v>
      </c>
      <c r="K92" s="2" t="s">
        <v>187</v>
      </c>
      <c r="L92" s="2" t="s">
        <v>1</v>
      </c>
      <c r="M92" t="s">
        <v>23</v>
      </c>
      <c r="N92" t="s">
        <v>187</v>
      </c>
      <c r="O92" s="2" t="s">
        <v>1</v>
      </c>
      <c r="P92" t="s">
        <v>23</v>
      </c>
      <c r="Q92" s="2" t="s">
        <v>187</v>
      </c>
      <c r="R92" s="2" t="s">
        <v>1</v>
      </c>
      <c r="S92" t="s">
        <v>23</v>
      </c>
      <c r="T92" t="s">
        <v>187</v>
      </c>
      <c r="U92" t="s">
        <v>1</v>
      </c>
      <c r="V92" t="s">
        <v>18</v>
      </c>
      <c r="W92" t="s">
        <v>194</v>
      </c>
      <c r="X92" t="s">
        <v>1</v>
      </c>
      <c r="Y92">
        <f t="shared" si="1"/>
        <v>770</v>
      </c>
    </row>
    <row r="93" spans="1:25" ht="147.75" customHeight="1" x14ac:dyDescent="0.25">
      <c r="A93" t="s">
        <v>183</v>
      </c>
      <c r="B93" t="s">
        <v>184</v>
      </c>
      <c r="C93" s="2" t="s">
        <v>1138</v>
      </c>
      <c r="D93" s="2" t="s">
        <v>1137</v>
      </c>
      <c r="E93" s="2" t="s">
        <v>297</v>
      </c>
      <c r="F93" s="2" t="s">
        <v>296</v>
      </c>
      <c r="G93" t="s">
        <v>23</v>
      </c>
      <c r="H93" s="2" t="s">
        <v>187</v>
      </c>
      <c r="I93" s="2" t="s">
        <v>1</v>
      </c>
      <c r="J93" s="2" t="s">
        <v>1151</v>
      </c>
      <c r="K93" s="2" t="s">
        <v>187</v>
      </c>
      <c r="L93" s="2" t="s">
        <v>2</v>
      </c>
      <c r="M93" t="s">
        <v>23</v>
      </c>
      <c r="N93" t="s">
        <v>187</v>
      </c>
      <c r="O93" s="2" t="s">
        <v>1</v>
      </c>
      <c r="P93" t="s">
        <v>18</v>
      </c>
      <c r="Q93" s="2" t="s">
        <v>194</v>
      </c>
      <c r="R93" s="2" t="s">
        <v>1</v>
      </c>
      <c r="S93" t="s">
        <v>23</v>
      </c>
      <c r="T93" t="s">
        <v>187</v>
      </c>
      <c r="U93" t="s">
        <v>1</v>
      </c>
      <c r="V93" t="s">
        <v>18</v>
      </c>
      <c r="W93" t="s">
        <v>194</v>
      </c>
      <c r="X93" t="s">
        <v>1</v>
      </c>
      <c r="Y93">
        <f t="shared" si="1"/>
        <v>759</v>
      </c>
    </row>
    <row r="94" spans="1:25" ht="147.75" customHeight="1" x14ac:dyDescent="0.25">
      <c r="A94" t="s">
        <v>183</v>
      </c>
      <c r="B94" t="s">
        <v>184</v>
      </c>
      <c r="C94" s="2" t="s">
        <v>1138</v>
      </c>
      <c r="D94" s="2" t="s">
        <v>1137</v>
      </c>
      <c r="E94" s="2" t="s">
        <v>298</v>
      </c>
      <c r="F94" s="2" t="s">
        <v>296</v>
      </c>
      <c r="G94" t="s">
        <v>23</v>
      </c>
      <c r="H94" s="2" t="s">
        <v>187</v>
      </c>
      <c r="I94" s="2" t="s">
        <v>1</v>
      </c>
      <c r="J94" s="2" t="s">
        <v>1152</v>
      </c>
      <c r="K94" s="2" t="s">
        <v>194</v>
      </c>
      <c r="L94" s="2" t="s">
        <v>2</v>
      </c>
      <c r="M94" t="s">
        <v>23</v>
      </c>
      <c r="N94" t="s">
        <v>187</v>
      </c>
      <c r="O94" s="2" t="s">
        <v>1</v>
      </c>
      <c r="P94" t="s">
        <v>18</v>
      </c>
      <c r="Q94" s="2" t="s">
        <v>194</v>
      </c>
      <c r="R94" s="2" t="s">
        <v>1</v>
      </c>
      <c r="S94" t="s">
        <v>23</v>
      </c>
      <c r="T94" t="s">
        <v>187</v>
      </c>
      <c r="U94" t="s">
        <v>1</v>
      </c>
      <c r="V94" t="s">
        <v>18</v>
      </c>
      <c r="W94" t="s">
        <v>194</v>
      </c>
      <c r="X94" t="s">
        <v>1</v>
      </c>
      <c r="Y94">
        <f t="shared" si="1"/>
        <v>769</v>
      </c>
    </row>
    <row r="95" spans="1:25" ht="147.75" customHeight="1" x14ac:dyDescent="0.25">
      <c r="A95" t="s">
        <v>183</v>
      </c>
      <c r="B95" t="s">
        <v>184</v>
      </c>
      <c r="C95" s="2" t="s">
        <v>1138</v>
      </c>
      <c r="D95" s="2" t="s">
        <v>1137</v>
      </c>
      <c r="E95" s="2" t="s">
        <v>299</v>
      </c>
      <c r="F95" s="2" t="s">
        <v>296</v>
      </c>
      <c r="G95" t="s">
        <v>23</v>
      </c>
      <c r="H95" s="2" t="s">
        <v>187</v>
      </c>
      <c r="I95" s="2" t="s">
        <v>1</v>
      </c>
      <c r="J95" t="s">
        <v>23</v>
      </c>
      <c r="K95" s="2" t="s">
        <v>187</v>
      </c>
      <c r="L95" s="2" t="s">
        <v>1</v>
      </c>
      <c r="M95" t="s">
        <v>23</v>
      </c>
      <c r="N95" t="s">
        <v>187</v>
      </c>
      <c r="O95" s="2" t="s">
        <v>1</v>
      </c>
      <c r="P95" t="s">
        <v>21</v>
      </c>
      <c r="Q95" s="2" t="s">
        <v>194</v>
      </c>
      <c r="R95" s="2" t="s">
        <v>1</v>
      </c>
      <c r="S95" t="s">
        <v>23</v>
      </c>
      <c r="T95" t="s">
        <v>187</v>
      </c>
      <c r="U95" t="s">
        <v>1</v>
      </c>
      <c r="V95" t="s">
        <v>23</v>
      </c>
      <c r="W95" t="s">
        <v>187</v>
      </c>
      <c r="X95" t="s">
        <v>1</v>
      </c>
      <c r="Y95">
        <f t="shared" si="1"/>
        <v>768</v>
      </c>
    </row>
    <row r="96" spans="1:25" ht="147.75" customHeight="1" x14ac:dyDescent="0.25">
      <c r="A96" t="s">
        <v>183</v>
      </c>
      <c r="B96" t="s">
        <v>184</v>
      </c>
      <c r="C96" s="2" t="s">
        <v>1138</v>
      </c>
      <c r="D96" s="2" t="s">
        <v>1137</v>
      </c>
      <c r="E96" s="2" t="s">
        <v>300</v>
      </c>
      <c r="F96" s="2" t="s">
        <v>296</v>
      </c>
      <c r="G96" t="s">
        <v>23</v>
      </c>
      <c r="H96" s="2" t="s">
        <v>187</v>
      </c>
      <c r="I96" s="2" t="s">
        <v>1</v>
      </c>
      <c r="J96" t="s">
        <v>21</v>
      </c>
      <c r="K96" s="2" t="s">
        <v>194</v>
      </c>
      <c r="L96" s="2" t="s">
        <v>1</v>
      </c>
      <c r="M96" t="s">
        <v>23</v>
      </c>
      <c r="N96" t="s">
        <v>187</v>
      </c>
      <c r="O96" s="2" t="s">
        <v>1</v>
      </c>
      <c r="P96" t="s">
        <v>18</v>
      </c>
      <c r="Q96" s="2" t="s">
        <v>194</v>
      </c>
      <c r="R96" s="2" t="s">
        <v>1</v>
      </c>
      <c r="S96" t="s">
        <v>23</v>
      </c>
      <c r="T96" t="s">
        <v>187</v>
      </c>
      <c r="U96" t="s">
        <v>1</v>
      </c>
      <c r="V96" t="s">
        <v>18</v>
      </c>
      <c r="W96" t="s">
        <v>194</v>
      </c>
      <c r="X96" t="s">
        <v>1</v>
      </c>
      <c r="Y96">
        <f t="shared" si="1"/>
        <v>770</v>
      </c>
    </row>
    <row r="97" spans="1:25" ht="147.75" customHeight="1" x14ac:dyDescent="0.25">
      <c r="A97" t="s">
        <v>183</v>
      </c>
      <c r="B97" t="s">
        <v>184</v>
      </c>
      <c r="C97" s="2" t="s">
        <v>1138</v>
      </c>
      <c r="D97" s="2" t="s">
        <v>1137</v>
      </c>
      <c r="E97" s="2" t="s">
        <v>301</v>
      </c>
      <c r="F97" s="2" t="s">
        <v>302</v>
      </c>
      <c r="G97" t="s">
        <v>23</v>
      </c>
      <c r="H97" s="2" t="s">
        <v>194</v>
      </c>
      <c r="I97" s="2" t="s">
        <v>1</v>
      </c>
      <c r="J97" t="s">
        <v>21</v>
      </c>
      <c r="K97" s="2" t="s">
        <v>187</v>
      </c>
      <c r="L97" s="2" t="s">
        <v>1</v>
      </c>
      <c r="M97" t="s">
        <v>21</v>
      </c>
      <c r="N97" t="s">
        <v>187</v>
      </c>
      <c r="O97" s="2" t="s">
        <v>1</v>
      </c>
      <c r="P97" t="s">
        <v>18</v>
      </c>
      <c r="Q97" s="2" t="s">
        <v>194</v>
      </c>
      <c r="R97" s="2" t="s">
        <v>1</v>
      </c>
      <c r="S97" t="s">
        <v>23</v>
      </c>
      <c r="T97" t="s">
        <v>194</v>
      </c>
      <c r="U97" t="s">
        <v>1</v>
      </c>
      <c r="V97" t="s">
        <v>18</v>
      </c>
      <c r="W97" t="s">
        <v>194</v>
      </c>
      <c r="X97" t="s">
        <v>1</v>
      </c>
      <c r="Y97">
        <f t="shared" si="1"/>
        <v>769</v>
      </c>
    </row>
    <row r="98" spans="1:25" ht="147.75" customHeight="1" x14ac:dyDescent="0.25">
      <c r="A98" t="s">
        <v>183</v>
      </c>
      <c r="B98" t="s">
        <v>184</v>
      </c>
      <c r="C98" s="2" t="s">
        <v>1138</v>
      </c>
      <c r="D98" s="2" t="s">
        <v>1137</v>
      </c>
      <c r="E98" s="2" t="s">
        <v>303</v>
      </c>
      <c r="F98" s="2" t="s">
        <v>302</v>
      </c>
      <c r="G98" t="s">
        <v>23</v>
      </c>
      <c r="H98" s="2" t="s">
        <v>194</v>
      </c>
      <c r="I98" s="2" t="s">
        <v>1</v>
      </c>
      <c r="J98" t="s">
        <v>21</v>
      </c>
      <c r="K98" s="2" t="s">
        <v>187</v>
      </c>
      <c r="L98" s="2" t="s">
        <v>1</v>
      </c>
      <c r="M98" t="s">
        <v>21</v>
      </c>
      <c r="N98" t="s">
        <v>187</v>
      </c>
      <c r="O98" s="2" t="s">
        <v>1</v>
      </c>
      <c r="P98" t="s">
        <v>21</v>
      </c>
      <c r="Q98" s="2" t="s">
        <v>187</v>
      </c>
      <c r="R98" s="2" t="s">
        <v>1</v>
      </c>
      <c r="S98" t="s">
        <v>18</v>
      </c>
      <c r="T98" t="s">
        <v>194</v>
      </c>
      <c r="U98" t="s">
        <v>1</v>
      </c>
      <c r="V98" t="s">
        <v>18</v>
      </c>
      <c r="W98" t="s">
        <v>194</v>
      </c>
      <c r="X98" t="s">
        <v>1</v>
      </c>
      <c r="Y98">
        <f t="shared" si="1"/>
        <v>758</v>
      </c>
    </row>
    <row r="99" spans="1:25" ht="147.75" customHeight="1" x14ac:dyDescent="0.25">
      <c r="A99" t="s">
        <v>183</v>
      </c>
      <c r="B99" t="s">
        <v>184</v>
      </c>
      <c r="C99" s="2" t="s">
        <v>1138</v>
      </c>
      <c r="D99" s="2" t="s">
        <v>1137</v>
      </c>
      <c r="E99" s="2" t="s">
        <v>304</v>
      </c>
      <c r="F99" s="2" t="s">
        <v>302</v>
      </c>
      <c r="G99" t="s">
        <v>23</v>
      </c>
      <c r="H99" s="2" t="s">
        <v>194</v>
      </c>
      <c r="I99" s="2" t="s">
        <v>1</v>
      </c>
      <c r="J99" t="s">
        <v>21</v>
      </c>
      <c r="K99" s="2" t="s">
        <v>187</v>
      </c>
      <c r="L99" s="2" t="s">
        <v>1</v>
      </c>
      <c r="M99" t="s">
        <v>21</v>
      </c>
      <c r="N99" t="s">
        <v>187</v>
      </c>
      <c r="O99" s="2" t="s">
        <v>1</v>
      </c>
      <c r="P99" t="s">
        <v>21</v>
      </c>
      <c r="Q99" s="2" t="s">
        <v>187</v>
      </c>
      <c r="R99" s="2" t="s">
        <v>1</v>
      </c>
      <c r="S99" t="s">
        <v>23</v>
      </c>
      <c r="T99" t="s">
        <v>194</v>
      </c>
      <c r="U99" t="s">
        <v>1</v>
      </c>
      <c r="V99" t="s">
        <v>18</v>
      </c>
      <c r="W99" t="s">
        <v>194</v>
      </c>
      <c r="X99" t="s">
        <v>1</v>
      </c>
      <c r="Y99">
        <f t="shared" si="1"/>
        <v>759</v>
      </c>
    </row>
    <row r="100" spans="1:25" ht="147.75" customHeight="1" x14ac:dyDescent="0.25">
      <c r="A100" t="s">
        <v>183</v>
      </c>
      <c r="B100" t="s">
        <v>184</v>
      </c>
      <c r="C100" s="2" t="s">
        <v>1138</v>
      </c>
      <c r="D100" s="2" t="s">
        <v>1137</v>
      </c>
      <c r="E100" s="2" t="s">
        <v>305</v>
      </c>
      <c r="F100" s="2" t="s">
        <v>302</v>
      </c>
      <c r="G100" t="s">
        <v>21</v>
      </c>
      <c r="H100" s="2" t="s">
        <v>187</v>
      </c>
      <c r="I100" s="2" t="s">
        <v>1</v>
      </c>
      <c r="J100" t="s">
        <v>21</v>
      </c>
      <c r="K100" s="2" t="s">
        <v>187</v>
      </c>
      <c r="L100" s="2" t="s">
        <v>1</v>
      </c>
      <c r="M100" t="s">
        <v>21</v>
      </c>
      <c r="N100" t="s">
        <v>187</v>
      </c>
      <c r="O100" s="2" t="s">
        <v>1</v>
      </c>
      <c r="P100" t="s">
        <v>21</v>
      </c>
      <c r="Q100" s="2" t="s">
        <v>187</v>
      </c>
      <c r="R100" s="2" t="s">
        <v>1</v>
      </c>
      <c r="S100" t="s">
        <v>18</v>
      </c>
      <c r="T100" t="s">
        <v>194</v>
      </c>
      <c r="U100" t="s">
        <v>1</v>
      </c>
      <c r="V100" t="s">
        <v>18</v>
      </c>
      <c r="W100" t="s">
        <v>194</v>
      </c>
      <c r="X100" t="s">
        <v>1</v>
      </c>
      <c r="Y100">
        <f t="shared" si="1"/>
        <v>752</v>
      </c>
    </row>
    <row r="101" spans="1:25" ht="147.75" customHeight="1" x14ac:dyDescent="0.25">
      <c r="A101" t="s">
        <v>183</v>
      </c>
      <c r="B101" t="s">
        <v>184</v>
      </c>
      <c r="C101" s="2" t="s">
        <v>1138</v>
      </c>
      <c r="D101" s="2" t="s">
        <v>1137</v>
      </c>
      <c r="E101" s="2" t="s">
        <v>306</v>
      </c>
      <c r="F101" s="2" t="s">
        <v>302</v>
      </c>
      <c r="G101" t="s">
        <v>21</v>
      </c>
      <c r="H101" s="2" t="s">
        <v>187</v>
      </c>
      <c r="I101" s="2" t="s">
        <v>1</v>
      </c>
      <c r="J101" t="s">
        <v>21</v>
      </c>
      <c r="K101" s="2" t="s">
        <v>187</v>
      </c>
      <c r="L101" s="2" t="s">
        <v>1</v>
      </c>
      <c r="M101" t="s">
        <v>21</v>
      </c>
      <c r="N101" t="s">
        <v>187</v>
      </c>
      <c r="O101" s="2" t="s">
        <v>1</v>
      </c>
      <c r="P101" t="s">
        <v>18</v>
      </c>
      <c r="Q101" s="2" t="s">
        <v>194</v>
      </c>
      <c r="R101" s="2" t="s">
        <v>1</v>
      </c>
      <c r="S101" t="s">
        <v>23</v>
      </c>
      <c r="T101" t="s">
        <v>194</v>
      </c>
      <c r="U101" t="s">
        <v>1</v>
      </c>
      <c r="V101" t="s">
        <v>18</v>
      </c>
      <c r="W101" t="s">
        <v>194</v>
      </c>
      <c r="X101" t="s">
        <v>1</v>
      </c>
      <c r="Y101">
        <f t="shared" si="1"/>
        <v>768</v>
      </c>
    </row>
    <row r="102" spans="1:25" ht="147.75" customHeight="1" x14ac:dyDescent="0.25">
      <c r="A102" t="s">
        <v>183</v>
      </c>
      <c r="B102" t="s">
        <v>184</v>
      </c>
      <c r="C102" s="2" t="s">
        <v>1138</v>
      </c>
      <c r="D102" s="2" t="s">
        <v>1137</v>
      </c>
      <c r="E102" s="2" t="s">
        <v>307</v>
      </c>
      <c r="F102" s="2" t="s">
        <v>203</v>
      </c>
      <c r="G102" t="s">
        <v>23</v>
      </c>
      <c r="H102" s="2" t="s">
        <v>194</v>
      </c>
      <c r="I102" s="2" t="s">
        <v>1</v>
      </c>
      <c r="J102" t="s">
        <v>18</v>
      </c>
      <c r="K102" s="2" t="s">
        <v>187</v>
      </c>
      <c r="L102" s="2" t="s">
        <v>1</v>
      </c>
      <c r="M102" t="s">
        <v>18</v>
      </c>
      <c r="N102" t="s">
        <v>187</v>
      </c>
      <c r="O102" s="2" t="s">
        <v>1</v>
      </c>
      <c r="P102" t="s">
        <v>18</v>
      </c>
      <c r="Q102" s="2" t="s">
        <v>187</v>
      </c>
      <c r="R102" s="2" t="s">
        <v>1</v>
      </c>
      <c r="S102" t="s">
        <v>23</v>
      </c>
      <c r="T102" t="s">
        <v>194</v>
      </c>
      <c r="U102" t="s">
        <v>1</v>
      </c>
      <c r="V102" t="s">
        <v>18</v>
      </c>
      <c r="W102" t="s">
        <v>187</v>
      </c>
      <c r="X102" t="s">
        <v>1</v>
      </c>
      <c r="Y102">
        <f t="shared" si="1"/>
        <v>764</v>
      </c>
    </row>
    <row r="103" spans="1:25" ht="147.75" customHeight="1" x14ac:dyDescent="0.25">
      <c r="A103" t="s">
        <v>183</v>
      </c>
      <c r="B103" t="s">
        <v>184</v>
      </c>
      <c r="C103" s="2" t="s">
        <v>1138</v>
      </c>
      <c r="D103" s="2" t="s">
        <v>1137</v>
      </c>
      <c r="E103" s="2" t="s">
        <v>308</v>
      </c>
      <c r="F103" s="2" t="s">
        <v>203</v>
      </c>
      <c r="G103" t="s">
        <v>23</v>
      </c>
      <c r="H103" s="2" t="s">
        <v>194</v>
      </c>
      <c r="I103" s="2" t="s">
        <v>1</v>
      </c>
      <c r="J103" s="2" t="s">
        <v>1153</v>
      </c>
      <c r="K103" s="2" t="s">
        <v>194</v>
      </c>
      <c r="L103" s="2" t="s">
        <v>2</v>
      </c>
      <c r="M103" t="s">
        <v>18</v>
      </c>
      <c r="N103" t="s">
        <v>187</v>
      </c>
      <c r="O103" s="2" t="s">
        <v>1</v>
      </c>
      <c r="P103" t="s">
        <v>18</v>
      </c>
      <c r="Q103" s="2" t="s">
        <v>187</v>
      </c>
      <c r="R103" s="2" t="s">
        <v>1</v>
      </c>
      <c r="S103" t="s">
        <v>18</v>
      </c>
      <c r="T103" t="s">
        <v>187</v>
      </c>
      <c r="U103" t="s">
        <v>1</v>
      </c>
      <c r="V103" t="s">
        <v>18</v>
      </c>
      <c r="W103" t="s">
        <v>187</v>
      </c>
      <c r="X103" t="s">
        <v>1</v>
      </c>
      <c r="Y103">
        <f t="shared" si="1"/>
        <v>751</v>
      </c>
    </row>
    <row r="104" spans="1:25" ht="147.75" customHeight="1" x14ac:dyDescent="0.25">
      <c r="A104" t="s">
        <v>183</v>
      </c>
      <c r="B104" t="s">
        <v>184</v>
      </c>
      <c r="C104" s="2" t="s">
        <v>1138</v>
      </c>
      <c r="D104" s="2" t="s">
        <v>1137</v>
      </c>
      <c r="E104" s="2" t="s">
        <v>309</v>
      </c>
      <c r="F104" s="2" t="s">
        <v>203</v>
      </c>
      <c r="G104" t="s">
        <v>23</v>
      </c>
      <c r="H104" s="2" t="s">
        <v>194</v>
      </c>
      <c r="I104" s="2" t="s">
        <v>1</v>
      </c>
      <c r="J104" t="s">
        <v>23</v>
      </c>
      <c r="K104" s="2" t="s">
        <v>194</v>
      </c>
      <c r="L104" s="2" t="s">
        <v>1</v>
      </c>
      <c r="M104" t="s">
        <v>18</v>
      </c>
      <c r="N104" t="s">
        <v>187</v>
      </c>
      <c r="O104" s="2" t="s">
        <v>1</v>
      </c>
      <c r="P104" t="s">
        <v>18</v>
      </c>
      <c r="Q104" s="2" t="s">
        <v>187</v>
      </c>
      <c r="R104" s="2" t="s">
        <v>1</v>
      </c>
      <c r="S104" t="s">
        <v>18</v>
      </c>
      <c r="T104" t="s">
        <v>187</v>
      </c>
      <c r="U104" t="s">
        <v>1</v>
      </c>
      <c r="V104" t="s">
        <v>23</v>
      </c>
      <c r="W104" t="s">
        <v>194</v>
      </c>
      <c r="X104" t="s">
        <v>1</v>
      </c>
      <c r="Y104">
        <f t="shared" si="1"/>
        <v>754</v>
      </c>
    </row>
    <row r="105" spans="1:25" ht="147.75" customHeight="1" x14ac:dyDescent="0.25">
      <c r="A105" t="s">
        <v>183</v>
      </c>
      <c r="B105" t="s">
        <v>184</v>
      </c>
      <c r="C105" s="2" t="s">
        <v>1138</v>
      </c>
      <c r="D105" s="2" t="s">
        <v>1137</v>
      </c>
      <c r="E105" s="2" t="s">
        <v>310</v>
      </c>
      <c r="F105" s="2" t="s">
        <v>203</v>
      </c>
      <c r="G105" t="s">
        <v>21</v>
      </c>
      <c r="H105" s="2" t="s">
        <v>194</v>
      </c>
      <c r="I105" s="2" t="s">
        <v>1</v>
      </c>
      <c r="J105" t="s">
        <v>21</v>
      </c>
      <c r="K105" s="2" t="s">
        <v>194</v>
      </c>
      <c r="L105" s="2" t="s">
        <v>1</v>
      </c>
      <c r="M105" t="s">
        <v>18</v>
      </c>
      <c r="N105" t="s">
        <v>187</v>
      </c>
      <c r="O105" s="2" t="s">
        <v>1</v>
      </c>
      <c r="P105" t="s">
        <v>21</v>
      </c>
      <c r="Q105" s="2" t="s">
        <v>194</v>
      </c>
      <c r="R105" s="2" t="s">
        <v>1</v>
      </c>
      <c r="S105" t="s">
        <v>21</v>
      </c>
      <c r="T105" t="s">
        <v>194</v>
      </c>
      <c r="U105" t="s">
        <v>1</v>
      </c>
      <c r="V105" t="s">
        <v>18</v>
      </c>
      <c r="W105" t="s">
        <v>187</v>
      </c>
      <c r="X105" t="s">
        <v>1</v>
      </c>
      <c r="Y105">
        <f t="shared" si="1"/>
        <v>756</v>
      </c>
    </row>
    <row r="106" spans="1:25" ht="147.75" customHeight="1" x14ac:dyDescent="0.25">
      <c r="A106" t="s">
        <v>183</v>
      </c>
      <c r="B106" t="s">
        <v>184</v>
      </c>
      <c r="C106" s="2" t="s">
        <v>1138</v>
      </c>
      <c r="D106" s="2" t="s">
        <v>1137</v>
      </c>
      <c r="E106" s="2" t="s">
        <v>311</v>
      </c>
      <c r="F106" s="2" t="s">
        <v>203</v>
      </c>
      <c r="G106" t="s">
        <v>23</v>
      </c>
      <c r="H106" s="2" t="s">
        <v>194</v>
      </c>
      <c r="I106" s="2" t="s">
        <v>1</v>
      </c>
      <c r="J106" t="s">
        <v>23</v>
      </c>
      <c r="K106" s="2" t="s">
        <v>194</v>
      </c>
      <c r="L106" s="2" t="s">
        <v>1</v>
      </c>
      <c r="M106" t="s">
        <v>18</v>
      </c>
      <c r="N106" t="s">
        <v>187</v>
      </c>
      <c r="O106" s="2" t="s">
        <v>1</v>
      </c>
      <c r="P106" t="s">
        <v>18</v>
      </c>
      <c r="Q106" s="2" t="s">
        <v>187</v>
      </c>
      <c r="R106" s="2" t="s">
        <v>1</v>
      </c>
      <c r="S106" t="s">
        <v>18</v>
      </c>
      <c r="T106" t="s">
        <v>187</v>
      </c>
      <c r="U106" t="s">
        <v>1</v>
      </c>
      <c r="V106" t="s">
        <v>18</v>
      </c>
      <c r="W106" t="s">
        <v>187</v>
      </c>
      <c r="X106" t="s">
        <v>1</v>
      </c>
      <c r="Y106">
        <f t="shared" si="1"/>
        <v>753</v>
      </c>
    </row>
    <row r="107" spans="1:25" ht="147.75" customHeight="1" x14ac:dyDescent="0.25">
      <c r="A107" t="s">
        <v>183</v>
      </c>
      <c r="B107" t="s">
        <v>184</v>
      </c>
      <c r="C107" s="2" t="s">
        <v>1138</v>
      </c>
      <c r="D107" s="2" t="s">
        <v>1137</v>
      </c>
      <c r="E107" s="2" t="s">
        <v>312</v>
      </c>
      <c r="F107" s="2" t="s">
        <v>313</v>
      </c>
      <c r="G107" t="s">
        <v>18</v>
      </c>
      <c r="H107" s="2" t="s">
        <v>194</v>
      </c>
      <c r="I107" s="2" t="s">
        <v>1</v>
      </c>
      <c r="J107" t="s">
        <v>23</v>
      </c>
      <c r="K107" s="2" t="s">
        <v>187</v>
      </c>
      <c r="L107" s="2" t="s">
        <v>1</v>
      </c>
      <c r="M107" t="s">
        <v>23</v>
      </c>
      <c r="N107" t="s">
        <v>187</v>
      </c>
      <c r="O107" s="2" t="s">
        <v>1</v>
      </c>
      <c r="P107" t="s">
        <v>18</v>
      </c>
      <c r="Q107" s="2" t="s">
        <v>194</v>
      </c>
      <c r="R107" s="2" t="s">
        <v>1</v>
      </c>
      <c r="S107" t="s">
        <v>18</v>
      </c>
      <c r="T107" t="s">
        <v>194</v>
      </c>
      <c r="U107" t="s">
        <v>1</v>
      </c>
      <c r="V107" t="s">
        <v>18</v>
      </c>
      <c r="W107" t="s">
        <v>194</v>
      </c>
      <c r="X107" t="s">
        <v>1</v>
      </c>
      <c r="Y107">
        <f t="shared" si="1"/>
        <v>770</v>
      </c>
    </row>
    <row r="108" spans="1:25" ht="147.75" customHeight="1" x14ac:dyDescent="0.25">
      <c r="A108" t="s">
        <v>183</v>
      </c>
      <c r="B108" t="s">
        <v>184</v>
      </c>
      <c r="C108" s="2" t="s">
        <v>1138</v>
      </c>
      <c r="D108" s="2" t="s">
        <v>1137</v>
      </c>
      <c r="E108" s="2" t="s">
        <v>314</v>
      </c>
      <c r="F108" s="2" t="s">
        <v>313</v>
      </c>
      <c r="G108" t="s">
        <v>18</v>
      </c>
      <c r="H108" s="2" t="s">
        <v>194</v>
      </c>
      <c r="I108" s="2" t="s">
        <v>1</v>
      </c>
      <c r="J108" t="s">
        <v>21</v>
      </c>
      <c r="K108" s="2" t="s">
        <v>194</v>
      </c>
      <c r="L108" s="2" t="s">
        <v>1</v>
      </c>
      <c r="M108" t="s">
        <v>23</v>
      </c>
      <c r="N108" t="s">
        <v>187</v>
      </c>
      <c r="O108" s="2" t="s">
        <v>1</v>
      </c>
      <c r="P108" t="s">
        <v>18</v>
      </c>
      <c r="Q108" s="2" t="s">
        <v>194</v>
      </c>
      <c r="R108" s="2" t="s">
        <v>1</v>
      </c>
      <c r="S108" t="s">
        <v>18</v>
      </c>
      <c r="T108" t="s">
        <v>194</v>
      </c>
      <c r="U108" t="s">
        <v>1</v>
      </c>
      <c r="V108" t="s">
        <v>18</v>
      </c>
      <c r="W108" t="s">
        <v>194</v>
      </c>
      <c r="X108" t="s">
        <v>1</v>
      </c>
      <c r="Y108">
        <f t="shared" si="1"/>
        <v>763</v>
      </c>
    </row>
    <row r="109" spans="1:25" ht="147.75" customHeight="1" x14ac:dyDescent="0.25">
      <c r="A109" t="s">
        <v>183</v>
      </c>
      <c r="B109" t="s">
        <v>184</v>
      </c>
      <c r="C109" s="2" t="s">
        <v>1138</v>
      </c>
      <c r="D109" s="2" t="s">
        <v>1137</v>
      </c>
      <c r="E109" s="2" t="s">
        <v>315</v>
      </c>
      <c r="F109" s="2" t="s">
        <v>313</v>
      </c>
      <c r="G109" t="s">
        <v>23</v>
      </c>
      <c r="H109" s="2" t="s">
        <v>187</v>
      </c>
      <c r="I109" s="2" t="s">
        <v>1</v>
      </c>
      <c r="J109" t="s">
        <v>21</v>
      </c>
      <c r="K109" s="2" t="s">
        <v>194</v>
      </c>
      <c r="L109" s="2" t="s">
        <v>1</v>
      </c>
      <c r="M109" t="s">
        <v>23</v>
      </c>
      <c r="N109" t="s">
        <v>187</v>
      </c>
      <c r="O109" s="2" t="s">
        <v>1</v>
      </c>
      <c r="P109" t="s">
        <v>18</v>
      </c>
      <c r="Q109" s="2" t="s">
        <v>194</v>
      </c>
      <c r="R109" s="2" t="s">
        <v>1</v>
      </c>
      <c r="S109" t="s">
        <v>18</v>
      </c>
      <c r="T109" t="s">
        <v>194</v>
      </c>
      <c r="U109" t="s">
        <v>1</v>
      </c>
      <c r="V109" t="s">
        <v>18</v>
      </c>
      <c r="W109" t="s">
        <v>194</v>
      </c>
      <c r="X109" t="s">
        <v>1</v>
      </c>
      <c r="Y109">
        <f t="shared" si="1"/>
        <v>755</v>
      </c>
    </row>
    <row r="110" spans="1:25" ht="147.75" customHeight="1" x14ac:dyDescent="0.25">
      <c r="A110" t="s">
        <v>183</v>
      </c>
      <c r="B110" t="s">
        <v>184</v>
      </c>
      <c r="C110" s="2" t="s">
        <v>1138</v>
      </c>
      <c r="D110" s="2" t="s">
        <v>1137</v>
      </c>
      <c r="E110" s="2" t="s">
        <v>316</v>
      </c>
      <c r="F110" s="2" t="s">
        <v>313</v>
      </c>
      <c r="G110" t="s">
        <v>23</v>
      </c>
      <c r="H110" s="2" t="s">
        <v>187</v>
      </c>
      <c r="I110" s="2" t="s">
        <v>1</v>
      </c>
      <c r="J110" s="2" t="s">
        <v>1154</v>
      </c>
      <c r="K110" s="2" t="s">
        <v>187</v>
      </c>
      <c r="L110" s="2" t="s">
        <v>2</v>
      </c>
      <c r="M110" t="s">
        <v>23</v>
      </c>
      <c r="N110" t="s">
        <v>187</v>
      </c>
      <c r="O110" s="2" t="s">
        <v>1</v>
      </c>
      <c r="P110" t="s">
        <v>18</v>
      </c>
      <c r="Q110" s="2" t="s">
        <v>194</v>
      </c>
      <c r="R110" s="2" t="s">
        <v>1</v>
      </c>
      <c r="S110" t="s">
        <v>23</v>
      </c>
      <c r="T110" t="s">
        <v>187</v>
      </c>
      <c r="U110" t="s">
        <v>1</v>
      </c>
      <c r="V110" t="s">
        <v>18</v>
      </c>
      <c r="W110" t="s">
        <v>194</v>
      </c>
      <c r="X110" t="s">
        <v>1</v>
      </c>
      <c r="Y110">
        <f t="shared" si="1"/>
        <v>765</v>
      </c>
    </row>
    <row r="111" spans="1:25" ht="147.75" customHeight="1" x14ac:dyDescent="0.25">
      <c r="A111" t="s">
        <v>183</v>
      </c>
      <c r="B111" t="s">
        <v>184</v>
      </c>
      <c r="C111" s="2" t="s">
        <v>1138</v>
      </c>
      <c r="D111" s="2" t="s">
        <v>1137</v>
      </c>
      <c r="E111" s="2" t="s">
        <v>317</v>
      </c>
      <c r="F111" s="2" t="s">
        <v>313</v>
      </c>
      <c r="G111" t="s">
        <v>23</v>
      </c>
      <c r="H111" s="2" t="s">
        <v>187</v>
      </c>
      <c r="I111" s="2" t="s">
        <v>1</v>
      </c>
      <c r="J111" t="s">
        <v>18</v>
      </c>
      <c r="K111" s="2" t="s">
        <v>194</v>
      </c>
      <c r="L111" s="2" t="s">
        <v>1</v>
      </c>
      <c r="M111" t="s">
        <v>23</v>
      </c>
      <c r="N111" t="s">
        <v>187</v>
      </c>
      <c r="O111" s="2" t="s">
        <v>1</v>
      </c>
      <c r="P111" t="s">
        <v>21</v>
      </c>
      <c r="Q111" s="2" t="s">
        <v>194</v>
      </c>
      <c r="R111" s="2" t="s">
        <v>1</v>
      </c>
      <c r="S111" t="s">
        <v>18</v>
      </c>
      <c r="T111" t="s">
        <v>194</v>
      </c>
      <c r="U111" t="s">
        <v>1</v>
      </c>
      <c r="V111" t="s">
        <v>18</v>
      </c>
      <c r="W111" t="s">
        <v>194</v>
      </c>
      <c r="X111" t="s">
        <v>1</v>
      </c>
      <c r="Y111">
        <f t="shared" si="1"/>
        <v>775</v>
      </c>
    </row>
    <row r="112" spans="1:25" ht="147.75" customHeight="1" x14ac:dyDescent="0.25">
      <c r="A112" t="s">
        <v>183</v>
      </c>
      <c r="B112" t="s">
        <v>184</v>
      </c>
      <c r="C112" s="2" t="s">
        <v>1138</v>
      </c>
      <c r="D112" s="2" t="s">
        <v>1137</v>
      </c>
      <c r="E112" s="2" t="s">
        <v>318</v>
      </c>
      <c r="F112" s="2" t="s">
        <v>319</v>
      </c>
      <c r="G112" t="s">
        <v>21</v>
      </c>
      <c r="H112" s="2" t="s">
        <v>187</v>
      </c>
      <c r="I112" s="2" t="s">
        <v>1</v>
      </c>
      <c r="J112" t="s">
        <v>21</v>
      </c>
      <c r="K112" s="2" t="s">
        <v>187</v>
      </c>
      <c r="L112" s="2" t="s">
        <v>1</v>
      </c>
      <c r="M112" t="s">
        <v>21</v>
      </c>
      <c r="N112" t="s">
        <v>187</v>
      </c>
      <c r="O112" s="2" t="s">
        <v>1</v>
      </c>
      <c r="P112" t="s">
        <v>21</v>
      </c>
      <c r="Q112" s="2" t="s">
        <v>187</v>
      </c>
      <c r="R112" s="2" t="s">
        <v>1</v>
      </c>
      <c r="S112" t="s">
        <v>21</v>
      </c>
      <c r="T112" t="s">
        <v>187</v>
      </c>
      <c r="U112" t="s">
        <v>1</v>
      </c>
      <c r="V112" t="s">
        <v>18</v>
      </c>
      <c r="W112" t="s">
        <v>194</v>
      </c>
      <c r="X112" t="s">
        <v>1</v>
      </c>
      <c r="Y112">
        <f t="shared" si="1"/>
        <v>759</v>
      </c>
    </row>
    <row r="113" spans="1:25" ht="147.75" customHeight="1" x14ac:dyDescent="0.25">
      <c r="A113" t="s">
        <v>183</v>
      </c>
      <c r="B113" t="s">
        <v>184</v>
      </c>
      <c r="C113" s="2" t="s">
        <v>1138</v>
      </c>
      <c r="D113" s="2" t="s">
        <v>1137</v>
      </c>
      <c r="E113" s="2" t="s">
        <v>320</v>
      </c>
      <c r="F113" s="2" t="s">
        <v>319</v>
      </c>
      <c r="G113" t="s">
        <v>21</v>
      </c>
      <c r="H113" s="2" t="s">
        <v>187</v>
      </c>
      <c r="I113" s="2" t="s">
        <v>1</v>
      </c>
      <c r="J113" t="s">
        <v>21</v>
      </c>
      <c r="K113" s="2" t="s">
        <v>187</v>
      </c>
      <c r="L113" s="2" t="s">
        <v>1</v>
      </c>
      <c r="M113" t="s">
        <v>21</v>
      </c>
      <c r="N113" t="s">
        <v>187</v>
      </c>
      <c r="O113" s="2" t="s">
        <v>1</v>
      </c>
      <c r="P113" t="s">
        <v>21</v>
      </c>
      <c r="Q113" s="2" t="s">
        <v>187</v>
      </c>
      <c r="R113" s="2" t="s">
        <v>1</v>
      </c>
      <c r="S113" t="s">
        <v>18</v>
      </c>
      <c r="T113" t="s">
        <v>194</v>
      </c>
      <c r="U113" t="s">
        <v>1</v>
      </c>
      <c r="V113" t="s">
        <v>18</v>
      </c>
      <c r="W113" t="s">
        <v>194</v>
      </c>
      <c r="X113" t="s">
        <v>1</v>
      </c>
      <c r="Y113">
        <f t="shared" si="1"/>
        <v>755</v>
      </c>
    </row>
    <row r="114" spans="1:25" ht="147.75" customHeight="1" x14ac:dyDescent="0.25">
      <c r="A114" t="s">
        <v>183</v>
      </c>
      <c r="B114" t="s">
        <v>184</v>
      </c>
      <c r="C114" s="2" t="s">
        <v>1138</v>
      </c>
      <c r="D114" s="2" t="s">
        <v>1137</v>
      </c>
      <c r="E114" s="2" t="s">
        <v>321</v>
      </c>
      <c r="F114" s="2" t="s">
        <v>319</v>
      </c>
      <c r="G114" t="s">
        <v>21</v>
      </c>
      <c r="H114" s="2" t="s">
        <v>187</v>
      </c>
      <c r="I114" s="2" t="s">
        <v>1</v>
      </c>
      <c r="J114" t="s">
        <v>21</v>
      </c>
      <c r="K114" s="2" t="s">
        <v>187</v>
      </c>
      <c r="L114" s="2" t="s">
        <v>1</v>
      </c>
      <c r="M114" t="s">
        <v>21</v>
      </c>
      <c r="N114" t="s">
        <v>187</v>
      </c>
      <c r="O114" s="2" t="s">
        <v>1</v>
      </c>
      <c r="P114" t="s">
        <v>21</v>
      </c>
      <c r="Q114" s="2" t="s">
        <v>187</v>
      </c>
      <c r="R114" s="2" t="s">
        <v>1</v>
      </c>
      <c r="S114" t="s">
        <v>21</v>
      </c>
      <c r="T114" t="s">
        <v>187</v>
      </c>
      <c r="U114" t="s">
        <v>1</v>
      </c>
      <c r="V114" t="s">
        <v>18</v>
      </c>
      <c r="W114" t="s">
        <v>194</v>
      </c>
      <c r="X114" t="s">
        <v>1</v>
      </c>
      <c r="Y114">
        <f t="shared" si="1"/>
        <v>771</v>
      </c>
    </row>
    <row r="115" spans="1:25" ht="147.75" customHeight="1" x14ac:dyDescent="0.25">
      <c r="A115" t="s">
        <v>183</v>
      </c>
      <c r="B115" t="s">
        <v>184</v>
      </c>
      <c r="C115" s="2" t="s">
        <v>1138</v>
      </c>
      <c r="D115" s="2" t="s">
        <v>1137</v>
      </c>
      <c r="E115" s="2" t="s">
        <v>322</v>
      </c>
      <c r="F115" s="2" t="s">
        <v>319</v>
      </c>
      <c r="G115" t="s">
        <v>18</v>
      </c>
      <c r="H115" s="2" t="s">
        <v>194</v>
      </c>
      <c r="I115" s="2" t="s">
        <v>1</v>
      </c>
      <c r="J115" t="s">
        <v>21</v>
      </c>
      <c r="K115" s="2" t="s">
        <v>187</v>
      </c>
      <c r="L115" s="2" t="s">
        <v>1</v>
      </c>
      <c r="M115" t="s">
        <v>21</v>
      </c>
      <c r="N115" t="s">
        <v>187</v>
      </c>
      <c r="O115" s="2" t="s">
        <v>1</v>
      </c>
      <c r="P115" t="s">
        <v>21</v>
      </c>
      <c r="Q115" s="2" t="s">
        <v>187</v>
      </c>
      <c r="R115" s="2" t="s">
        <v>1</v>
      </c>
      <c r="S115" t="s">
        <v>18</v>
      </c>
      <c r="T115" t="s">
        <v>194</v>
      </c>
      <c r="U115" t="s">
        <v>1</v>
      </c>
      <c r="V115" t="s">
        <v>18</v>
      </c>
      <c r="W115" t="s">
        <v>194</v>
      </c>
      <c r="X115" t="s">
        <v>1</v>
      </c>
      <c r="Y115">
        <f t="shared" si="1"/>
        <v>759</v>
      </c>
    </row>
    <row r="116" spans="1:25" ht="147.75" customHeight="1" x14ac:dyDescent="0.25">
      <c r="A116" t="s">
        <v>183</v>
      </c>
      <c r="B116" t="s">
        <v>184</v>
      </c>
      <c r="C116" s="2" t="s">
        <v>1138</v>
      </c>
      <c r="D116" s="2" t="s">
        <v>1137</v>
      </c>
      <c r="E116" s="2" t="s">
        <v>323</v>
      </c>
      <c r="F116" s="2" t="s">
        <v>319</v>
      </c>
      <c r="G116" t="s">
        <v>21</v>
      </c>
      <c r="H116" s="2" t="s">
        <v>187</v>
      </c>
      <c r="I116" s="2" t="s">
        <v>1</v>
      </c>
      <c r="J116" t="s">
        <v>21</v>
      </c>
      <c r="K116" s="2" t="s">
        <v>187</v>
      </c>
      <c r="L116" s="2" t="s">
        <v>1</v>
      </c>
      <c r="M116" t="s">
        <v>21</v>
      </c>
      <c r="N116" t="s">
        <v>187</v>
      </c>
      <c r="O116" s="2" t="s">
        <v>1</v>
      </c>
      <c r="P116" t="s">
        <v>21</v>
      </c>
      <c r="Q116" s="2" t="s">
        <v>187</v>
      </c>
      <c r="R116" s="2" t="s">
        <v>1</v>
      </c>
      <c r="S116" t="s">
        <v>21</v>
      </c>
      <c r="T116" t="s">
        <v>187</v>
      </c>
      <c r="U116" t="s">
        <v>1</v>
      </c>
      <c r="V116" t="s">
        <v>21</v>
      </c>
      <c r="W116" t="s">
        <v>187</v>
      </c>
      <c r="X116" t="s">
        <v>1</v>
      </c>
      <c r="Y116">
        <f t="shared" si="1"/>
        <v>766</v>
      </c>
    </row>
    <row r="117" spans="1:25" ht="147.75" customHeight="1" x14ac:dyDescent="0.25">
      <c r="A117" t="s">
        <v>183</v>
      </c>
      <c r="B117" t="s">
        <v>184</v>
      </c>
      <c r="C117" s="2" t="s">
        <v>1138</v>
      </c>
      <c r="D117" s="2" t="s">
        <v>1137</v>
      </c>
      <c r="E117" s="2" t="s">
        <v>324</v>
      </c>
      <c r="F117" s="2" t="s">
        <v>325</v>
      </c>
      <c r="G117" t="s">
        <v>18</v>
      </c>
      <c r="H117" s="2" t="s">
        <v>187</v>
      </c>
      <c r="I117" s="2" t="s">
        <v>1</v>
      </c>
      <c r="J117" t="s">
        <v>18</v>
      </c>
      <c r="K117" s="2" t="s">
        <v>187</v>
      </c>
      <c r="L117" s="2" t="s">
        <v>1</v>
      </c>
      <c r="M117" t="s">
        <v>18</v>
      </c>
      <c r="N117" t="s">
        <v>187</v>
      </c>
      <c r="O117" s="2" t="s">
        <v>1</v>
      </c>
      <c r="P117" t="s">
        <v>18</v>
      </c>
      <c r="Q117" s="2" t="s">
        <v>187</v>
      </c>
      <c r="R117" s="2" t="s">
        <v>1</v>
      </c>
      <c r="S117" t="s">
        <v>18</v>
      </c>
      <c r="T117" t="s">
        <v>187</v>
      </c>
      <c r="U117" t="s">
        <v>1</v>
      </c>
      <c r="V117" t="s">
        <v>18</v>
      </c>
      <c r="W117" t="s">
        <v>187</v>
      </c>
      <c r="X117" t="s">
        <v>1</v>
      </c>
      <c r="Y117">
        <f t="shared" si="1"/>
        <v>738</v>
      </c>
    </row>
    <row r="118" spans="1:25" ht="147.75" customHeight="1" x14ac:dyDescent="0.25">
      <c r="A118" t="s">
        <v>183</v>
      </c>
      <c r="B118" t="s">
        <v>184</v>
      </c>
      <c r="C118" s="2" t="s">
        <v>1138</v>
      </c>
      <c r="D118" s="2" t="s">
        <v>1137</v>
      </c>
      <c r="E118" s="2" t="s">
        <v>326</v>
      </c>
      <c r="F118" s="2" t="s">
        <v>325</v>
      </c>
      <c r="G118" t="s">
        <v>18</v>
      </c>
      <c r="H118" s="2" t="s">
        <v>187</v>
      </c>
      <c r="I118" s="2" t="s">
        <v>1</v>
      </c>
      <c r="J118" s="2" t="s">
        <v>1155</v>
      </c>
      <c r="K118" s="2" t="s">
        <v>187</v>
      </c>
      <c r="L118" s="2" t="s">
        <v>2</v>
      </c>
      <c r="M118" t="s">
        <v>18</v>
      </c>
      <c r="N118" t="s">
        <v>187</v>
      </c>
      <c r="O118" s="2" t="s">
        <v>1</v>
      </c>
      <c r="P118" t="s">
        <v>21</v>
      </c>
      <c r="Q118" s="2" t="s">
        <v>194</v>
      </c>
      <c r="R118" s="2" t="s">
        <v>1</v>
      </c>
      <c r="S118" t="s">
        <v>18</v>
      </c>
      <c r="T118" t="s">
        <v>187</v>
      </c>
      <c r="U118" t="s">
        <v>1</v>
      </c>
      <c r="V118" t="s">
        <v>18</v>
      </c>
      <c r="W118" t="s">
        <v>187</v>
      </c>
      <c r="X118" t="s">
        <v>1</v>
      </c>
      <c r="Y118">
        <f t="shared" si="1"/>
        <v>764</v>
      </c>
    </row>
    <row r="119" spans="1:25" ht="147.75" customHeight="1" x14ac:dyDescent="0.25">
      <c r="A119" t="s">
        <v>183</v>
      </c>
      <c r="B119" t="s">
        <v>184</v>
      </c>
      <c r="C119" s="2" t="s">
        <v>1138</v>
      </c>
      <c r="D119" s="2" t="s">
        <v>1137</v>
      </c>
      <c r="E119" s="2" t="s">
        <v>327</v>
      </c>
      <c r="F119" s="2" t="s">
        <v>325</v>
      </c>
      <c r="G119" t="s">
        <v>21</v>
      </c>
      <c r="H119" s="2" t="s">
        <v>194</v>
      </c>
      <c r="I119" s="2" t="s">
        <v>1</v>
      </c>
      <c r="J119" s="2" t="s">
        <v>1156</v>
      </c>
      <c r="K119" s="2" t="s">
        <v>194</v>
      </c>
      <c r="L119" s="2" t="s">
        <v>2</v>
      </c>
      <c r="M119" t="s">
        <v>18</v>
      </c>
      <c r="N119" t="s">
        <v>187</v>
      </c>
      <c r="O119" s="2" t="s">
        <v>1</v>
      </c>
      <c r="P119" t="s">
        <v>18</v>
      </c>
      <c r="Q119" s="2" t="s">
        <v>187</v>
      </c>
      <c r="R119" s="2" t="s">
        <v>1</v>
      </c>
      <c r="S119" t="s">
        <v>18</v>
      </c>
      <c r="T119" t="s">
        <v>187</v>
      </c>
      <c r="U119" t="s">
        <v>1</v>
      </c>
      <c r="V119" t="s">
        <v>18</v>
      </c>
      <c r="W119" t="s">
        <v>187</v>
      </c>
      <c r="X119" t="s">
        <v>1</v>
      </c>
      <c r="Y119">
        <f t="shared" si="1"/>
        <v>748</v>
      </c>
    </row>
    <row r="120" spans="1:25" ht="147.75" customHeight="1" x14ac:dyDescent="0.25">
      <c r="A120" t="s">
        <v>183</v>
      </c>
      <c r="B120" t="s">
        <v>184</v>
      </c>
      <c r="C120" s="2" t="s">
        <v>1138</v>
      </c>
      <c r="D120" s="2" t="s">
        <v>1137</v>
      </c>
      <c r="E120" s="2" t="s">
        <v>328</v>
      </c>
      <c r="F120" s="2" t="s">
        <v>325</v>
      </c>
      <c r="G120" t="s">
        <v>23</v>
      </c>
      <c r="H120" s="2" t="s">
        <v>194</v>
      </c>
      <c r="I120" s="2" t="s">
        <v>1</v>
      </c>
      <c r="J120" t="s">
        <v>21</v>
      </c>
      <c r="K120" s="2" t="s">
        <v>194</v>
      </c>
      <c r="L120" s="2" t="s">
        <v>1</v>
      </c>
      <c r="M120" t="s">
        <v>18</v>
      </c>
      <c r="N120" t="s">
        <v>187</v>
      </c>
      <c r="O120" s="2" t="s">
        <v>1</v>
      </c>
      <c r="P120" t="s">
        <v>21</v>
      </c>
      <c r="Q120" s="2" t="s">
        <v>194</v>
      </c>
      <c r="R120" s="2" t="s">
        <v>1</v>
      </c>
      <c r="S120" t="s">
        <v>18</v>
      </c>
      <c r="T120" t="s">
        <v>187</v>
      </c>
      <c r="U120" t="s">
        <v>1</v>
      </c>
      <c r="V120" t="s">
        <v>18</v>
      </c>
      <c r="W120" t="s">
        <v>187</v>
      </c>
      <c r="X120" t="s">
        <v>1</v>
      </c>
      <c r="Y120">
        <f t="shared" si="1"/>
        <v>746</v>
      </c>
    </row>
    <row r="121" spans="1:25" ht="147.75" customHeight="1" x14ac:dyDescent="0.25">
      <c r="A121" t="s">
        <v>183</v>
      </c>
      <c r="B121" t="s">
        <v>184</v>
      </c>
      <c r="C121" s="2" t="s">
        <v>1138</v>
      </c>
      <c r="D121" s="2" t="s">
        <v>1137</v>
      </c>
      <c r="E121" s="2" t="s">
        <v>329</v>
      </c>
      <c r="F121" s="2" t="s">
        <v>325</v>
      </c>
      <c r="G121" t="s">
        <v>21</v>
      </c>
      <c r="H121" s="2" t="s">
        <v>194</v>
      </c>
      <c r="I121" s="2" t="s">
        <v>1</v>
      </c>
      <c r="J121" t="s">
        <v>21</v>
      </c>
      <c r="K121" s="2" t="s">
        <v>194</v>
      </c>
      <c r="L121" s="2" t="s">
        <v>1</v>
      </c>
      <c r="M121" t="s">
        <v>18</v>
      </c>
      <c r="N121" t="s">
        <v>187</v>
      </c>
      <c r="O121" s="2" t="s">
        <v>1</v>
      </c>
      <c r="P121" t="s">
        <v>18</v>
      </c>
      <c r="Q121" s="2" t="s">
        <v>187</v>
      </c>
      <c r="R121" s="2" t="s">
        <v>1</v>
      </c>
      <c r="S121" t="s">
        <v>21</v>
      </c>
      <c r="T121" t="s">
        <v>194</v>
      </c>
      <c r="U121" t="s">
        <v>1</v>
      </c>
      <c r="V121" t="s">
        <v>18</v>
      </c>
      <c r="W121" t="s">
        <v>187</v>
      </c>
      <c r="X121" t="s">
        <v>1</v>
      </c>
      <c r="Y121">
        <f t="shared" si="1"/>
        <v>769</v>
      </c>
    </row>
    <row r="122" spans="1:25" ht="147.75" customHeight="1" x14ac:dyDescent="0.25">
      <c r="A122" t="s">
        <v>183</v>
      </c>
      <c r="B122" t="s">
        <v>184</v>
      </c>
      <c r="C122" s="2" t="s">
        <v>1138</v>
      </c>
      <c r="D122" s="2" t="s">
        <v>1137</v>
      </c>
      <c r="E122" s="2" t="s">
        <v>330</v>
      </c>
      <c r="F122" s="2" t="s">
        <v>331</v>
      </c>
      <c r="G122" t="s">
        <v>18</v>
      </c>
      <c r="H122" s="2" t="s">
        <v>187</v>
      </c>
      <c r="I122" s="2" t="s">
        <v>1</v>
      </c>
      <c r="J122" t="s">
        <v>21</v>
      </c>
      <c r="K122" s="2" t="s">
        <v>194</v>
      </c>
      <c r="L122" s="2" t="s">
        <v>1</v>
      </c>
      <c r="M122" t="s">
        <v>18</v>
      </c>
      <c r="N122" t="s">
        <v>187</v>
      </c>
      <c r="O122" s="2" t="s">
        <v>1</v>
      </c>
      <c r="P122" t="s">
        <v>18</v>
      </c>
      <c r="Q122" s="2" t="s">
        <v>187</v>
      </c>
      <c r="R122" s="2" t="s">
        <v>1</v>
      </c>
      <c r="S122" t="s">
        <v>18</v>
      </c>
      <c r="T122" t="s">
        <v>187</v>
      </c>
      <c r="U122" t="s">
        <v>1</v>
      </c>
      <c r="V122" t="s">
        <v>18</v>
      </c>
      <c r="W122" t="s">
        <v>187</v>
      </c>
      <c r="X122" t="s">
        <v>1</v>
      </c>
      <c r="Y122">
        <f t="shared" si="1"/>
        <v>765</v>
      </c>
    </row>
    <row r="123" spans="1:25" ht="147.75" customHeight="1" x14ac:dyDescent="0.25">
      <c r="A123" t="s">
        <v>183</v>
      </c>
      <c r="B123" t="s">
        <v>184</v>
      </c>
      <c r="C123" s="2" t="s">
        <v>1138</v>
      </c>
      <c r="D123" s="2" t="s">
        <v>1137</v>
      </c>
      <c r="E123" s="2" t="s">
        <v>332</v>
      </c>
      <c r="F123" s="2" t="s">
        <v>331</v>
      </c>
      <c r="G123" t="s">
        <v>18</v>
      </c>
      <c r="H123" s="2" t="s">
        <v>187</v>
      </c>
      <c r="I123" s="2" t="s">
        <v>1</v>
      </c>
      <c r="J123" t="s">
        <v>21</v>
      </c>
      <c r="K123" s="2" t="s">
        <v>194</v>
      </c>
      <c r="L123" s="2" t="s">
        <v>1</v>
      </c>
      <c r="M123" t="s">
        <v>18</v>
      </c>
      <c r="N123" t="s">
        <v>187</v>
      </c>
      <c r="O123" s="2" t="s">
        <v>1</v>
      </c>
      <c r="P123" t="s">
        <v>18</v>
      </c>
      <c r="Q123" s="2" t="s">
        <v>187</v>
      </c>
      <c r="R123" s="2" t="s">
        <v>1</v>
      </c>
      <c r="S123" t="s">
        <v>18</v>
      </c>
      <c r="T123" t="s">
        <v>187</v>
      </c>
      <c r="U123" t="s">
        <v>1</v>
      </c>
      <c r="V123" t="s">
        <v>18</v>
      </c>
      <c r="W123" t="s">
        <v>187</v>
      </c>
      <c r="X123" t="s">
        <v>1</v>
      </c>
      <c r="Y123">
        <f t="shared" si="1"/>
        <v>772</v>
      </c>
    </row>
    <row r="124" spans="1:25" ht="147.75" customHeight="1" x14ac:dyDescent="0.25">
      <c r="A124" t="s">
        <v>183</v>
      </c>
      <c r="B124" t="s">
        <v>184</v>
      </c>
      <c r="C124" s="2" t="s">
        <v>1138</v>
      </c>
      <c r="D124" s="2" t="s">
        <v>1137</v>
      </c>
      <c r="E124" s="2" t="s">
        <v>333</v>
      </c>
      <c r="F124" s="2" t="s">
        <v>331</v>
      </c>
      <c r="G124" t="s">
        <v>23</v>
      </c>
      <c r="H124" s="2" t="s">
        <v>194</v>
      </c>
      <c r="I124" s="2" t="s">
        <v>1</v>
      </c>
      <c r="J124" t="s">
        <v>21</v>
      </c>
      <c r="K124" s="2" t="s">
        <v>194</v>
      </c>
      <c r="L124" s="2" t="s">
        <v>1</v>
      </c>
      <c r="M124" t="s">
        <v>18</v>
      </c>
      <c r="N124" t="s">
        <v>187</v>
      </c>
      <c r="O124" s="2" t="s">
        <v>1</v>
      </c>
      <c r="P124" t="s">
        <v>18</v>
      </c>
      <c r="Q124" s="2" t="s">
        <v>187</v>
      </c>
      <c r="R124" s="2" t="s">
        <v>1</v>
      </c>
      <c r="S124" t="s">
        <v>18</v>
      </c>
      <c r="T124" t="s">
        <v>187</v>
      </c>
      <c r="U124" t="s">
        <v>1</v>
      </c>
      <c r="V124" t="s">
        <v>18</v>
      </c>
      <c r="W124" t="s">
        <v>187</v>
      </c>
      <c r="X124" t="s">
        <v>1</v>
      </c>
      <c r="Y124">
        <f t="shared" si="1"/>
        <v>769</v>
      </c>
    </row>
    <row r="125" spans="1:25" ht="147.75" customHeight="1" x14ac:dyDescent="0.25">
      <c r="A125" t="s">
        <v>183</v>
      </c>
      <c r="B125" t="s">
        <v>184</v>
      </c>
      <c r="C125" s="2" t="s">
        <v>1138</v>
      </c>
      <c r="D125" s="2" t="s">
        <v>1137</v>
      </c>
      <c r="E125" s="2" t="s">
        <v>334</v>
      </c>
      <c r="F125" s="2" t="s">
        <v>331</v>
      </c>
      <c r="G125" t="s">
        <v>18</v>
      </c>
      <c r="H125" s="2" t="s">
        <v>187</v>
      </c>
      <c r="I125" s="2" t="s">
        <v>1</v>
      </c>
      <c r="J125" t="s">
        <v>18</v>
      </c>
      <c r="K125" s="2" t="s">
        <v>187</v>
      </c>
      <c r="L125" s="2" t="s">
        <v>1</v>
      </c>
      <c r="M125" t="s">
        <v>18</v>
      </c>
      <c r="N125" t="s">
        <v>187</v>
      </c>
      <c r="O125" s="2" t="s">
        <v>1</v>
      </c>
      <c r="P125" t="s">
        <v>18</v>
      </c>
      <c r="Q125" s="2" t="s">
        <v>187</v>
      </c>
      <c r="R125" s="2" t="s">
        <v>1</v>
      </c>
      <c r="S125" t="s">
        <v>18</v>
      </c>
      <c r="T125" t="s">
        <v>187</v>
      </c>
      <c r="U125" t="s">
        <v>1</v>
      </c>
      <c r="V125" t="s">
        <v>18</v>
      </c>
      <c r="W125" t="s">
        <v>187</v>
      </c>
      <c r="X125" t="s">
        <v>1</v>
      </c>
      <c r="Y125">
        <f t="shared" si="1"/>
        <v>763</v>
      </c>
    </row>
    <row r="126" spans="1:25" ht="147.75" customHeight="1" x14ac:dyDescent="0.25">
      <c r="A126" t="s">
        <v>183</v>
      </c>
      <c r="B126" t="s">
        <v>184</v>
      </c>
      <c r="C126" s="2" t="s">
        <v>1138</v>
      </c>
      <c r="D126" s="2" t="s">
        <v>1137</v>
      </c>
      <c r="E126" s="2" t="s">
        <v>335</v>
      </c>
      <c r="F126" s="2" t="s">
        <v>331</v>
      </c>
      <c r="G126" t="s">
        <v>18</v>
      </c>
      <c r="H126" s="2" t="s">
        <v>187</v>
      </c>
      <c r="I126" s="2" t="s">
        <v>1</v>
      </c>
      <c r="J126" t="s">
        <v>18</v>
      </c>
      <c r="K126" s="2" t="s">
        <v>187</v>
      </c>
      <c r="L126" s="2" t="s">
        <v>1</v>
      </c>
      <c r="M126" t="s">
        <v>18</v>
      </c>
      <c r="N126" t="s">
        <v>187</v>
      </c>
      <c r="O126" s="2" t="s">
        <v>1</v>
      </c>
      <c r="P126" t="s">
        <v>18</v>
      </c>
      <c r="Q126" s="2" t="s">
        <v>187</v>
      </c>
      <c r="R126" s="2" t="s">
        <v>1</v>
      </c>
      <c r="S126" t="s">
        <v>18</v>
      </c>
      <c r="T126" t="s">
        <v>187</v>
      </c>
      <c r="U126" t="s">
        <v>1</v>
      </c>
      <c r="V126" t="s">
        <v>18</v>
      </c>
      <c r="W126" t="s">
        <v>187</v>
      </c>
      <c r="X126" t="s">
        <v>1</v>
      </c>
      <c r="Y126">
        <f t="shared" si="1"/>
        <v>762</v>
      </c>
    </row>
    <row r="127" spans="1:25" ht="147.75" customHeight="1" x14ac:dyDescent="0.25">
      <c r="A127" t="s">
        <v>183</v>
      </c>
      <c r="B127" t="s">
        <v>184</v>
      </c>
      <c r="C127" s="2" t="s">
        <v>1138</v>
      </c>
      <c r="D127" s="2" t="s">
        <v>1137</v>
      </c>
      <c r="E127" s="2" t="s">
        <v>336</v>
      </c>
      <c r="F127" s="2" t="s">
        <v>337</v>
      </c>
      <c r="G127" t="s">
        <v>18</v>
      </c>
      <c r="H127" s="2" t="s">
        <v>187</v>
      </c>
      <c r="I127" s="2" t="s">
        <v>1</v>
      </c>
      <c r="J127" t="s">
        <v>18</v>
      </c>
      <c r="K127" s="2" t="s">
        <v>187</v>
      </c>
      <c r="L127" s="2" t="s">
        <v>1</v>
      </c>
      <c r="M127" t="s">
        <v>21</v>
      </c>
      <c r="N127" t="s">
        <v>194</v>
      </c>
      <c r="O127" s="2" t="s">
        <v>1</v>
      </c>
      <c r="P127" t="s">
        <v>18</v>
      </c>
      <c r="Q127" s="2" t="s">
        <v>187</v>
      </c>
      <c r="R127" s="2" t="s">
        <v>1</v>
      </c>
      <c r="S127" t="s">
        <v>18</v>
      </c>
      <c r="T127" t="s">
        <v>187</v>
      </c>
      <c r="U127" t="s">
        <v>1</v>
      </c>
      <c r="V127" t="s">
        <v>18</v>
      </c>
      <c r="W127" t="s">
        <v>187</v>
      </c>
      <c r="X127" t="s">
        <v>1</v>
      </c>
      <c r="Y127">
        <f t="shared" si="1"/>
        <v>765</v>
      </c>
    </row>
    <row r="128" spans="1:25" ht="147.75" customHeight="1" x14ac:dyDescent="0.25">
      <c r="A128" t="s">
        <v>183</v>
      </c>
      <c r="B128" t="s">
        <v>184</v>
      </c>
      <c r="C128" s="2" t="s">
        <v>1138</v>
      </c>
      <c r="D128" s="2" t="s">
        <v>1137</v>
      </c>
      <c r="E128" s="2" t="s">
        <v>338</v>
      </c>
      <c r="F128" s="2" t="s">
        <v>337</v>
      </c>
      <c r="G128" t="s">
        <v>18</v>
      </c>
      <c r="H128" s="2" t="s">
        <v>187</v>
      </c>
      <c r="I128" s="2" t="s">
        <v>1</v>
      </c>
      <c r="J128" t="s">
        <v>1082</v>
      </c>
      <c r="K128" s="2" t="s">
        <v>194</v>
      </c>
      <c r="L128" s="2" t="s">
        <v>1</v>
      </c>
      <c r="M128" t="s">
        <v>18</v>
      </c>
      <c r="N128" t="s">
        <v>187</v>
      </c>
      <c r="O128" s="2" t="s">
        <v>1</v>
      </c>
      <c r="P128" t="s">
        <v>18</v>
      </c>
      <c r="Q128" s="2" t="s">
        <v>187</v>
      </c>
      <c r="R128" s="2" t="s">
        <v>1</v>
      </c>
      <c r="S128" t="s">
        <v>18</v>
      </c>
      <c r="T128" t="s">
        <v>187</v>
      </c>
      <c r="U128" t="s">
        <v>1</v>
      </c>
      <c r="V128" t="s">
        <v>18</v>
      </c>
      <c r="W128" t="s">
        <v>187</v>
      </c>
      <c r="X128" t="s">
        <v>1</v>
      </c>
      <c r="Y128">
        <f t="shared" si="1"/>
        <v>762</v>
      </c>
    </row>
    <row r="129" spans="1:25" ht="147.75" customHeight="1" x14ac:dyDescent="0.25">
      <c r="A129" t="s">
        <v>183</v>
      </c>
      <c r="B129" t="s">
        <v>184</v>
      </c>
      <c r="C129" s="2" t="s">
        <v>1138</v>
      </c>
      <c r="D129" s="2" t="s">
        <v>1137</v>
      </c>
      <c r="E129" s="2" t="s">
        <v>339</v>
      </c>
      <c r="F129" s="2" t="s">
        <v>337</v>
      </c>
      <c r="G129" t="s">
        <v>18</v>
      </c>
      <c r="H129" s="2" t="s">
        <v>187</v>
      </c>
      <c r="I129" s="2" t="s">
        <v>1</v>
      </c>
      <c r="J129" t="s">
        <v>18</v>
      </c>
      <c r="K129" s="2" t="s">
        <v>187</v>
      </c>
      <c r="L129" s="2" t="s">
        <v>1</v>
      </c>
      <c r="M129" t="s">
        <v>18</v>
      </c>
      <c r="N129" t="s">
        <v>187</v>
      </c>
      <c r="O129" s="2" t="s">
        <v>1</v>
      </c>
      <c r="P129" t="s">
        <v>18</v>
      </c>
      <c r="Q129" s="2" t="s">
        <v>187</v>
      </c>
      <c r="R129" s="2" t="s">
        <v>1</v>
      </c>
      <c r="S129" t="s">
        <v>18</v>
      </c>
      <c r="T129" t="s">
        <v>187</v>
      </c>
      <c r="U129" t="s">
        <v>1</v>
      </c>
      <c r="V129" t="s">
        <v>18</v>
      </c>
      <c r="W129" t="s">
        <v>187</v>
      </c>
      <c r="X129" t="s">
        <v>1</v>
      </c>
      <c r="Y129">
        <f t="shared" si="1"/>
        <v>752</v>
      </c>
    </row>
    <row r="130" spans="1:25" ht="147.75" customHeight="1" x14ac:dyDescent="0.25">
      <c r="A130" t="s">
        <v>183</v>
      </c>
      <c r="B130" t="s">
        <v>184</v>
      </c>
      <c r="C130" s="2" t="s">
        <v>1138</v>
      </c>
      <c r="D130" s="2" t="s">
        <v>1137</v>
      </c>
      <c r="E130" s="2" t="s">
        <v>340</v>
      </c>
      <c r="F130" s="2" t="s">
        <v>337</v>
      </c>
      <c r="G130" t="s">
        <v>18</v>
      </c>
      <c r="H130" s="2" t="s">
        <v>187</v>
      </c>
      <c r="I130" s="2" t="s">
        <v>1</v>
      </c>
      <c r="J130" t="s">
        <v>21</v>
      </c>
      <c r="K130" s="2" t="s">
        <v>194</v>
      </c>
      <c r="L130" s="2" t="s">
        <v>1</v>
      </c>
      <c r="M130" t="s">
        <v>18</v>
      </c>
      <c r="N130" t="s">
        <v>187</v>
      </c>
      <c r="O130" s="2" t="s">
        <v>1</v>
      </c>
      <c r="P130" t="s">
        <v>21</v>
      </c>
      <c r="Q130" s="2" t="s">
        <v>194</v>
      </c>
      <c r="R130" s="2" t="s">
        <v>1</v>
      </c>
      <c r="S130" t="s">
        <v>18</v>
      </c>
      <c r="T130" t="s">
        <v>187</v>
      </c>
      <c r="U130" t="s">
        <v>1</v>
      </c>
      <c r="V130" t="s">
        <v>18</v>
      </c>
      <c r="W130" t="s">
        <v>187</v>
      </c>
      <c r="X130" t="s">
        <v>1</v>
      </c>
      <c r="Y130">
        <f t="shared" si="1"/>
        <v>763</v>
      </c>
    </row>
    <row r="131" spans="1:25" ht="147.75" customHeight="1" x14ac:dyDescent="0.25">
      <c r="A131" t="s">
        <v>183</v>
      </c>
      <c r="B131" t="s">
        <v>184</v>
      </c>
      <c r="C131" s="2" t="s">
        <v>1138</v>
      </c>
      <c r="D131" s="2" t="s">
        <v>1137</v>
      </c>
      <c r="E131" s="2" t="s">
        <v>341</v>
      </c>
      <c r="F131" s="2" t="s">
        <v>337</v>
      </c>
      <c r="G131" t="s">
        <v>21</v>
      </c>
      <c r="H131" s="2" t="s">
        <v>187</v>
      </c>
      <c r="I131" s="2" t="s">
        <v>1</v>
      </c>
      <c r="J131" t="s">
        <v>21</v>
      </c>
      <c r="K131" s="2" t="s">
        <v>194</v>
      </c>
      <c r="L131" s="2" t="s">
        <v>1</v>
      </c>
      <c r="M131" t="s">
        <v>18</v>
      </c>
      <c r="N131" t="s">
        <v>187</v>
      </c>
      <c r="O131" s="2" t="s">
        <v>1</v>
      </c>
      <c r="P131" t="s">
        <v>18</v>
      </c>
      <c r="Q131" s="2" t="s">
        <v>187</v>
      </c>
      <c r="R131" s="2" t="s">
        <v>1</v>
      </c>
      <c r="S131" t="s">
        <v>18</v>
      </c>
      <c r="T131" t="s">
        <v>187</v>
      </c>
      <c r="U131" t="s">
        <v>1</v>
      </c>
      <c r="V131" t="s">
        <v>18</v>
      </c>
      <c r="W131" t="s">
        <v>187</v>
      </c>
      <c r="X131" t="s">
        <v>1</v>
      </c>
      <c r="Y131">
        <f t="shared" ref="Y131:Y146" si="2">LEN(D131)+LEN(E131)</f>
        <v>777</v>
      </c>
    </row>
    <row r="132" spans="1:25" ht="147.75" customHeight="1" x14ac:dyDescent="0.25">
      <c r="A132" t="s">
        <v>183</v>
      </c>
      <c r="B132" t="s">
        <v>184</v>
      </c>
      <c r="C132" s="2" t="s">
        <v>1138</v>
      </c>
      <c r="D132" s="2" t="s">
        <v>1137</v>
      </c>
      <c r="E132" s="2" t="s">
        <v>342</v>
      </c>
      <c r="F132" s="2" t="s">
        <v>343</v>
      </c>
      <c r="G132" t="s">
        <v>18</v>
      </c>
      <c r="H132" s="2" t="s">
        <v>187</v>
      </c>
      <c r="I132" s="2" t="s">
        <v>1</v>
      </c>
      <c r="J132" t="s">
        <v>18</v>
      </c>
      <c r="K132" s="2" t="s">
        <v>187</v>
      </c>
      <c r="L132" s="2" t="s">
        <v>1</v>
      </c>
      <c r="M132" t="s">
        <v>18</v>
      </c>
      <c r="N132" t="s">
        <v>187</v>
      </c>
      <c r="O132" s="2" t="s">
        <v>1</v>
      </c>
      <c r="P132" t="s">
        <v>18</v>
      </c>
      <c r="Q132" s="2" t="s">
        <v>187</v>
      </c>
      <c r="R132" s="2" t="s">
        <v>1</v>
      </c>
      <c r="S132" t="s">
        <v>18</v>
      </c>
      <c r="T132" t="s">
        <v>187</v>
      </c>
      <c r="U132" t="s">
        <v>1</v>
      </c>
      <c r="V132" t="s">
        <v>18</v>
      </c>
      <c r="W132" t="s">
        <v>187</v>
      </c>
      <c r="X132" t="s">
        <v>1</v>
      </c>
      <c r="Y132">
        <f t="shared" si="2"/>
        <v>762</v>
      </c>
    </row>
    <row r="133" spans="1:25" ht="147.75" customHeight="1" x14ac:dyDescent="0.25">
      <c r="A133" t="s">
        <v>183</v>
      </c>
      <c r="B133" t="s">
        <v>184</v>
      </c>
      <c r="C133" s="2" t="s">
        <v>1138</v>
      </c>
      <c r="D133" s="2" t="s">
        <v>1137</v>
      </c>
      <c r="E133" s="2" t="s">
        <v>344</v>
      </c>
      <c r="F133" s="2" t="s">
        <v>343</v>
      </c>
      <c r="G133" t="s">
        <v>18</v>
      </c>
      <c r="H133" s="2" t="s">
        <v>187</v>
      </c>
      <c r="I133" s="2" t="s">
        <v>1</v>
      </c>
      <c r="J133" t="s">
        <v>21</v>
      </c>
      <c r="K133" s="2" t="s">
        <v>194</v>
      </c>
      <c r="L133" s="2" t="s">
        <v>1</v>
      </c>
      <c r="M133" t="s">
        <v>18</v>
      </c>
      <c r="N133" t="s">
        <v>187</v>
      </c>
      <c r="O133" s="2" t="s">
        <v>1</v>
      </c>
      <c r="P133" t="s">
        <v>18</v>
      </c>
      <c r="Q133" s="2" t="s">
        <v>187</v>
      </c>
      <c r="R133" s="2" t="s">
        <v>1</v>
      </c>
      <c r="S133" t="s">
        <v>18</v>
      </c>
      <c r="T133" t="s">
        <v>187</v>
      </c>
      <c r="U133" t="s">
        <v>1</v>
      </c>
      <c r="V133" t="s">
        <v>18</v>
      </c>
      <c r="W133" t="s">
        <v>187</v>
      </c>
      <c r="X133" t="s">
        <v>1</v>
      </c>
      <c r="Y133">
        <f t="shared" si="2"/>
        <v>763</v>
      </c>
    </row>
    <row r="134" spans="1:25" ht="147.75" customHeight="1" x14ac:dyDescent="0.25">
      <c r="A134" t="s">
        <v>183</v>
      </c>
      <c r="B134" t="s">
        <v>184</v>
      </c>
      <c r="C134" s="2" t="s">
        <v>1138</v>
      </c>
      <c r="D134" s="2" t="s">
        <v>1137</v>
      </c>
      <c r="E134" s="2" t="s">
        <v>345</v>
      </c>
      <c r="F134" s="2" t="s">
        <v>343</v>
      </c>
      <c r="G134" t="s">
        <v>18</v>
      </c>
      <c r="H134" s="2" t="s">
        <v>187</v>
      </c>
      <c r="I134" s="2" t="s">
        <v>1</v>
      </c>
      <c r="J134" t="s">
        <v>18</v>
      </c>
      <c r="K134" s="2" t="s">
        <v>187</v>
      </c>
      <c r="L134" s="2" t="s">
        <v>1</v>
      </c>
      <c r="M134" t="s">
        <v>18</v>
      </c>
      <c r="N134" t="s">
        <v>187</v>
      </c>
      <c r="O134" s="2" t="s">
        <v>1</v>
      </c>
      <c r="P134" t="s">
        <v>18</v>
      </c>
      <c r="Q134" s="2" t="s">
        <v>187</v>
      </c>
      <c r="R134" s="2" t="s">
        <v>1</v>
      </c>
      <c r="S134" t="s">
        <v>18</v>
      </c>
      <c r="T134" t="s">
        <v>187</v>
      </c>
      <c r="U134" t="s">
        <v>1</v>
      </c>
      <c r="V134" t="s">
        <v>18</v>
      </c>
      <c r="W134" t="s">
        <v>187</v>
      </c>
      <c r="X134" t="s">
        <v>1</v>
      </c>
      <c r="Y134">
        <f t="shared" si="2"/>
        <v>754</v>
      </c>
    </row>
    <row r="135" spans="1:25" ht="147.75" customHeight="1" x14ac:dyDescent="0.25">
      <c r="A135" t="s">
        <v>183</v>
      </c>
      <c r="B135" t="s">
        <v>184</v>
      </c>
      <c r="C135" s="2" t="s">
        <v>1138</v>
      </c>
      <c r="D135" s="2" t="s">
        <v>1137</v>
      </c>
      <c r="E135" s="2" t="s">
        <v>346</v>
      </c>
      <c r="F135" s="2" t="s">
        <v>343</v>
      </c>
      <c r="G135" t="s">
        <v>18</v>
      </c>
      <c r="H135" s="2" t="s">
        <v>187</v>
      </c>
      <c r="I135" s="2" t="s">
        <v>1</v>
      </c>
      <c r="J135" t="s">
        <v>18</v>
      </c>
      <c r="K135" s="2" t="s">
        <v>187</v>
      </c>
      <c r="L135" s="2" t="s">
        <v>1</v>
      </c>
      <c r="M135" t="s">
        <v>18</v>
      </c>
      <c r="N135" t="s">
        <v>187</v>
      </c>
      <c r="O135" s="2" t="s">
        <v>1</v>
      </c>
      <c r="P135" t="s">
        <v>18</v>
      </c>
      <c r="Q135" s="2" t="s">
        <v>187</v>
      </c>
      <c r="R135" s="2" t="s">
        <v>1</v>
      </c>
      <c r="S135" t="s">
        <v>18</v>
      </c>
      <c r="T135" t="s">
        <v>187</v>
      </c>
      <c r="U135" t="s">
        <v>1</v>
      </c>
      <c r="V135" t="s">
        <v>18</v>
      </c>
      <c r="W135" t="s">
        <v>187</v>
      </c>
      <c r="X135" t="s">
        <v>1</v>
      </c>
      <c r="Y135">
        <f t="shared" si="2"/>
        <v>757</v>
      </c>
    </row>
    <row r="136" spans="1:25" ht="147.75" customHeight="1" x14ac:dyDescent="0.25">
      <c r="A136" t="s">
        <v>183</v>
      </c>
      <c r="B136" t="s">
        <v>184</v>
      </c>
      <c r="C136" s="2" t="s">
        <v>1138</v>
      </c>
      <c r="D136" s="2" t="s">
        <v>1137</v>
      </c>
      <c r="E136" s="2" t="s">
        <v>347</v>
      </c>
      <c r="F136" s="2" t="s">
        <v>343</v>
      </c>
      <c r="G136" t="s">
        <v>18</v>
      </c>
      <c r="H136" s="2" t="s">
        <v>187</v>
      </c>
      <c r="I136" s="2" t="s">
        <v>1</v>
      </c>
      <c r="J136" t="s">
        <v>18</v>
      </c>
      <c r="K136" s="2" t="s">
        <v>187</v>
      </c>
      <c r="L136" s="2" t="s">
        <v>1</v>
      </c>
      <c r="M136" t="s">
        <v>18</v>
      </c>
      <c r="N136" t="s">
        <v>187</v>
      </c>
      <c r="O136" s="2" t="s">
        <v>1</v>
      </c>
      <c r="P136" t="s">
        <v>18</v>
      </c>
      <c r="Q136" s="2" t="s">
        <v>187</v>
      </c>
      <c r="R136" s="2" t="s">
        <v>1</v>
      </c>
      <c r="S136" t="s">
        <v>21</v>
      </c>
      <c r="T136" t="s">
        <v>194</v>
      </c>
      <c r="U136" t="s">
        <v>1</v>
      </c>
      <c r="V136" t="s">
        <v>18</v>
      </c>
      <c r="W136" t="s">
        <v>187</v>
      </c>
      <c r="X136" t="s">
        <v>1</v>
      </c>
      <c r="Y136">
        <f t="shared" si="2"/>
        <v>771</v>
      </c>
    </row>
    <row r="137" spans="1:25" ht="147.75" customHeight="1" x14ac:dyDescent="0.25">
      <c r="A137" t="s">
        <v>183</v>
      </c>
      <c r="B137" t="s">
        <v>184</v>
      </c>
      <c r="C137" s="2" t="s">
        <v>1138</v>
      </c>
      <c r="D137" s="2" t="s">
        <v>1137</v>
      </c>
      <c r="E137" s="2" t="s">
        <v>348</v>
      </c>
      <c r="F137" s="2" t="s">
        <v>249</v>
      </c>
      <c r="G137" t="s">
        <v>21</v>
      </c>
      <c r="H137" s="2" t="s">
        <v>187</v>
      </c>
      <c r="I137" s="2" t="s">
        <v>1</v>
      </c>
      <c r="J137" t="s">
        <v>21</v>
      </c>
      <c r="K137" s="2" t="s">
        <v>187</v>
      </c>
      <c r="L137" s="2" t="s">
        <v>1</v>
      </c>
      <c r="M137" t="s">
        <v>21</v>
      </c>
      <c r="N137" t="s">
        <v>187</v>
      </c>
      <c r="O137" s="2" t="s">
        <v>1</v>
      </c>
      <c r="P137" t="s">
        <v>21</v>
      </c>
      <c r="Q137" s="2" t="s">
        <v>187</v>
      </c>
      <c r="R137" s="2" t="s">
        <v>1</v>
      </c>
      <c r="S137" t="s">
        <v>21</v>
      </c>
      <c r="T137" t="s">
        <v>187</v>
      </c>
      <c r="U137" t="s">
        <v>1</v>
      </c>
      <c r="V137" t="s">
        <v>18</v>
      </c>
      <c r="W137" t="s">
        <v>194</v>
      </c>
      <c r="X137" t="s">
        <v>1</v>
      </c>
      <c r="Y137">
        <f t="shared" si="2"/>
        <v>785</v>
      </c>
    </row>
    <row r="138" spans="1:25" ht="147.75" customHeight="1" x14ac:dyDescent="0.25">
      <c r="A138" t="s">
        <v>183</v>
      </c>
      <c r="B138" t="s">
        <v>184</v>
      </c>
      <c r="C138" s="2" t="s">
        <v>1138</v>
      </c>
      <c r="D138" s="2" t="s">
        <v>1137</v>
      </c>
      <c r="E138" s="2" t="s">
        <v>349</v>
      </c>
      <c r="F138" s="2" t="s">
        <v>296</v>
      </c>
      <c r="G138" t="s">
        <v>23</v>
      </c>
      <c r="H138" s="2" t="s">
        <v>187</v>
      </c>
      <c r="I138" s="2" t="s">
        <v>1</v>
      </c>
      <c r="J138" t="s">
        <v>23</v>
      </c>
      <c r="K138" s="2" t="s">
        <v>187</v>
      </c>
      <c r="L138" s="2" t="s">
        <v>1</v>
      </c>
      <c r="M138" t="s">
        <v>23</v>
      </c>
      <c r="N138" t="s">
        <v>187</v>
      </c>
      <c r="O138" s="2" t="s">
        <v>1</v>
      </c>
      <c r="P138" t="s">
        <v>21</v>
      </c>
      <c r="Q138" s="2" t="s">
        <v>194</v>
      </c>
      <c r="R138" s="2" t="s">
        <v>1</v>
      </c>
      <c r="S138" t="s">
        <v>23</v>
      </c>
      <c r="T138" t="s">
        <v>187</v>
      </c>
      <c r="U138" t="s">
        <v>1</v>
      </c>
      <c r="V138" t="s">
        <v>23</v>
      </c>
      <c r="W138" t="s">
        <v>187</v>
      </c>
      <c r="X138" t="s">
        <v>1</v>
      </c>
      <c r="Y138">
        <f t="shared" si="2"/>
        <v>804</v>
      </c>
    </row>
    <row r="139" spans="1:25" ht="147.75" customHeight="1" x14ac:dyDescent="0.25">
      <c r="A139" t="s">
        <v>183</v>
      </c>
      <c r="B139" t="s">
        <v>184</v>
      </c>
      <c r="C139" s="2" t="s">
        <v>1138</v>
      </c>
      <c r="D139" s="2" t="s">
        <v>1137</v>
      </c>
      <c r="E139" s="2" t="s">
        <v>350</v>
      </c>
      <c r="F139" s="2" t="s">
        <v>313</v>
      </c>
      <c r="G139" t="s">
        <v>18</v>
      </c>
      <c r="H139" s="2" t="s">
        <v>194</v>
      </c>
      <c r="I139" s="2" t="s">
        <v>1</v>
      </c>
      <c r="J139" t="s">
        <v>18</v>
      </c>
      <c r="K139" s="2" t="s">
        <v>194</v>
      </c>
      <c r="L139" s="2" t="s">
        <v>1</v>
      </c>
      <c r="M139" t="s">
        <v>21</v>
      </c>
      <c r="N139" t="s">
        <v>194</v>
      </c>
      <c r="O139" s="2" t="s">
        <v>1</v>
      </c>
      <c r="P139" t="s">
        <v>21</v>
      </c>
      <c r="Q139" s="2" t="s">
        <v>194</v>
      </c>
      <c r="R139" s="2" t="s">
        <v>1</v>
      </c>
      <c r="S139" t="s">
        <v>21</v>
      </c>
      <c r="T139" t="s">
        <v>194</v>
      </c>
      <c r="U139" t="s">
        <v>1</v>
      </c>
      <c r="V139" t="s">
        <v>18</v>
      </c>
      <c r="W139" t="s">
        <v>194</v>
      </c>
      <c r="X139" t="s">
        <v>1</v>
      </c>
      <c r="Y139">
        <f t="shared" si="2"/>
        <v>807</v>
      </c>
    </row>
    <row r="140" spans="1:25" ht="147.75" customHeight="1" x14ac:dyDescent="0.25">
      <c r="A140" t="s">
        <v>183</v>
      </c>
      <c r="B140" t="s">
        <v>184</v>
      </c>
      <c r="C140" s="2" t="s">
        <v>1138</v>
      </c>
      <c r="D140" s="2" t="s">
        <v>1137</v>
      </c>
      <c r="E140" s="2" t="s">
        <v>351</v>
      </c>
      <c r="F140" s="2" t="s">
        <v>331</v>
      </c>
      <c r="G140" t="s">
        <v>18</v>
      </c>
      <c r="H140" s="2" t="s">
        <v>187</v>
      </c>
      <c r="I140" s="2" t="s">
        <v>1</v>
      </c>
      <c r="J140" t="s">
        <v>18</v>
      </c>
      <c r="K140" s="2" t="s">
        <v>187</v>
      </c>
      <c r="L140" s="2" t="s">
        <v>1</v>
      </c>
      <c r="M140" t="s">
        <v>18</v>
      </c>
      <c r="N140" t="s">
        <v>187</v>
      </c>
      <c r="O140" s="2" t="s">
        <v>1</v>
      </c>
      <c r="P140" t="s">
        <v>18</v>
      </c>
      <c r="Q140" s="2" t="s">
        <v>187</v>
      </c>
      <c r="R140" s="2" t="s">
        <v>1</v>
      </c>
      <c r="S140" t="s">
        <v>18</v>
      </c>
      <c r="T140" t="s">
        <v>187</v>
      </c>
      <c r="U140" t="s">
        <v>1</v>
      </c>
      <c r="V140" t="s">
        <v>18</v>
      </c>
      <c r="W140" t="s">
        <v>187</v>
      </c>
      <c r="X140" t="s">
        <v>1</v>
      </c>
      <c r="Y140">
        <f t="shared" si="2"/>
        <v>795</v>
      </c>
    </row>
    <row r="141" spans="1:25" ht="147.75" customHeight="1" x14ac:dyDescent="0.25">
      <c r="A141" t="s">
        <v>183</v>
      </c>
      <c r="B141" t="s">
        <v>184</v>
      </c>
      <c r="C141" s="2" t="s">
        <v>1138</v>
      </c>
      <c r="D141" s="2" t="s">
        <v>1137</v>
      </c>
      <c r="E141" s="2" t="s">
        <v>352</v>
      </c>
      <c r="F141" s="2" t="s">
        <v>203</v>
      </c>
      <c r="G141" t="s">
        <v>23</v>
      </c>
      <c r="H141" s="2" t="s">
        <v>194</v>
      </c>
      <c r="I141" s="2" t="s">
        <v>1</v>
      </c>
      <c r="J141" t="s">
        <v>23</v>
      </c>
      <c r="K141" s="2" t="s">
        <v>194</v>
      </c>
      <c r="L141" s="2" t="s">
        <v>1</v>
      </c>
      <c r="M141" t="s">
        <v>23</v>
      </c>
      <c r="N141" t="s">
        <v>194</v>
      </c>
      <c r="O141" s="2" t="s">
        <v>1</v>
      </c>
      <c r="P141" t="s">
        <v>21</v>
      </c>
      <c r="Q141" s="2" t="s">
        <v>194</v>
      </c>
      <c r="R141" s="2" t="s">
        <v>1</v>
      </c>
      <c r="S141" t="s">
        <v>23</v>
      </c>
      <c r="T141" t="s">
        <v>194</v>
      </c>
      <c r="U141" t="s">
        <v>1</v>
      </c>
      <c r="V141" t="s">
        <v>18</v>
      </c>
      <c r="W141" t="s">
        <v>187</v>
      </c>
      <c r="X141" t="s">
        <v>1</v>
      </c>
      <c r="Y141">
        <f t="shared" si="2"/>
        <v>786</v>
      </c>
    </row>
    <row r="142" spans="1:25" ht="147.75" customHeight="1" x14ac:dyDescent="0.25">
      <c r="A142" t="s">
        <v>183</v>
      </c>
      <c r="B142" t="s">
        <v>184</v>
      </c>
      <c r="C142" s="2" t="s">
        <v>1138</v>
      </c>
      <c r="D142" s="2" t="s">
        <v>1137</v>
      </c>
      <c r="E142" s="2" t="s">
        <v>353</v>
      </c>
      <c r="F142" s="2" t="s">
        <v>243</v>
      </c>
      <c r="G142" t="s">
        <v>23</v>
      </c>
      <c r="H142" s="2" t="s">
        <v>187</v>
      </c>
      <c r="I142" s="2" t="s">
        <v>1</v>
      </c>
      <c r="J142" t="s">
        <v>23</v>
      </c>
      <c r="K142" s="2" t="s">
        <v>187</v>
      </c>
      <c r="L142" s="2" t="s">
        <v>1</v>
      </c>
      <c r="M142" t="s">
        <v>23</v>
      </c>
      <c r="N142" t="s">
        <v>187</v>
      </c>
      <c r="O142" s="2" t="s">
        <v>1</v>
      </c>
      <c r="P142" t="s">
        <v>18</v>
      </c>
      <c r="Q142" s="2" t="s">
        <v>194</v>
      </c>
      <c r="R142" s="2" t="s">
        <v>1</v>
      </c>
      <c r="S142" t="s">
        <v>21</v>
      </c>
      <c r="T142" t="s">
        <v>194</v>
      </c>
      <c r="U142" t="s">
        <v>1</v>
      </c>
      <c r="V142" t="s">
        <v>18</v>
      </c>
      <c r="W142" t="s">
        <v>194</v>
      </c>
      <c r="X142" t="s">
        <v>1</v>
      </c>
      <c r="Y142">
        <f t="shared" si="2"/>
        <v>762</v>
      </c>
    </row>
    <row r="143" spans="1:25" ht="147.75" customHeight="1" x14ac:dyDescent="0.25">
      <c r="A143" t="s">
        <v>183</v>
      </c>
      <c r="B143" t="s">
        <v>184</v>
      </c>
      <c r="C143" s="2" t="s">
        <v>1138</v>
      </c>
      <c r="D143" s="2" t="s">
        <v>1137</v>
      </c>
      <c r="E143" s="2" t="s">
        <v>354</v>
      </c>
      <c r="F143" s="2" t="s">
        <v>231</v>
      </c>
      <c r="G143" t="s">
        <v>18</v>
      </c>
      <c r="H143" s="2" t="s">
        <v>194</v>
      </c>
      <c r="I143" s="2" t="s">
        <v>1</v>
      </c>
      <c r="J143" t="s">
        <v>18</v>
      </c>
      <c r="K143" s="2" t="s">
        <v>194</v>
      </c>
      <c r="L143" s="2" t="s">
        <v>1</v>
      </c>
      <c r="M143" t="s">
        <v>18</v>
      </c>
      <c r="N143" t="s">
        <v>194</v>
      </c>
      <c r="O143" s="2" t="s">
        <v>1</v>
      </c>
      <c r="P143" t="s">
        <v>18</v>
      </c>
      <c r="Q143" s="2" t="s">
        <v>194</v>
      </c>
      <c r="R143" s="2" t="s">
        <v>1</v>
      </c>
      <c r="S143" t="s">
        <v>18</v>
      </c>
      <c r="T143" t="s">
        <v>194</v>
      </c>
      <c r="U143" t="s">
        <v>1</v>
      </c>
      <c r="V143" t="s">
        <v>18</v>
      </c>
      <c r="W143" t="s">
        <v>194</v>
      </c>
      <c r="X143" t="s">
        <v>1</v>
      </c>
      <c r="Y143">
        <f t="shared" si="2"/>
        <v>792</v>
      </c>
    </row>
    <row r="144" spans="1:25" ht="147.75" customHeight="1" x14ac:dyDescent="0.25">
      <c r="A144" t="s">
        <v>183</v>
      </c>
      <c r="B144" t="s">
        <v>184</v>
      </c>
      <c r="C144" s="2" t="s">
        <v>1138</v>
      </c>
      <c r="D144" s="2" t="s">
        <v>1137</v>
      </c>
      <c r="E144" s="2" t="s">
        <v>355</v>
      </c>
      <c r="F144" s="2" t="s">
        <v>213</v>
      </c>
      <c r="G144" t="s">
        <v>18</v>
      </c>
      <c r="H144" s="2" t="s">
        <v>194</v>
      </c>
      <c r="I144" s="2" t="s">
        <v>1</v>
      </c>
      <c r="J144" t="s">
        <v>21</v>
      </c>
      <c r="K144" s="2" t="s">
        <v>187</v>
      </c>
      <c r="L144" s="2" t="s">
        <v>1</v>
      </c>
      <c r="M144" t="s">
        <v>21</v>
      </c>
      <c r="N144" t="s">
        <v>187</v>
      </c>
      <c r="O144" s="2" t="s">
        <v>1</v>
      </c>
      <c r="P144" t="s">
        <v>21</v>
      </c>
      <c r="Q144" s="2" t="s">
        <v>187</v>
      </c>
      <c r="R144" s="2" t="s">
        <v>1</v>
      </c>
      <c r="S144" t="s">
        <v>18</v>
      </c>
      <c r="T144" t="s">
        <v>194</v>
      </c>
      <c r="U144" t="s">
        <v>1</v>
      </c>
      <c r="V144" t="s">
        <v>18</v>
      </c>
      <c r="W144" t="s">
        <v>194</v>
      </c>
      <c r="X144" t="s">
        <v>1</v>
      </c>
      <c r="Y144">
        <f t="shared" si="2"/>
        <v>782</v>
      </c>
    </row>
    <row r="145" spans="1:25" ht="147.75" customHeight="1" x14ac:dyDescent="0.25">
      <c r="A145" t="s">
        <v>183</v>
      </c>
      <c r="B145" t="s">
        <v>184</v>
      </c>
      <c r="C145" s="2" t="s">
        <v>1138</v>
      </c>
      <c r="D145" s="2" t="s">
        <v>1137</v>
      </c>
      <c r="E145" s="2" t="s">
        <v>356</v>
      </c>
      <c r="F145" s="2" t="s">
        <v>337</v>
      </c>
      <c r="G145" t="s">
        <v>18</v>
      </c>
      <c r="H145" s="2" t="s">
        <v>187</v>
      </c>
      <c r="I145" s="2" t="s">
        <v>1</v>
      </c>
      <c r="J145" t="s">
        <v>23</v>
      </c>
      <c r="K145" s="2" t="s">
        <v>194</v>
      </c>
      <c r="L145" s="2" t="s">
        <v>1</v>
      </c>
      <c r="M145" t="s">
        <v>18</v>
      </c>
      <c r="N145" t="s">
        <v>187</v>
      </c>
      <c r="O145" s="2" t="s">
        <v>1</v>
      </c>
      <c r="P145" t="s">
        <v>18</v>
      </c>
      <c r="Q145" s="2" t="s">
        <v>187</v>
      </c>
      <c r="R145" s="2" t="s">
        <v>1</v>
      </c>
      <c r="S145" t="s">
        <v>18</v>
      </c>
      <c r="T145" t="s">
        <v>187</v>
      </c>
      <c r="U145" t="s">
        <v>1</v>
      </c>
      <c r="V145" t="s">
        <v>18</v>
      </c>
      <c r="W145" t="s">
        <v>187</v>
      </c>
      <c r="X145" t="s">
        <v>1</v>
      </c>
      <c r="Y145">
        <f t="shared" si="2"/>
        <v>789</v>
      </c>
    </row>
    <row r="146" spans="1:25" ht="147.75" customHeight="1" x14ac:dyDescent="0.25">
      <c r="A146" t="s">
        <v>183</v>
      </c>
      <c r="B146" t="s">
        <v>184</v>
      </c>
      <c r="C146" s="2" t="s">
        <v>1138</v>
      </c>
      <c r="D146" s="2" t="s">
        <v>1137</v>
      </c>
      <c r="E146" s="2" t="s">
        <v>357</v>
      </c>
      <c r="F146" s="2" t="s">
        <v>203</v>
      </c>
      <c r="G146" t="s">
        <v>21</v>
      </c>
      <c r="H146" s="2" t="s">
        <v>194</v>
      </c>
      <c r="I146" s="2" t="s">
        <v>1</v>
      </c>
      <c r="J146" t="s">
        <v>21</v>
      </c>
      <c r="K146" s="2" t="s">
        <v>194</v>
      </c>
      <c r="L146" s="2" t="s">
        <v>1</v>
      </c>
      <c r="M146" t="s">
        <v>21</v>
      </c>
      <c r="N146" t="s">
        <v>194</v>
      </c>
      <c r="O146" s="2" t="s">
        <v>1</v>
      </c>
      <c r="P146" t="s">
        <v>21</v>
      </c>
      <c r="Q146" s="2" t="s">
        <v>194</v>
      </c>
      <c r="R146" s="2" t="s">
        <v>1</v>
      </c>
      <c r="S146" t="s">
        <v>23</v>
      </c>
      <c r="T146" t="s">
        <v>194</v>
      </c>
      <c r="U146" t="s">
        <v>1</v>
      </c>
      <c r="V146" t="s">
        <v>18</v>
      </c>
      <c r="W146" t="s">
        <v>187</v>
      </c>
      <c r="X146" t="s">
        <v>1</v>
      </c>
      <c r="Y146">
        <f t="shared" si="2"/>
        <v>787</v>
      </c>
    </row>
    <row r="147" spans="1:25" x14ac:dyDescent="0.25">
      <c r="L147" s="2"/>
    </row>
  </sheetData>
  <autoFilter ref="A1:Y146" xr:uid="{8064F430-2981-4241-BE50-338BF126593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a130a7a-bc40-4ffa-af7a-de996120f7f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78EF26E023A074EAC2EA7A92A3CD759" ma:contentTypeVersion="9" ma:contentTypeDescription="Een nieuw document maken." ma:contentTypeScope="" ma:versionID="c238ea5a956cd072d2f1b1268849223c">
  <xsd:schema xmlns:xsd="http://www.w3.org/2001/XMLSchema" xmlns:xs="http://www.w3.org/2001/XMLSchema" xmlns:p="http://schemas.microsoft.com/office/2006/metadata/properties" xmlns:ns3="1a130a7a-bc40-4ffa-af7a-de996120f7ff" xmlns:ns4="660125eb-e6a8-4abe-9b3c-c6f9215d65c3" targetNamespace="http://schemas.microsoft.com/office/2006/metadata/properties" ma:root="true" ma:fieldsID="7925cc02fde225f33287346db7ac1fc9" ns3:_="" ns4:_="">
    <xsd:import namespace="1a130a7a-bc40-4ffa-af7a-de996120f7ff"/>
    <xsd:import namespace="660125eb-e6a8-4abe-9b3c-c6f9215d65c3"/>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130a7a-bc40-4ffa-af7a-de996120f7ff"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0125eb-e6a8-4abe-9b3c-c6f9215d65c3" elementFormDefault="qualified">
    <xsd:import namespace="http://schemas.microsoft.com/office/2006/documentManagement/types"/>
    <xsd:import namespace="http://schemas.microsoft.com/office/infopath/2007/PartnerControls"/>
    <xsd:element name="SharedWithUsers" ma:index="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Gedeeld met details" ma:internalName="SharedWithDetails" ma:readOnly="true">
      <xsd:simpleType>
        <xsd:restriction base="dms:Note">
          <xsd:maxLength value="255"/>
        </xsd:restriction>
      </xsd:simpleType>
    </xsd:element>
    <xsd:element name="SharingHintHash" ma:index="11"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406A1B-9EB6-4CD1-99D2-1C80250ED8C2}">
  <ds:schemaRefs>
    <ds:schemaRef ds:uri="660125eb-e6a8-4abe-9b3c-c6f9215d65c3"/>
    <ds:schemaRef ds:uri="http://purl.org/dc/elements/1.1/"/>
    <ds:schemaRef ds:uri="http://www.w3.org/XML/1998/namespace"/>
    <ds:schemaRef ds:uri="http://schemas.microsoft.com/office/2006/metadata/properties"/>
    <ds:schemaRef ds:uri="1a130a7a-bc40-4ffa-af7a-de996120f7ff"/>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48298C56-96CD-41F0-9920-795E0CF41E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130a7a-bc40-4ffa-af7a-de996120f7ff"/>
    <ds:schemaRef ds:uri="660125eb-e6a8-4abe-9b3c-c6f9215d6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A0F151-1341-4F82-B853-CCAC385DDD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Scoring</vt:lpstr>
      <vt:lpstr>Simple untuned</vt:lpstr>
      <vt:lpstr>Comple untuned</vt:lpstr>
      <vt:lpstr>Simple</vt:lpstr>
      <vt:lpstr>Complex</vt:lpstr>
      <vt:lpstr>Complex-Prio-Profession</vt:lpstr>
      <vt:lpstr>Complex-Prio-Food</vt:lpstr>
      <vt:lpstr>Complex-Prio-Sentiment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RAJEEV YADALA</dc:creator>
  <cp:keywords/>
  <dc:description/>
  <cp:lastModifiedBy>RAJEEV YADALA</cp:lastModifiedBy>
  <cp:revision/>
  <dcterms:created xsi:type="dcterms:W3CDTF">2015-06-05T18:17:20Z</dcterms:created>
  <dcterms:modified xsi:type="dcterms:W3CDTF">2026-05-15T17:55:06Z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0x010100878EF26E023A074EAC2EA7A92A3CD759</vt:lpwstr>
  </property>
</Properties>
</file>